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" sheetId="1" r:id="rId4"/>
    <sheet state="visible" name="BBAS3." sheetId="2" r:id="rId5"/>
    <sheet state="visible" name="FIQE3" sheetId="3" r:id="rId6"/>
    <sheet state="visible" name="CMIG4" sheetId="4" r:id="rId7"/>
    <sheet state="visible" name="BBDC4" sheetId="5" r:id="rId8"/>
    <sheet state="visible" name="BRBl11" sheetId="6" r:id="rId9"/>
    <sheet state="visible" name="ITSA4" sheetId="7" r:id="rId10"/>
    <sheet state="visible" name="KLBN11" sheetId="8" r:id="rId11"/>
    <sheet state="visible" name="PETR4." sheetId="9" r:id="rId12"/>
    <sheet state="visible" name="TAEE11" sheetId="10" r:id="rId13"/>
    <sheet state="visible" name="VALE3" sheetId="11" r:id="rId14"/>
    <sheet state="visible" name="MXRF11" sheetId="12" r:id="rId15"/>
    <sheet state="visible" name="BRCR11" sheetId="13" r:id="rId16"/>
    <sheet state="visible" name="SNAG11" sheetId="14" r:id="rId17"/>
    <sheet state="visible" name="CPTS11" sheetId="15" r:id="rId18"/>
    <sheet state="visible" name="XPML11" sheetId="16" r:id="rId19"/>
    <sheet state="visible" name="XPLG11" sheetId="17" r:id="rId20"/>
  </sheets>
  <definedNames/>
  <calcPr/>
  <extLst>
    <ext uri="GoogleSheetsCustomDataVersion2">
      <go:sheetsCustomData xmlns:go="http://customooxmlschemas.google.com/" r:id="rId21" roundtripDataChecksum="G882FPhOYFAfUc1TCPa5a3v0qCPamZlINOQnfAWk0L4="/>
    </ext>
  </extLst>
</workbook>
</file>

<file path=xl/sharedStrings.xml><?xml version="1.0" encoding="utf-8"?>
<sst xmlns="http://schemas.openxmlformats.org/spreadsheetml/2006/main" count="493" uniqueCount="80">
  <si>
    <t xml:space="preserve"> </t>
  </si>
  <si>
    <t>PAPEL</t>
  </si>
  <si>
    <t>SEGUIMENTO</t>
  </si>
  <si>
    <t>ATIVO</t>
  </si>
  <si>
    <t>PREÇO ATUAL</t>
  </si>
  <si>
    <t>QTD</t>
  </si>
  <si>
    <t>POSIÇÃO</t>
  </si>
  <si>
    <t>LUCRO</t>
  </si>
  <si>
    <t>VALORIZ.</t>
  </si>
  <si>
    <t>PM DESC.</t>
  </si>
  <si>
    <t>P. MÉDIO</t>
  </si>
  <si>
    <t>D.Y ON COST</t>
  </si>
  <si>
    <t>PESO</t>
  </si>
  <si>
    <t>P.IDEAL</t>
  </si>
  <si>
    <t>PL TOTAL</t>
  </si>
  <si>
    <t>VALE3</t>
  </si>
  <si>
    <t xml:space="preserve">MINÉRIO </t>
  </si>
  <si>
    <t xml:space="preserve">AÇÃO </t>
  </si>
  <si>
    <t>VALOR INVESTIDO</t>
  </si>
  <si>
    <t>TAEE11</t>
  </si>
  <si>
    <t xml:space="preserve">ELÉTRICO </t>
  </si>
  <si>
    <t>AÇÃO</t>
  </si>
  <si>
    <t>TOTAL AÇÕES</t>
  </si>
  <si>
    <t>PETR4</t>
  </si>
  <si>
    <t xml:space="preserve">MINÉRIO Gas &amp; ENERGIA </t>
  </si>
  <si>
    <t>TOTAL FIIS</t>
  </si>
  <si>
    <t>BBAS3</t>
  </si>
  <si>
    <t xml:space="preserve">BANCO </t>
  </si>
  <si>
    <t xml:space="preserve">LUCRO </t>
  </si>
  <si>
    <t>BRBI11</t>
  </si>
  <si>
    <t xml:space="preserve">ROUDING </t>
  </si>
  <si>
    <t>VALORIZAÇÃO</t>
  </si>
  <si>
    <t>PESO IDEAL</t>
  </si>
  <si>
    <t>BBDC4</t>
  </si>
  <si>
    <t>BANCOS</t>
  </si>
  <si>
    <t>RENDA FIXA</t>
  </si>
  <si>
    <t>ITSA4</t>
  </si>
  <si>
    <t>RENDA VARIÁVEL</t>
  </si>
  <si>
    <t>CMIG4</t>
  </si>
  <si>
    <t>ENERGIA</t>
  </si>
  <si>
    <t>INTERNACIONAL</t>
  </si>
  <si>
    <t>FIQE3</t>
  </si>
  <si>
    <t xml:space="preserve">TECNÓLOGO </t>
  </si>
  <si>
    <t>CRIPTO</t>
  </si>
  <si>
    <t>KLBN11</t>
  </si>
  <si>
    <t>INDUSTRIAL Cel</t>
  </si>
  <si>
    <t>TOTAL</t>
  </si>
  <si>
    <t>MXRF11</t>
  </si>
  <si>
    <t>FII</t>
  </si>
  <si>
    <t>BRCR11</t>
  </si>
  <si>
    <t>LAJE</t>
  </si>
  <si>
    <t>XPLG11</t>
  </si>
  <si>
    <t>LOGÍSTICO</t>
  </si>
  <si>
    <t>XPML11</t>
  </si>
  <si>
    <t>SHOPPING</t>
  </si>
  <si>
    <t>SNAG11</t>
  </si>
  <si>
    <t>AGRO</t>
  </si>
  <si>
    <t>CPTS11</t>
  </si>
  <si>
    <t>HIBRIDO</t>
  </si>
  <si>
    <t xml:space="preserve">                                      VALORIZAÇÃO + DIVIDENDOS POR ATIVO </t>
  </si>
  <si>
    <t>EMPRESA</t>
  </si>
  <si>
    <t>V. COMPRA</t>
  </si>
  <si>
    <t>DIVID. J/CP</t>
  </si>
  <si>
    <t>DIVID. SINT</t>
  </si>
  <si>
    <t>ITSA3</t>
  </si>
  <si>
    <t>DATA INÍCIO</t>
  </si>
  <si>
    <t>PREÇO MÉDIO</t>
  </si>
  <si>
    <t>TOTAL INVESTIDO</t>
  </si>
  <si>
    <t>QUANTIDADE</t>
  </si>
  <si>
    <t>DATA</t>
  </si>
  <si>
    <t>PREÇO</t>
  </si>
  <si>
    <t>INVESTIDO</t>
  </si>
  <si>
    <t>DIVIDEND</t>
  </si>
  <si>
    <t>J/CP</t>
  </si>
  <si>
    <t>Qtd</t>
  </si>
  <si>
    <t>DIVIDEN</t>
  </si>
  <si>
    <t>CUSTOS</t>
  </si>
  <si>
    <t xml:space="preserve">POSIÇÃO </t>
  </si>
  <si>
    <t>IRBR3</t>
  </si>
  <si>
    <t>DIVID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</si>
</sst>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[$R$]#,##0"/>
    <numFmt numFmtId="166" formatCode="dd/mm/yy"/>
    <numFmt numFmtId="167" formatCode="dd/mm/yyyy"/>
    <numFmt numFmtId="168" formatCode="d/m/yyyy"/>
    <numFmt numFmtId="169" formatCode="d/m/yy"/>
  </numFmts>
  <fonts count="23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00FF00"/>
      <name val="Arial"/>
    </font>
    <font>
      <b/>
      <sz val="10.0"/>
      <color rgb="FF000000"/>
      <name val="Arial"/>
    </font>
    <font>
      <sz val="10.0"/>
      <color rgb="FFFFFFFF"/>
      <name val="Arial"/>
    </font>
    <font>
      <color theme="1"/>
      <name val="Arial"/>
    </font>
    <font>
      <color rgb="FF000000"/>
      <name val="Arial"/>
    </font>
    <font>
      <b/>
      <color rgb="FF000000"/>
      <name val="Verdana"/>
    </font>
    <font>
      <b/>
      <color rgb="FFFFFFFF"/>
      <name val="Arial"/>
    </font>
    <font>
      <b/>
      <color rgb="FF000000"/>
      <name val="Arial"/>
    </font>
    <font>
      <color rgb="FF000000"/>
      <name val="Verdana"/>
    </font>
    <font>
      <sz val="12.0"/>
      <color rgb="FFFFFFFF"/>
      <name val="Arial"/>
    </font>
    <font>
      <b/>
      <sz val="12.0"/>
      <color rgb="FFFFFFFF"/>
      <name val="Arial"/>
    </font>
    <font>
      <b/>
      <sz val="12.0"/>
      <color rgb="FFFFFFFF"/>
      <name val="Calibri"/>
    </font>
    <font>
      <sz val="12.0"/>
      <color rgb="FF000000"/>
      <name val="Calibri"/>
    </font>
    <font>
      <sz val="12.0"/>
      <color rgb="FF000000"/>
      <name val="Arial"/>
    </font>
    <font>
      <b/>
      <sz val="12.0"/>
      <color rgb="FF000000"/>
      <name val="Calibri"/>
    </font>
    <font>
      <sz val="12.0"/>
      <color rgb="FFFFFFFF"/>
      <name val="Calibri"/>
    </font>
    <font/>
    <font>
      <sz val="12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00CCFF"/>
      </patternFill>
    </fill>
    <fill>
      <patternFill patternType="solid">
        <fgColor rgb="FF434343"/>
        <bgColor rgb="FF43434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3" fontId="3" numFmtId="10" xfId="0" applyAlignment="1" applyBorder="1" applyFill="1" applyFont="1" applyNumberFormat="1">
      <alignment vertical="bottom"/>
    </xf>
    <xf borderId="1" fillId="3" fontId="3" numFmtId="164" xfId="0" applyAlignment="1" applyBorder="1" applyFont="1" applyNumberFormat="1">
      <alignment horizontal="left" vertical="bottom"/>
    </xf>
    <xf borderId="0" fillId="0" fontId="4" numFmtId="0" xfId="0" applyFont="1"/>
    <xf borderId="5" fillId="2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readingOrder="0" vertical="bottom"/>
    </xf>
    <xf borderId="1" fillId="4" fontId="2" numFmtId="165" xfId="0" applyAlignment="1" applyBorder="1" applyFill="1" applyFont="1" applyNumberFormat="1">
      <alignment readingOrder="0" vertical="bottom"/>
    </xf>
    <xf borderId="6" fillId="5" fontId="1" numFmtId="0" xfId="0" applyAlignment="1" applyBorder="1" applyFill="1" applyFont="1">
      <alignment horizontal="center" shrinkToFit="0" vertical="bottom" wrapText="0"/>
    </xf>
    <xf borderId="6" fillId="6" fontId="5" numFmtId="164" xfId="0" applyAlignment="1" applyBorder="1" applyFill="1" applyFont="1" applyNumberFormat="1">
      <alignment horizontal="center" shrinkToFit="0" vertical="bottom" wrapText="0"/>
    </xf>
    <xf borderId="6" fillId="6" fontId="1" numFmtId="0" xfId="0" applyAlignment="1" applyBorder="1" applyFont="1">
      <alignment horizontal="center" shrinkToFit="0" vertical="bottom" wrapText="0"/>
    </xf>
    <xf borderId="6" fillId="6" fontId="1" numFmtId="164" xfId="0" applyAlignment="1" applyBorder="1" applyFont="1" applyNumberFormat="1">
      <alignment horizontal="center" shrinkToFit="0" vertical="bottom" wrapText="0"/>
    </xf>
    <xf borderId="6" fillId="6" fontId="1" numFmtId="10" xfId="0" applyAlignment="1" applyBorder="1" applyFont="1" applyNumberFormat="1">
      <alignment horizontal="center" shrinkToFit="0" vertical="bottom" wrapText="0"/>
    </xf>
    <xf borderId="1" fillId="0" fontId="1" numFmtId="164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3" fontId="3" numFmtId="0" xfId="0" applyAlignment="1" applyBorder="1" applyFont="1">
      <alignment vertical="bottom"/>
    </xf>
    <xf borderId="7" fillId="7" fontId="2" numFmtId="165" xfId="0" applyAlignment="1" applyBorder="1" applyFill="1" applyFont="1" applyNumberFormat="1">
      <alignment readingOrder="0" vertical="bottom"/>
    </xf>
    <xf borderId="1" fillId="6" fontId="5" numFmtId="164" xfId="0" applyAlignment="1" applyBorder="1" applyFont="1" applyNumberFormat="1">
      <alignment horizontal="center" shrinkToFit="0" vertical="bottom" wrapText="0"/>
    </xf>
    <xf borderId="7" fillId="8" fontId="2" numFmtId="165" xfId="0" applyAlignment="1" applyBorder="1" applyFill="1" applyFont="1" applyNumberFormat="1">
      <alignment readingOrder="0" vertical="bottom"/>
    </xf>
    <xf borderId="1" fillId="6" fontId="1" numFmtId="164" xfId="0" applyAlignment="1" applyBorder="1" applyFont="1" applyNumberFormat="1">
      <alignment horizontal="center"/>
    </xf>
    <xf borderId="0" fillId="6" fontId="3" numFmtId="164" xfId="0" applyAlignment="1" applyFont="1" applyNumberFormat="1">
      <alignment horizontal="center"/>
    </xf>
    <xf borderId="7" fillId="9" fontId="2" numFmtId="165" xfId="0" applyAlignment="1" applyBorder="1" applyFill="1" applyFont="1" applyNumberFormat="1">
      <alignment readingOrder="0" vertical="bottom"/>
    </xf>
    <xf borderId="1" fillId="6" fontId="5" numFmtId="164" xfId="0" applyAlignment="1" applyBorder="1" applyFont="1" applyNumberFormat="1">
      <alignment horizontal="center" readingOrder="0" shrinkToFit="0" vertical="bottom" wrapText="0"/>
    </xf>
    <xf borderId="0" fillId="6" fontId="6" numFmtId="0" xfId="0" applyAlignment="1" applyFont="1">
      <alignment horizontal="center"/>
    </xf>
    <xf borderId="7" fillId="4" fontId="2" numFmtId="165" xfId="0" applyAlignment="1" applyBorder="1" applyFont="1" applyNumberFormat="1">
      <alignment readingOrder="0" vertical="bottom"/>
    </xf>
    <xf borderId="1" fillId="3" fontId="3" numFmtId="10" xfId="0" applyAlignment="1" applyBorder="1" applyFont="1" applyNumberFormat="1">
      <alignment horizontal="left" vertical="bottom"/>
    </xf>
    <xf borderId="1" fillId="2" fontId="3" numFmtId="0" xfId="0" applyAlignment="1" applyBorder="1" applyFont="1">
      <alignment horizontal="center" vertical="bottom"/>
    </xf>
    <xf borderId="1" fillId="2" fontId="7" numFmtId="0" xfId="0" applyBorder="1" applyFont="1"/>
    <xf borderId="7" fillId="10" fontId="2" numFmtId="165" xfId="0" applyAlignment="1" applyBorder="1" applyFill="1" applyFont="1" applyNumberFormat="1">
      <alignment readingOrder="0" vertical="bottom"/>
    </xf>
    <xf borderId="1" fillId="2" fontId="3" numFmtId="0" xfId="0" applyAlignment="1" applyBorder="1" applyFont="1">
      <alignment vertical="bottom"/>
    </xf>
    <xf borderId="1" fillId="2" fontId="3" numFmtId="164" xfId="0" applyAlignment="1" applyBorder="1" applyFont="1" applyNumberFormat="1">
      <alignment horizontal="center" vertical="bottom"/>
    </xf>
    <xf borderId="1" fillId="2" fontId="3" numFmtId="10" xfId="0" applyAlignment="1" applyBorder="1" applyFont="1" applyNumberFormat="1">
      <alignment horizontal="center" vertical="bottom"/>
    </xf>
    <xf borderId="1" fillId="2" fontId="3" numFmtId="10" xfId="0" applyBorder="1" applyFont="1" applyNumberFormat="1"/>
    <xf borderId="7" fillId="11" fontId="2" numFmtId="165" xfId="0" applyAlignment="1" applyBorder="1" applyFill="1" applyFont="1" applyNumberFormat="1">
      <alignment readingOrder="0" vertical="bottom"/>
    </xf>
    <xf borderId="7" fillId="12" fontId="2" numFmtId="165" xfId="0" applyAlignment="1" applyBorder="1" applyFill="1" applyFont="1" applyNumberFormat="1">
      <alignment vertical="bottom"/>
    </xf>
    <xf borderId="7" fillId="2" fontId="1" numFmtId="0" xfId="0" applyAlignment="1" applyBorder="1" applyFont="1">
      <alignment horizontal="center" shrinkToFit="0" vertical="bottom" wrapText="0"/>
    </xf>
    <xf borderId="7" fillId="13" fontId="2" numFmtId="0" xfId="0" applyAlignment="1" applyBorder="1" applyFill="1" applyFont="1">
      <alignment readingOrder="0" vertical="bottom"/>
    </xf>
    <xf borderId="6" fillId="7" fontId="6" numFmtId="0" xfId="0" applyAlignment="1" applyBorder="1" applyFont="1">
      <alignment horizontal="left" readingOrder="0" shrinkToFit="0" vertical="bottom" wrapText="0"/>
    </xf>
    <xf borderId="7" fillId="7" fontId="2" numFmtId="0" xfId="0" applyAlignment="1" applyBorder="1" applyFont="1">
      <alignment readingOrder="0" vertical="bottom"/>
    </xf>
    <xf borderId="1" fillId="14" fontId="3" numFmtId="0" xfId="0" applyAlignment="1" applyBorder="1" applyFill="1" applyFont="1">
      <alignment vertical="bottom"/>
    </xf>
    <xf borderId="1" fillId="14" fontId="3" numFmtId="164" xfId="0" applyAlignment="1" applyBorder="1" applyFont="1" applyNumberFormat="1">
      <alignment horizontal="center" vertical="bottom"/>
    </xf>
    <xf borderId="1" fillId="14" fontId="3" numFmtId="10" xfId="0" applyAlignment="1" applyBorder="1" applyFont="1" applyNumberFormat="1">
      <alignment horizontal="center" vertical="bottom"/>
    </xf>
    <xf borderId="1" fillId="14" fontId="3" numFmtId="10" xfId="0" applyBorder="1" applyFont="1" applyNumberFormat="1"/>
    <xf borderId="8" fillId="2" fontId="1" numFmtId="0" xfId="0" applyAlignment="1" applyBorder="1" applyFont="1">
      <alignment horizontal="center" shrinkToFit="0" vertical="bottom" wrapText="0"/>
    </xf>
    <xf borderId="9" fillId="2" fontId="6" numFmtId="0" xfId="0" applyAlignment="1" applyBorder="1" applyFont="1">
      <alignment horizontal="left" shrinkToFit="0" vertical="bottom" wrapText="0"/>
    </xf>
    <xf borderId="9" fillId="2" fontId="1" numFmtId="0" xfId="0" applyAlignment="1" applyBorder="1" applyFont="1">
      <alignment horizontal="center" shrinkToFit="0" vertical="bottom" wrapText="0"/>
    </xf>
    <xf borderId="9" fillId="2" fontId="5" numFmtId="164" xfId="0" applyAlignment="1" applyBorder="1" applyFont="1" applyNumberFormat="1">
      <alignment horizontal="center" shrinkToFit="0" vertical="bottom" wrapText="0"/>
    </xf>
    <xf borderId="9" fillId="2" fontId="1" numFmtId="164" xfId="0" applyAlignment="1" applyBorder="1" applyFont="1" applyNumberFormat="1">
      <alignment horizontal="center" shrinkToFit="0" vertical="bottom" wrapText="0"/>
    </xf>
    <xf borderId="9" fillId="2" fontId="1" numFmtId="10" xfId="0" applyAlignment="1" applyBorder="1" applyFont="1" applyNumberFormat="1">
      <alignment horizontal="center" shrinkToFit="0" vertical="bottom" wrapText="0"/>
    </xf>
    <xf borderId="9" fillId="2" fontId="1" numFmtId="164" xfId="0" applyAlignment="1" applyBorder="1" applyFont="1" applyNumberFormat="1">
      <alignment horizontal="center"/>
    </xf>
    <xf borderId="9" fillId="2" fontId="1" numFmtId="10" xfId="0" applyAlignment="1" applyBorder="1" applyFont="1" applyNumberFormat="1">
      <alignment horizontal="center"/>
    </xf>
    <xf borderId="1" fillId="2" fontId="1" numFmtId="10" xfId="0" applyAlignment="1" applyBorder="1" applyFont="1" applyNumberFormat="1">
      <alignment horizontal="center"/>
    </xf>
    <xf borderId="0" fillId="6" fontId="2" numFmtId="0" xfId="0" applyAlignment="1" applyFont="1">
      <alignment vertical="bottom"/>
    </xf>
    <xf borderId="0" fillId="6" fontId="2" numFmtId="10" xfId="0" applyAlignment="1" applyFont="1" applyNumberFormat="1">
      <alignment horizontal="center" vertical="bottom"/>
    </xf>
    <xf borderId="0" fillId="6" fontId="8" numFmtId="0" xfId="0" applyFont="1"/>
    <xf borderId="6" fillId="6" fontId="1" numFmtId="0" xfId="0" applyAlignment="1" applyBorder="1" applyFont="1">
      <alignment horizontal="left" shrinkToFit="0" vertical="bottom" wrapText="0"/>
    </xf>
    <xf borderId="7" fillId="6" fontId="5" numFmtId="164" xfId="0" applyAlignment="1" applyBorder="1" applyFont="1" applyNumberFormat="1">
      <alignment horizontal="center" shrinkToFit="0" vertical="bottom" wrapText="0"/>
    </xf>
    <xf borderId="7" fillId="0" fontId="1" numFmtId="164" xfId="0" applyAlignment="1" applyBorder="1" applyFont="1" applyNumberFormat="1">
      <alignment horizontal="center"/>
    </xf>
    <xf borderId="7" fillId="0" fontId="1" numFmtId="10" xfId="0" applyAlignment="1" applyBorder="1" applyFont="1" applyNumberFormat="1">
      <alignment horizontal="center"/>
    </xf>
    <xf borderId="0" fillId="6" fontId="2" numFmtId="0" xfId="0" applyFont="1"/>
    <xf borderId="0" fillId="6" fontId="2" numFmtId="0" xfId="0" applyAlignment="1" applyFont="1">
      <alignment horizontal="center"/>
    </xf>
    <xf borderId="0" fillId="6" fontId="2" numFmtId="10" xfId="0" applyAlignment="1" applyFont="1" applyNumberFormat="1">
      <alignment horizontal="center"/>
    </xf>
    <xf borderId="10" fillId="2" fontId="1" numFmtId="0" xfId="0" applyAlignment="1" applyBorder="1" applyFont="1">
      <alignment horizontal="center" shrinkToFit="0" vertical="bottom" wrapText="0"/>
    </xf>
    <xf borderId="11" fillId="6" fontId="1" numFmtId="0" xfId="0" applyAlignment="1" applyBorder="1" applyFont="1">
      <alignment horizontal="center" shrinkToFit="0" vertical="bottom" wrapText="0"/>
    </xf>
    <xf borderId="11" fillId="6" fontId="1" numFmtId="0" xfId="0" applyAlignment="1" applyBorder="1" applyFont="1">
      <alignment horizontal="left" shrinkToFit="0" vertical="bottom" wrapText="0"/>
    </xf>
    <xf borderId="11" fillId="6" fontId="1" numFmtId="164" xfId="0" applyAlignment="1" applyBorder="1" applyFont="1" applyNumberFormat="1">
      <alignment horizontal="center" shrinkToFit="0" vertical="bottom" wrapText="0"/>
    </xf>
    <xf borderId="11" fillId="6" fontId="1" numFmtId="10" xfId="0" applyAlignment="1" applyBorder="1" applyFont="1" applyNumberFormat="1">
      <alignment horizontal="center" shrinkToFit="0" vertical="bottom" wrapText="0"/>
    </xf>
    <xf borderId="2" fillId="0" fontId="1" numFmtId="164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0" fillId="0" fontId="9" numFmtId="0" xfId="0" applyAlignment="1" applyFont="1">
      <alignment shrinkToFit="0" vertical="bottom" wrapText="0"/>
    </xf>
    <xf borderId="0" fillId="6" fontId="10" numFmtId="0" xfId="0" applyAlignment="1" applyFont="1">
      <alignment vertical="top"/>
    </xf>
    <xf borderId="8" fillId="3" fontId="8" numFmtId="0" xfId="0" applyAlignment="1" applyBorder="1" applyFont="1">
      <alignment vertical="bottom"/>
    </xf>
    <xf borderId="9" fillId="3" fontId="8" numFmtId="0" xfId="0" applyAlignment="1" applyBorder="1" applyFont="1">
      <alignment vertical="bottom"/>
    </xf>
    <xf borderId="9" fillId="3" fontId="11" numFmtId="0" xfId="0" applyAlignment="1" applyBorder="1" applyFont="1">
      <alignment horizontal="center" shrinkToFit="0" vertical="bottom" wrapText="0"/>
    </xf>
    <xf borderId="4" fillId="3" fontId="8" numFmtId="0" xfId="0" applyAlignment="1" applyBorder="1" applyFont="1">
      <alignment vertical="bottom"/>
    </xf>
    <xf borderId="6" fillId="3" fontId="8" numFmtId="0" xfId="0" applyAlignment="1" applyBorder="1" applyFont="1">
      <alignment vertical="bottom"/>
    </xf>
    <xf borderId="0" fillId="0" fontId="12" numFmtId="0" xfId="0" applyFont="1"/>
    <xf borderId="0" fillId="6" fontId="11" numFmtId="0" xfId="0" applyFont="1"/>
    <xf borderId="0" fillId="6" fontId="11" numFmtId="0" xfId="0" applyAlignment="1" applyFont="1">
      <alignment horizontal="center"/>
    </xf>
    <xf borderId="0" fillId="6" fontId="13" numFmtId="0" xfId="0" applyAlignment="1" applyFont="1">
      <alignment horizontal="left" vertical="top"/>
    </xf>
    <xf borderId="7" fillId="14" fontId="11" numFmtId="0" xfId="0" applyAlignment="1" applyBorder="1" applyFont="1">
      <alignment horizontal="center" vertical="bottom"/>
    </xf>
    <xf borderId="6" fillId="14" fontId="11" numFmtId="0" xfId="0" applyAlignment="1" applyBorder="1" applyFont="1">
      <alignment horizontal="center" vertical="bottom"/>
    </xf>
    <xf borderId="6" fillId="14" fontId="11" numFmtId="3" xfId="0" applyAlignment="1" applyBorder="1" applyFont="1" applyNumberFormat="1">
      <alignment horizontal="center" vertical="bottom"/>
    </xf>
    <xf borderId="0" fillId="6" fontId="13" numFmtId="164" xfId="0" applyAlignment="1" applyFont="1" applyNumberFormat="1">
      <alignment horizontal="left" vertical="top"/>
    </xf>
    <xf borderId="0" fillId="6" fontId="11" numFmtId="10" xfId="0" applyAlignment="1" applyFont="1" applyNumberFormat="1">
      <alignment horizontal="center"/>
    </xf>
    <xf borderId="6" fillId="4" fontId="6" numFmtId="0" xfId="0" applyAlignment="1" applyBorder="1" applyFont="1">
      <alignment horizontal="left" shrinkToFit="0" vertical="bottom" wrapText="0"/>
    </xf>
    <xf borderId="6" fillId="15" fontId="2" numFmtId="164" xfId="0" applyAlignment="1" applyBorder="1" applyFill="1" applyFont="1" applyNumberFormat="1">
      <alignment horizontal="center" vertical="bottom"/>
    </xf>
    <xf borderId="6" fillId="15" fontId="2" numFmtId="10" xfId="0" applyAlignment="1" applyBorder="1" applyFont="1" applyNumberFormat="1">
      <alignment horizontal="center" vertical="bottom"/>
    </xf>
    <xf borderId="6" fillId="8" fontId="6" numFmtId="0" xfId="0" applyAlignment="1" applyBorder="1" applyFont="1">
      <alignment horizontal="left" shrinkToFit="0" vertical="bottom" wrapText="0"/>
    </xf>
    <xf borderId="6" fillId="9" fontId="6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horizontal="left"/>
    </xf>
    <xf borderId="0" fillId="0" fontId="2" numFmtId="0" xfId="0" applyAlignment="1" applyFont="1">
      <alignment horizontal="left"/>
    </xf>
    <xf borderId="6" fillId="10" fontId="6" numFmtId="0" xfId="0" applyAlignment="1" applyBorder="1" applyFont="1">
      <alignment horizontal="left" readingOrder="0" shrinkToFit="0" vertical="bottom" wrapText="0"/>
    </xf>
    <xf borderId="6" fillId="11" fontId="6" numFmtId="0" xfId="0" applyAlignment="1" applyBorder="1" applyFont="1">
      <alignment horizontal="left" readingOrder="0" shrinkToFit="0" vertical="bottom" wrapText="0"/>
    </xf>
    <xf borderId="6" fillId="12" fontId="6" numFmtId="0" xfId="0" applyAlignment="1" applyBorder="1" applyFont="1">
      <alignment horizontal="left" shrinkToFit="0" vertical="bottom" wrapText="0"/>
    </xf>
    <xf borderId="6" fillId="13" fontId="6" numFmtId="0" xfId="0" applyAlignment="1" applyBorder="1" applyFont="1">
      <alignment horizontal="left" shrinkToFit="0" vertical="bottom" wrapText="0"/>
    </xf>
    <xf borderId="11" fillId="7" fontId="6" numFmtId="0" xfId="0" applyAlignment="1" applyBorder="1" applyFont="1">
      <alignment horizontal="left" readingOrder="0" shrinkToFit="0" vertical="bottom" wrapText="0"/>
    </xf>
    <xf borderId="11" fillId="15" fontId="2" numFmtId="164" xfId="0" applyAlignment="1" applyBorder="1" applyFont="1" applyNumberFormat="1">
      <alignment horizontal="center" vertical="bottom"/>
    </xf>
    <xf borderId="11" fillId="15" fontId="2" numFmtId="10" xfId="0" applyAlignment="1" applyBorder="1" applyFont="1" applyNumberFormat="1">
      <alignment horizontal="center" vertical="bottom"/>
    </xf>
    <xf borderId="0" fillId="0" fontId="12" numFmtId="164" xfId="0" applyAlignment="1" applyFont="1" applyNumberFormat="1">
      <alignment horizontal="left"/>
    </xf>
    <xf borderId="8" fillId="2" fontId="6" numFmtId="0" xfId="0" applyAlignment="1" applyBorder="1" applyFont="1">
      <alignment horizontal="left" shrinkToFit="0" vertical="bottom" wrapText="0"/>
    </xf>
    <xf borderId="9" fillId="2" fontId="2" numFmtId="164" xfId="0" applyAlignment="1" applyBorder="1" applyFont="1" applyNumberFormat="1">
      <alignment horizontal="center" vertical="bottom"/>
    </xf>
    <xf borderId="4" fillId="2" fontId="2" numFmtId="10" xfId="0" applyAlignment="1" applyBorder="1" applyFont="1" applyNumberFormat="1">
      <alignment horizontal="center" vertical="bottom"/>
    </xf>
    <xf borderId="7" fillId="6" fontId="1" numFmtId="0" xfId="0" applyAlignment="1" applyBorder="1" applyFont="1">
      <alignment horizontal="center" shrinkToFit="0" vertical="bottom" wrapText="0"/>
    </xf>
    <xf borderId="7" fillId="15" fontId="2" numFmtId="164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center" shrinkToFit="0" vertical="bottom" wrapText="0"/>
    </xf>
    <xf borderId="1" fillId="15" fontId="2" numFmtId="164" xfId="0" applyAlignment="1" applyBorder="1" applyFont="1" applyNumberFormat="1">
      <alignment horizontal="center" vertical="bottom"/>
    </xf>
    <xf borderId="0" fillId="0" fontId="8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1" fillId="15" fontId="8" numFmtId="164" xfId="0" applyAlignment="1" applyBorder="1" applyFont="1" applyNumberFormat="1">
      <alignment vertical="bottom"/>
    </xf>
    <xf borderId="6" fillId="15" fontId="8" numFmtId="10" xfId="0" applyAlignment="1" applyBorder="1" applyFont="1" applyNumberFormat="1">
      <alignment vertical="bottom"/>
    </xf>
    <xf borderId="2" fillId="14" fontId="1" numFmtId="0" xfId="0" applyAlignment="1" applyBorder="1" applyFont="1">
      <alignment horizontal="center" shrinkToFit="0" vertical="bottom" wrapText="0"/>
    </xf>
    <xf borderId="2" fillId="14" fontId="11" numFmtId="164" xfId="0" applyAlignment="1" applyBorder="1" applyFont="1" applyNumberFormat="1">
      <alignment horizontal="center" vertical="bottom"/>
    </xf>
    <xf borderId="1" fillId="14" fontId="11" numFmtId="164" xfId="0" applyAlignment="1" applyBorder="1" applyFont="1" applyNumberFormat="1">
      <alignment horizontal="center" vertical="bottom"/>
    </xf>
    <xf borderId="6" fillId="14" fontId="11" numFmtId="164" xfId="0" applyAlignment="1" applyBorder="1" applyFont="1" applyNumberFormat="1">
      <alignment horizontal="center" vertical="bottom"/>
    </xf>
    <xf borderId="6" fillId="14" fontId="11" numFmtId="10" xfId="0" applyAlignment="1" applyBorder="1" applyFont="1" applyNumberFormat="1">
      <alignment horizontal="center" vertical="bottom"/>
    </xf>
    <xf borderId="12" fillId="6" fontId="1" numFmtId="0" xfId="0" applyAlignment="1" applyBorder="1" applyFont="1">
      <alignment horizontal="center" shrinkToFit="0" vertical="bottom" wrapText="0"/>
    </xf>
    <xf borderId="12" fillId="0" fontId="9" numFmtId="4" xfId="0" applyAlignment="1" applyBorder="1" applyFont="1" applyNumberFormat="1">
      <alignment horizontal="left"/>
    </xf>
    <xf borderId="0" fillId="0" fontId="9" numFmtId="4" xfId="0" applyAlignment="1" applyFont="1" applyNumberFormat="1">
      <alignment horizontal="left"/>
    </xf>
    <xf borderId="0" fillId="6" fontId="14" numFmtId="0" xfId="0" applyAlignment="1" applyFont="1">
      <alignment horizontal="center"/>
    </xf>
    <xf borderId="0" fillId="6" fontId="15" numFmtId="0" xfId="0" applyAlignment="1" applyFont="1">
      <alignment horizontal="center"/>
    </xf>
    <xf borderId="0" fillId="0" fontId="9" numFmtId="3" xfId="0" applyAlignment="1" applyFont="1" applyNumberFormat="1">
      <alignment horizontal="left"/>
    </xf>
    <xf borderId="0" fillId="6" fontId="15" numFmtId="10" xfId="0" applyAlignment="1" applyFont="1" applyNumberFormat="1">
      <alignment horizontal="center"/>
    </xf>
    <xf borderId="1" fillId="3" fontId="16" numFmtId="0" xfId="0" applyAlignment="1" applyBorder="1" applyFont="1">
      <alignment horizontal="center" shrinkToFit="0" wrapText="0"/>
    </xf>
    <xf borderId="1" fillId="3" fontId="16" numFmtId="0" xfId="0" applyAlignment="1" applyBorder="1" applyFont="1">
      <alignment horizontal="center" vertical="bottom"/>
    </xf>
    <xf borderId="4" fillId="3" fontId="16" numFmtId="0" xfId="0" applyAlignment="1" applyBorder="1" applyFont="1">
      <alignment horizontal="center" vertical="bottom"/>
    </xf>
    <xf borderId="9" fillId="3" fontId="16" numFmtId="0" xfId="0" applyAlignment="1" applyBorder="1" applyFont="1">
      <alignment horizontal="center" shrinkToFit="0" wrapText="0"/>
    </xf>
    <xf borderId="4" fillId="3" fontId="16" numFmtId="0" xfId="0" applyAlignment="1" applyBorder="1" applyFont="1">
      <alignment horizontal="center" shrinkToFit="0" wrapText="0"/>
    </xf>
    <xf borderId="13" fillId="3" fontId="16" numFmtId="0" xfId="0" applyAlignment="1" applyBorder="1" applyFont="1">
      <alignment horizontal="center" shrinkToFit="0" vertical="bottom" wrapText="0"/>
    </xf>
    <xf borderId="1" fillId="16" fontId="16" numFmtId="0" xfId="0" applyAlignment="1" applyBorder="1" applyFill="1" applyFont="1">
      <alignment horizontal="center" shrinkToFit="0" vertical="bottom" wrapText="0"/>
    </xf>
    <xf borderId="7" fillId="16" fontId="16" numFmtId="166" xfId="0" applyAlignment="1" applyBorder="1" applyFont="1" applyNumberFormat="1">
      <alignment horizontal="center" vertical="bottom"/>
    </xf>
    <xf borderId="6" fillId="16" fontId="16" numFmtId="2" xfId="0" applyAlignment="1" applyBorder="1" applyFont="1" applyNumberFormat="1">
      <alignment horizontal="center" vertical="bottom"/>
    </xf>
    <xf borderId="6" fillId="16" fontId="16" numFmtId="164" xfId="0" applyAlignment="1" applyBorder="1" applyFont="1" applyNumberFormat="1">
      <alignment horizontal="center" vertical="bottom"/>
    </xf>
    <xf borderId="6" fillId="16" fontId="16" numFmtId="0" xfId="0" applyAlignment="1" applyBorder="1" applyFont="1">
      <alignment horizontal="center" vertical="bottom"/>
    </xf>
    <xf borderId="9" fillId="16" fontId="16" numFmtId="164" xfId="0" applyAlignment="1" applyBorder="1" applyFont="1" applyNumberFormat="1">
      <alignment horizontal="center" shrinkToFit="0" vertical="bottom" wrapText="0"/>
    </xf>
    <xf borderId="4" fillId="16" fontId="16" numFmtId="0" xfId="0" applyAlignment="1" applyBorder="1" applyFont="1">
      <alignment horizontal="center" shrinkToFit="0" vertical="bottom" wrapText="0"/>
    </xf>
    <xf borderId="9" fillId="16" fontId="16" numFmtId="0" xfId="0" applyAlignment="1" applyBorder="1" applyFont="1">
      <alignment horizontal="center" shrinkToFit="0" vertical="bottom" wrapText="0"/>
    </xf>
    <xf borderId="5" fillId="16" fontId="16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 shrinkToFit="0" vertical="bottom" wrapText="0"/>
    </xf>
    <xf borderId="1" fillId="17" fontId="16" numFmtId="0" xfId="0" applyAlignment="1" applyBorder="1" applyFill="1" applyFont="1">
      <alignment horizontal="center" shrinkToFit="0" vertical="bottom" wrapText="0"/>
    </xf>
    <xf borderId="4" fillId="17" fontId="19" numFmtId="0" xfId="0" applyAlignment="1" applyBorder="1" applyFont="1">
      <alignment horizontal="center" shrinkToFit="0" vertical="bottom" wrapText="0"/>
    </xf>
    <xf borderId="1" fillId="17" fontId="19" numFmtId="0" xfId="0" applyAlignment="1" applyBorder="1" applyFont="1">
      <alignment horizontal="center" shrinkToFit="0" vertical="bottom" wrapText="0"/>
    </xf>
    <xf borderId="14" fillId="6" fontId="20" numFmtId="0" xfId="0" applyAlignment="1" applyBorder="1" applyFont="1">
      <alignment horizontal="center" shrinkToFit="0" vertical="bottom" wrapText="0"/>
    </xf>
    <xf borderId="1" fillId="14" fontId="15" numFmtId="0" xfId="0" applyAlignment="1" applyBorder="1" applyFont="1">
      <alignment horizontal="center" shrinkToFit="0" vertical="bottom" wrapText="0"/>
    </xf>
    <xf borderId="0" fillId="6" fontId="15" numFmtId="0" xfId="0" applyAlignment="1" applyFont="1">
      <alignment horizontal="center" shrinkToFit="0" vertical="bottom" wrapText="0"/>
    </xf>
    <xf borderId="0" fillId="17" fontId="16" numFmtId="0" xfId="0" applyAlignment="1" applyFont="1">
      <alignment horizontal="center" vertical="bottom"/>
    </xf>
    <xf borderId="1" fillId="17" fontId="16" numFmtId="167" xfId="0" applyAlignment="1" applyBorder="1" applyFont="1" applyNumberFormat="1">
      <alignment horizontal="center" readingOrder="0" vertical="bottom"/>
    </xf>
    <xf borderId="1" fillId="17" fontId="16" numFmtId="0" xfId="0" applyAlignment="1" applyBorder="1" applyFont="1">
      <alignment horizontal="center" readingOrder="0" vertical="bottom"/>
    </xf>
    <xf borderId="1" fillId="17" fontId="16" numFmtId="164" xfId="0" applyAlignment="1" applyBorder="1" applyFont="1" applyNumberFormat="1">
      <alignment horizontal="center" readingOrder="0" vertical="bottom"/>
    </xf>
    <xf borderId="7" fillId="17" fontId="16" numFmtId="164" xfId="0" applyAlignment="1" applyBorder="1" applyFont="1" applyNumberFormat="1">
      <alignment horizontal="center" shrinkToFit="0" vertical="bottom" wrapText="0"/>
    </xf>
    <xf borderId="14" fillId="0" fontId="21" numFmtId="0" xfId="0" applyBorder="1" applyFont="1"/>
    <xf borderId="1" fillId="14" fontId="15" numFmtId="166" xfId="0" applyAlignment="1" applyBorder="1" applyFont="1" applyNumberFormat="1">
      <alignment horizontal="center" readingOrder="0" shrinkToFit="0" vertical="bottom" wrapText="0"/>
    </xf>
    <xf borderId="1" fillId="14" fontId="16" numFmtId="164" xfId="0" applyAlignment="1" applyBorder="1" applyFont="1" applyNumberFormat="1">
      <alignment horizontal="center" readingOrder="0" shrinkToFit="0" vertical="bottom" wrapText="0"/>
    </xf>
    <xf borderId="1" fillId="14" fontId="15" numFmtId="0" xfId="0" applyAlignment="1" applyBorder="1" applyFont="1">
      <alignment horizontal="center" readingOrder="0" shrinkToFit="0" vertical="bottom" wrapText="0"/>
    </xf>
    <xf borderId="1" fillId="14" fontId="15" numFmtId="164" xfId="0" applyAlignment="1" applyBorder="1" applyFont="1" applyNumberFormat="1">
      <alignment horizontal="center" shrinkToFit="0" vertical="bottom" wrapText="0"/>
    </xf>
    <xf borderId="1" fillId="14" fontId="15" numFmtId="166" xfId="0" applyAlignment="1" applyBorder="1" applyFont="1" applyNumberFormat="1">
      <alignment horizontal="center" shrinkToFit="0" vertical="bottom" wrapText="0"/>
    </xf>
    <xf borderId="1" fillId="14" fontId="16" numFmtId="0" xfId="0" applyAlignment="1" applyBorder="1" applyFont="1">
      <alignment horizontal="center" shrinkToFit="0" vertical="bottom" wrapText="0"/>
    </xf>
    <xf borderId="1" fillId="17" fontId="16" numFmtId="0" xfId="0" applyAlignment="1" applyBorder="1" applyFont="1">
      <alignment horizontal="center" vertical="bottom"/>
    </xf>
    <xf borderId="7" fillId="17" fontId="16" numFmtId="0" xfId="0" applyAlignment="1" applyBorder="1" applyFont="1">
      <alignment horizontal="center" shrinkToFit="0" vertical="bottom" wrapText="0"/>
    </xf>
    <xf borderId="1" fillId="14" fontId="15" numFmtId="167" xfId="0" applyAlignment="1" applyBorder="1" applyFont="1" applyNumberFormat="1">
      <alignment horizontal="center" shrinkToFit="0" vertical="bottom" wrapText="0"/>
    </xf>
    <xf borderId="6" fillId="17" fontId="16" numFmtId="0" xfId="0" applyAlignment="1" applyBorder="1" applyFont="1">
      <alignment horizontal="center" shrinkToFit="0" vertical="bottom" wrapText="0"/>
    </xf>
    <xf borderId="6" fillId="17" fontId="16" numFmtId="2" xfId="0" applyAlignment="1" applyBorder="1" applyFont="1" applyNumberFormat="1">
      <alignment horizontal="center" shrinkToFit="0" vertical="bottom" wrapText="0"/>
    </xf>
    <xf borderId="10" fillId="17" fontId="16" numFmtId="0" xfId="0" applyAlignment="1" applyBorder="1" applyFont="1">
      <alignment horizontal="center" shrinkToFit="0" vertical="bottom" wrapText="0"/>
    </xf>
    <xf borderId="11" fillId="17" fontId="16" numFmtId="0" xfId="0" applyAlignment="1" applyBorder="1" applyFont="1">
      <alignment horizontal="center" shrinkToFit="0" vertical="bottom" wrapText="0"/>
    </xf>
    <xf borderId="2" fillId="17" fontId="16" numFmtId="0" xfId="0" applyAlignment="1" applyBorder="1" applyFont="1">
      <alignment horizontal="center" shrinkToFit="0" vertical="bottom" wrapText="0"/>
    </xf>
    <xf borderId="3" fillId="17" fontId="16" numFmtId="0" xfId="0" applyAlignment="1" applyBorder="1" applyFont="1">
      <alignment horizontal="center" shrinkToFit="0" vertical="bottom" wrapText="0"/>
    </xf>
    <xf borderId="5" fillId="0" fontId="21" numFmtId="0" xfId="0" applyBorder="1" applyFont="1"/>
    <xf borderId="7" fillId="17" fontId="19" numFmtId="0" xfId="0" applyAlignment="1" applyBorder="1" applyFont="1">
      <alignment horizontal="center" shrinkToFit="0" vertical="bottom" wrapText="0"/>
    </xf>
    <xf borderId="4" fillId="17" fontId="16" numFmtId="0" xfId="0" applyAlignment="1" applyBorder="1" applyFont="1">
      <alignment horizontal="center" shrinkToFit="0" vertical="bottom" wrapText="0"/>
    </xf>
    <xf borderId="7" fillId="17" fontId="16" numFmtId="2" xfId="0" applyAlignment="1" applyBorder="1" applyFont="1" applyNumberFormat="1">
      <alignment horizontal="center" shrinkToFit="0" vertical="bottom" wrapText="0"/>
    </xf>
    <xf borderId="1" fillId="3" fontId="14" numFmtId="0" xfId="0" applyAlignment="1" applyBorder="1" applyFont="1">
      <alignment horizontal="center" shrinkToFit="0" vertical="bottom" wrapText="0"/>
    </xf>
    <xf borderId="1" fillId="3" fontId="20" numFmtId="0" xfId="0" applyAlignment="1" applyBorder="1" applyFont="1">
      <alignment horizontal="center" shrinkToFit="0" vertical="bottom" wrapText="0"/>
    </xf>
    <xf borderId="1" fillId="3" fontId="14" numFmtId="164" xfId="0" applyAlignment="1" applyBorder="1" applyFont="1" applyNumberFormat="1">
      <alignment horizontal="center" shrinkToFit="0" vertical="bottom" wrapText="0"/>
    </xf>
    <xf borderId="0" fillId="6" fontId="14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/>
    </xf>
    <xf borderId="1" fillId="16" fontId="16" numFmtId="0" xfId="0" applyAlignment="1" applyBorder="1" applyFont="1">
      <alignment horizontal="center" readingOrder="0" shrinkToFit="0" vertical="bottom" wrapText="0"/>
    </xf>
    <xf borderId="1" fillId="17" fontId="16" numFmtId="167" xfId="0" applyAlignment="1" applyBorder="1" applyFont="1" applyNumberFormat="1">
      <alignment horizontal="center" vertical="bottom"/>
    </xf>
    <xf borderId="4" fillId="17" fontId="16" numFmtId="0" xfId="0" applyAlignment="1" applyBorder="1" applyFont="1">
      <alignment horizontal="center" readingOrder="0" vertical="bottom"/>
    </xf>
    <xf borderId="4" fillId="17" fontId="16" numFmtId="164" xfId="0" applyAlignment="1" applyBorder="1" applyFont="1" applyNumberFormat="1">
      <alignment horizontal="center" readingOrder="0" vertical="bottom"/>
    </xf>
    <xf borderId="1" fillId="17" fontId="16" numFmtId="168" xfId="0" applyAlignment="1" applyBorder="1" applyFont="1" applyNumberFormat="1">
      <alignment horizontal="center" vertical="bottom"/>
    </xf>
    <xf borderId="0" fillId="6" fontId="22" numFmtId="0" xfId="0" applyAlignment="1" applyFont="1">
      <alignment horizontal="center"/>
    </xf>
    <xf borderId="6" fillId="16" fontId="16" numFmtId="164" xfId="0" applyAlignment="1" applyBorder="1" applyFont="1" applyNumberFormat="1">
      <alignment horizontal="center" vertical="bottom"/>
    </xf>
    <xf borderId="7" fillId="17" fontId="16" numFmtId="164" xfId="0" applyAlignment="1" applyBorder="1" applyFont="1" applyNumberFormat="1">
      <alignment horizontal="center" shrinkToFit="0" vertical="bottom" wrapText="0"/>
    </xf>
    <xf borderId="1" fillId="14" fontId="15" numFmtId="164" xfId="0" applyAlignment="1" applyBorder="1" applyFont="1" applyNumberFormat="1">
      <alignment horizontal="center" shrinkToFit="0" vertical="bottom" wrapText="0"/>
    </xf>
    <xf borderId="1" fillId="14" fontId="16" numFmtId="168" xfId="0" applyAlignment="1" applyBorder="1" applyFont="1" applyNumberFormat="1">
      <alignment horizontal="center" shrinkToFit="0" vertical="bottom" wrapText="0"/>
    </xf>
    <xf borderId="6" fillId="17" fontId="16" numFmtId="168" xfId="0" applyAlignment="1" applyBorder="1" applyFont="1" applyNumberFormat="1">
      <alignment horizontal="center" shrinkToFit="0" vertical="bottom" wrapText="0"/>
    </xf>
    <xf borderId="1" fillId="3" fontId="20" numFmtId="164" xfId="0" applyAlignment="1" applyBorder="1" applyFont="1" applyNumberFormat="1">
      <alignment horizontal="center" shrinkToFit="0" vertical="bottom" wrapText="0"/>
    </xf>
    <xf borderId="1" fillId="14" fontId="16" numFmtId="0" xfId="0" applyAlignment="1" applyBorder="1" applyFont="1">
      <alignment horizontal="center" readingOrder="0" shrinkToFit="0" vertical="bottom" wrapText="0"/>
    </xf>
    <xf borderId="1" fillId="14" fontId="16" numFmtId="169" xfId="0" applyAlignment="1" applyBorder="1" applyFont="1" applyNumberFormat="1">
      <alignment horizontal="center" shrinkToFit="0" vertical="bottom" wrapText="0"/>
    </xf>
    <xf borderId="1" fillId="18" fontId="16" numFmtId="168" xfId="0" applyAlignment="1" applyBorder="1" applyFill="1" applyFont="1" applyNumberFormat="1">
      <alignment horizontal="center" shrinkToFit="0" vertical="bottom" wrapText="0"/>
    </xf>
    <xf borderId="1" fillId="18" fontId="16" numFmtId="0" xfId="0" applyAlignment="1" applyBorder="1" applyFont="1">
      <alignment horizontal="center" shrinkToFit="0" vertical="bottom" wrapText="0"/>
    </xf>
    <xf borderId="1" fillId="18" fontId="1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dk1"/>
              </a:solidFill>
            </c:spPr>
          </c:dPt>
          <c:dPt>
            <c:idx val="1"/>
            <c:spPr>
              <a:solidFill>
                <a:srgbClr val="980000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</c:dPt>
          <c:dPt>
            <c:idx val="1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'visão geral'!$B$2:$B$19</c:f>
            </c:strRef>
          </c:cat>
          <c:val>
            <c:numRef>
              <c:f>'visão geral'!$G$2:$G$19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19050</xdr:rowOff>
    </xdr:from>
    <xdr:ext cx="5419725" cy="4371975"/>
    <xdr:graphicFrame>
      <xdr:nvGraphicFramePr>
        <xdr:cNvPr id="88366193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7.75"/>
    <col customWidth="1" min="3" max="3" width="12.63"/>
    <col customWidth="1" min="4" max="4" width="7.13"/>
    <col customWidth="1" min="5" max="5" width="12.25"/>
    <col customWidth="1" min="6" max="6" width="6.13"/>
    <col customWidth="1" min="7" max="7" width="12.88"/>
    <col customWidth="1" min="8" max="8" width="12.38"/>
    <col customWidth="1" min="9" max="9" width="10.63"/>
    <col customWidth="1" min="10" max="10" width="9.5"/>
    <col customWidth="1" min="11" max="11" width="11.25"/>
    <col customWidth="1" min="12" max="12" width="11.75"/>
    <col customWidth="1" min="13" max="13" width="9.75"/>
    <col customWidth="1" min="14" max="14" width="10.5"/>
    <col customWidth="1" min="15" max="15" width="17.0"/>
    <col customWidth="1" min="16" max="16" width="13.5"/>
    <col customWidth="1" min="17" max="17" width="10.38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7">
        <f>SUM(G2:G18)</f>
        <v>352031.05</v>
      </c>
      <c r="Q1" s="8"/>
      <c r="R1" s="8"/>
    </row>
    <row r="2" ht="15.75" customHeight="1">
      <c r="A2" s="9">
        <v>1.0</v>
      </c>
      <c r="B2" s="10" t="s">
        <v>15</v>
      </c>
      <c r="C2" s="11" t="s">
        <v>16</v>
      </c>
      <c r="D2" s="12" t="s">
        <v>17</v>
      </c>
      <c r="E2" s="13">
        <v>26.25</v>
      </c>
      <c r="F2" s="14">
        <f>BBAS3.!E2</f>
        <v>830</v>
      </c>
      <c r="G2" s="15">
        <f t="shared" ref="G2:G11" si="1">F2*E2</f>
        <v>21787.5</v>
      </c>
      <c r="H2" s="15">
        <f>G2-VALE3!D2</f>
        <v>487.5</v>
      </c>
      <c r="I2" s="16">
        <f>H2/VALE3!D2</f>
        <v>0.02288732394</v>
      </c>
      <c r="J2" s="15">
        <f t="shared" ref="J2:J11" si="2">K2/(1+L2)</f>
        <v>70.5034965</v>
      </c>
      <c r="K2" s="17">
        <f>VALE3!C2</f>
        <v>71</v>
      </c>
      <c r="L2" s="18">
        <f t="shared" ref="L2:L11" si="3">M23/(K2*F2)</f>
        <v>0.007042253521</v>
      </c>
      <c r="M2" s="18">
        <f>G2/P1</f>
        <v>0.06189084741</v>
      </c>
      <c r="N2" s="18">
        <v>0.1</v>
      </c>
      <c r="O2" s="19" t="s">
        <v>18</v>
      </c>
      <c r="P2" s="7">
        <f>VALE3!D2+TAEE11!D2+ITSA4!D2+KLBN11!D2+PETR4.!D2+BBAS3.!D2+BRBl11!D2+TAEE11!D2+VALE3!D2+BBDC4!D2+MXRF11!D2+ITSA4!D2+CMIG4!D2+FIQE3!D2+XPML11!D2+XPLG11!D2</f>
        <v>1058564.35</v>
      </c>
      <c r="Q2" s="8"/>
      <c r="R2" s="8"/>
    </row>
    <row r="3" ht="15.75" customHeight="1">
      <c r="A3" s="9">
        <v>2.0</v>
      </c>
      <c r="B3" s="10" t="s">
        <v>19</v>
      </c>
      <c r="C3" s="20" t="s">
        <v>20</v>
      </c>
      <c r="D3" s="12" t="s">
        <v>21</v>
      </c>
      <c r="E3" s="21">
        <f>IFERROR(__xludf.DUMMYFUNCTION("GOOGLEFINANCE(B3)"),40.6)</f>
        <v>40.6</v>
      </c>
      <c r="F3" s="14">
        <f>TAEE11!C5</f>
        <v>650</v>
      </c>
      <c r="G3" s="15">
        <f t="shared" si="1"/>
        <v>26390</v>
      </c>
      <c r="H3" s="15">
        <f>G3-TAEE11!F2</f>
        <v>8231.25</v>
      </c>
      <c r="I3" s="16">
        <f>H3/TAEE11!D2</f>
        <v>0.301510989</v>
      </c>
      <c r="J3" s="15">
        <f t="shared" si="2"/>
        <v>19.973174</v>
      </c>
      <c r="K3" s="17">
        <f>TAEE11!C2</f>
        <v>42</v>
      </c>
      <c r="L3" s="18">
        <f t="shared" si="3"/>
        <v>1.102820513</v>
      </c>
      <c r="M3" s="18">
        <f>G2/P1</f>
        <v>0.06189084741</v>
      </c>
      <c r="N3" s="18">
        <v>0.05</v>
      </c>
      <c r="O3" s="19" t="s">
        <v>22</v>
      </c>
      <c r="P3" s="7">
        <f>SUM(G2:G11)</f>
        <v>344222.25</v>
      </c>
      <c r="Q3" s="8"/>
      <c r="R3" s="8"/>
    </row>
    <row r="4" ht="15.75" customHeight="1">
      <c r="A4" s="9">
        <v>3.0</v>
      </c>
      <c r="B4" s="10" t="s">
        <v>23</v>
      </c>
      <c r="C4" s="22" t="s">
        <v>24</v>
      </c>
      <c r="D4" s="12" t="s">
        <v>21</v>
      </c>
      <c r="E4" s="21">
        <f>IFERROR(__xludf.DUMMYFUNCTION("GOOGLEFINANCE(B4)"),31.08)</f>
        <v>31.08</v>
      </c>
      <c r="F4" s="14">
        <f>ITSA4!E2</f>
        <v>1450</v>
      </c>
      <c r="G4" s="15">
        <f t="shared" si="1"/>
        <v>45066</v>
      </c>
      <c r="H4" s="15">
        <f>G4-PETR4.!D2</f>
        <v>34497</v>
      </c>
      <c r="I4" s="16">
        <f>H4/PETR4.!D2</f>
        <v>3.263979563</v>
      </c>
      <c r="J4" s="15">
        <f t="shared" si="2"/>
        <v>34.25708628</v>
      </c>
      <c r="K4" s="23">
        <f>PETR4.!C2</f>
        <v>35.23</v>
      </c>
      <c r="L4" s="18">
        <f t="shared" si="3"/>
        <v>0.02840036411</v>
      </c>
      <c r="M4" s="18">
        <f>G4/P1</f>
        <v>0.1280171167</v>
      </c>
      <c r="N4" s="18">
        <v>0.07</v>
      </c>
      <c r="O4" s="6" t="s">
        <v>25</v>
      </c>
      <c r="P4" s="7">
        <f>SUM(G13:G18)</f>
        <v>7808.8</v>
      </c>
      <c r="Q4" s="24"/>
      <c r="R4" s="8"/>
    </row>
    <row r="5" ht="15.75" customHeight="1">
      <c r="A5" s="9">
        <v>4.0</v>
      </c>
      <c r="B5" s="10" t="s">
        <v>26</v>
      </c>
      <c r="C5" s="25" t="s">
        <v>27</v>
      </c>
      <c r="D5" s="12" t="s">
        <v>21</v>
      </c>
      <c r="E5" s="26">
        <v>22.0</v>
      </c>
      <c r="F5" s="14">
        <f>KLBN11!E2</f>
        <v>5000</v>
      </c>
      <c r="G5" s="15">
        <f t="shared" si="1"/>
        <v>110000</v>
      </c>
      <c r="H5" s="15">
        <f>G5-BBAS3.!D2</f>
        <v>91740</v>
      </c>
      <c r="I5" s="16">
        <f>H5/BBAS3.!D2</f>
        <v>5.024096386</v>
      </c>
      <c r="J5" s="15">
        <f t="shared" si="2"/>
        <v>21.91914029</v>
      </c>
      <c r="K5" s="23">
        <f>BBAS3.!C2</f>
        <v>22</v>
      </c>
      <c r="L5" s="18">
        <f t="shared" si="3"/>
        <v>0.003689</v>
      </c>
      <c r="M5" s="18">
        <f>G5/P1</f>
        <v>0.3124724367</v>
      </c>
      <c r="N5" s="18">
        <v>0.06</v>
      </c>
      <c r="O5" s="6" t="s">
        <v>28</v>
      </c>
      <c r="P5" s="7">
        <f>P1-P2</f>
        <v>-706533.3</v>
      </c>
      <c r="Q5" s="27"/>
      <c r="R5" s="8"/>
    </row>
    <row r="6" ht="15.75" customHeight="1">
      <c r="A6" s="9">
        <v>5.0</v>
      </c>
      <c r="B6" s="10" t="s">
        <v>29</v>
      </c>
      <c r="C6" s="28" t="s">
        <v>30</v>
      </c>
      <c r="D6" s="12" t="s">
        <v>21</v>
      </c>
      <c r="E6" s="21">
        <f>IFERROR(__xludf.DUMMYFUNCTION("GOOGLEFINANCE(B6)"),18.38)</f>
        <v>18.38</v>
      </c>
      <c r="F6" s="14">
        <f>PETR4.!E2</f>
        <v>300</v>
      </c>
      <c r="G6" s="15">
        <f t="shared" si="1"/>
        <v>5514</v>
      </c>
      <c r="H6" s="15">
        <f>G6-BRBl11!D2</f>
        <v>-12746</v>
      </c>
      <c r="I6" s="16">
        <f>H6/BRBl11!D2</f>
        <v>-0.6980284775</v>
      </c>
      <c r="J6" s="15">
        <f t="shared" si="2"/>
        <v>21.31219727</v>
      </c>
      <c r="K6" s="17">
        <f>BRBl11!C2</f>
        <v>22</v>
      </c>
      <c r="L6" s="18">
        <f t="shared" si="3"/>
        <v>0.03227272727</v>
      </c>
      <c r="M6" s="18">
        <f>G6/P1</f>
        <v>0.01566339106</v>
      </c>
      <c r="N6" s="18">
        <v>0.05</v>
      </c>
      <c r="O6" s="19" t="s">
        <v>31</v>
      </c>
      <c r="P6" s="29">
        <f>P5/P2</f>
        <v>-0.6674448275</v>
      </c>
      <c r="Q6" s="30" t="s">
        <v>12</v>
      </c>
      <c r="R6" s="31" t="s">
        <v>32</v>
      </c>
    </row>
    <row r="7" ht="15.75" customHeight="1">
      <c r="A7" s="9">
        <v>6.0</v>
      </c>
      <c r="B7" s="10" t="s">
        <v>33</v>
      </c>
      <c r="C7" s="32" t="s">
        <v>34</v>
      </c>
      <c r="D7" s="12" t="s">
        <v>21</v>
      </c>
      <c r="E7" s="21">
        <f>IFERROR(__xludf.DUMMYFUNCTION("GOOGLEFINANCE(B7)"),18.25)</f>
        <v>18.25</v>
      </c>
      <c r="F7" s="14">
        <f>BBDC4!C5</f>
        <v>995</v>
      </c>
      <c r="G7" s="15">
        <f t="shared" si="1"/>
        <v>18158.75</v>
      </c>
      <c r="H7" s="15">
        <f>G7-BBDC4!F2</f>
        <v>-3628.75</v>
      </c>
      <c r="I7" s="16">
        <f>H7/BBDC4!D2</f>
        <v>-0.1998347904</v>
      </c>
      <c r="J7" s="15">
        <f t="shared" si="2"/>
        <v>18.00337838</v>
      </c>
      <c r="K7" s="17">
        <f>BBDC4!C2</f>
        <v>18.25</v>
      </c>
      <c r="L7" s="18">
        <f t="shared" si="3"/>
        <v>0.01369863014</v>
      </c>
      <c r="M7" s="18">
        <f>G7/P1</f>
        <v>0.05158280782</v>
      </c>
      <c r="N7" s="18">
        <v>0.05</v>
      </c>
      <c r="O7" s="33" t="s">
        <v>35</v>
      </c>
      <c r="P7" s="34">
        <v>85000.0</v>
      </c>
      <c r="Q7" s="35">
        <f>P7/P11</f>
        <v>0.1835730023</v>
      </c>
      <c r="R7" s="36">
        <v>0.5</v>
      </c>
    </row>
    <row r="8" ht="15.75" customHeight="1">
      <c r="A8" s="9">
        <v>7.0</v>
      </c>
      <c r="B8" s="10" t="s">
        <v>36</v>
      </c>
      <c r="C8" s="37" t="s">
        <v>34</v>
      </c>
      <c r="D8" s="12" t="s">
        <v>21</v>
      </c>
      <c r="E8" s="21">
        <f>IFERROR(__xludf.DUMMYFUNCTION("GOOGLEFINANCE(B8)"),11.53)</f>
        <v>11.53</v>
      </c>
      <c r="F8" s="14">
        <f>ITSA4!C5</f>
        <v>1450</v>
      </c>
      <c r="G8" s="15">
        <f t="shared" si="1"/>
        <v>16718.5</v>
      </c>
      <c r="H8" s="15">
        <f>G8-ITSA4!F2</f>
        <v>-28347.5</v>
      </c>
      <c r="I8" s="16">
        <f>H8/ITSA4!D2</f>
        <v>-1.396428571</v>
      </c>
      <c r="J8" s="15">
        <f t="shared" si="2"/>
        <v>13.68879898</v>
      </c>
      <c r="K8" s="17">
        <f>ITSA4!C2</f>
        <v>14</v>
      </c>
      <c r="L8" s="18">
        <f t="shared" si="3"/>
        <v>0.02273399015</v>
      </c>
      <c r="M8" s="18">
        <f>G8/P1</f>
        <v>0.0474915494</v>
      </c>
      <c r="N8" s="18">
        <v>0.1</v>
      </c>
      <c r="O8" s="33" t="s">
        <v>37</v>
      </c>
      <c r="P8" s="34">
        <f>P1</f>
        <v>352031.05</v>
      </c>
      <c r="Q8" s="35">
        <f>P8/P11</f>
        <v>0.7602752558</v>
      </c>
      <c r="R8" s="36">
        <v>0.32</v>
      </c>
    </row>
    <row r="9" ht="15.75" customHeight="1">
      <c r="A9" s="9">
        <v>8.0</v>
      </c>
      <c r="B9" s="10" t="s">
        <v>38</v>
      </c>
      <c r="C9" s="38" t="s">
        <v>39</v>
      </c>
      <c r="D9" s="12" t="s">
        <v>21</v>
      </c>
      <c r="E9" s="21">
        <f>IFERROR(__xludf.DUMMYFUNCTION("GOOGLEFINANCE(B9)"),10.97)</f>
        <v>10.97</v>
      </c>
      <c r="F9" s="14">
        <f>TAEE11!E2</f>
        <v>650</v>
      </c>
      <c r="G9" s="15">
        <f t="shared" si="1"/>
        <v>7130.5</v>
      </c>
      <c r="H9" s="15">
        <f>G9-CMIG4!D2</f>
        <v>-792079.1</v>
      </c>
      <c r="I9" s="16">
        <f>H9/CMIG4!D2</f>
        <v>-0.9910780601</v>
      </c>
      <c r="J9" s="15">
        <f t="shared" si="2"/>
        <v>10.53232578</v>
      </c>
      <c r="K9" s="17">
        <f>CMIG4!C2</f>
        <v>11.2</v>
      </c>
      <c r="L9" s="18">
        <f t="shared" si="3"/>
        <v>0.06339285714</v>
      </c>
      <c r="M9" s="18">
        <f>G9/P1</f>
        <v>0.02025531555</v>
      </c>
      <c r="N9" s="18">
        <v>0.1</v>
      </c>
      <c r="O9" s="33" t="s">
        <v>40</v>
      </c>
      <c r="P9" s="34">
        <v>22000.0</v>
      </c>
      <c r="Q9" s="35">
        <f>P9/P11</f>
        <v>0.04751301236</v>
      </c>
      <c r="R9" s="36">
        <v>0.15</v>
      </c>
    </row>
    <row r="10" ht="15.75" customHeight="1">
      <c r="A10" s="39">
        <v>9.0</v>
      </c>
      <c r="B10" s="10" t="s">
        <v>41</v>
      </c>
      <c r="C10" s="40" t="s">
        <v>42</v>
      </c>
      <c r="D10" s="12" t="s">
        <v>21</v>
      </c>
      <c r="E10" s="21">
        <f>IFERROR(__xludf.DUMMYFUNCTION("GOOGLEFINANCE(B10)"),5.69)</f>
        <v>5.69</v>
      </c>
      <c r="F10" s="14">
        <f>VALE3!E2</f>
        <v>300</v>
      </c>
      <c r="G10" s="15">
        <f t="shared" si="1"/>
        <v>1707</v>
      </c>
      <c r="H10" s="15">
        <f>G10-FIQE3!D2</f>
        <v>-29709</v>
      </c>
      <c r="I10" s="16">
        <f>H10/FIQE3!D2</f>
        <v>-0.9456646295</v>
      </c>
      <c r="J10" s="15">
        <f t="shared" si="2"/>
        <v>2.544169611</v>
      </c>
      <c r="K10" s="17">
        <f>FIQE3!C2</f>
        <v>6</v>
      </c>
      <c r="L10" s="18">
        <f t="shared" si="3"/>
        <v>1.358333333</v>
      </c>
      <c r="M10" s="18">
        <f>G10/P1</f>
        <v>0.004849004086</v>
      </c>
      <c r="N10" s="18">
        <v>0.05</v>
      </c>
      <c r="O10" s="33" t="s">
        <v>43</v>
      </c>
      <c r="P10" s="34">
        <v>4000.0</v>
      </c>
      <c r="Q10" s="35">
        <f>P10/P11</f>
        <v>0.008638729519</v>
      </c>
      <c r="R10" s="36">
        <v>0.03</v>
      </c>
    </row>
    <row r="11" ht="15.75" customHeight="1">
      <c r="A11" s="39">
        <v>10.0</v>
      </c>
      <c r="B11" s="41" t="s">
        <v>44</v>
      </c>
      <c r="C11" s="42" t="s">
        <v>45</v>
      </c>
      <c r="D11" s="12" t="s">
        <v>21</v>
      </c>
      <c r="E11" s="21">
        <f>IFERROR(__xludf.DUMMYFUNCTION("GOOGLEFINANCE(B11)"),18.35)</f>
        <v>18.35</v>
      </c>
      <c r="F11" s="14">
        <f>KLBN11!E2</f>
        <v>5000</v>
      </c>
      <c r="G11" s="15">
        <f t="shared" si="1"/>
        <v>91750</v>
      </c>
      <c r="H11" s="15">
        <f>G11-KLBN11!D2</f>
        <v>71750</v>
      </c>
      <c r="I11" s="16">
        <f>H11/KLBN11!D2</f>
        <v>3.5875</v>
      </c>
      <c r="J11" s="15">
        <f t="shared" si="2"/>
        <v>1.436807414</v>
      </c>
      <c r="K11" s="17">
        <f>KLBN11!C2</f>
        <v>4</v>
      </c>
      <c r="L11" s="18">
        <f t="shared" si="3"/>
        <v>1.78395</v>
      </c>
      <c r="M11" s="18">
        <f>G11/P1</f>
        <v>0.2606304188</v>
      </c>
      <c r="N11" s="18">
        <v>0.07</v>
      </c>
      <c r="O11" s="43" t="s">
        <v>46</v>
      </c>
      <c r="P11" s="44">
        <f t="shared" ref="P11:R11" si="4">P7+P8+P9+P10</f>
        <v>463031.05</v>
      </c>
      <c r="Q11" s="45">
        <f t="shared" si="4"/>
        <v>1</v>
      </c>
      <c r="R11" s="46">
        <f t="shared" si="4"/>
        <v>1</v>
      </c>
    </row>
    <row r="12" ht="15.75" customHeight="1">
      <c r="A12" s="47"/>
      <c r="B12" s="48"/>
      <c r="C12" s="48"/>
      <c r="D12" s="49"/>
      <c r="E12" s="50"/>
      <c r="F12" s="49"/>
      <c r="G12" s="51"/>
      <c r="H12" s="49"/>
      <c r="I12" s="52"/>
      <c r="J12" s="51"/>
      <c r="K12" s="53"/>
      <c r="L12" s="54"/>
      <c r="M12" s="55">
        <v>0.65</v>
      </c>
      <c r="N12" s="55">
        <f>SUM(N2:N11)</f>
        <v>0.7</v>
      </c>
      <c r="O12" s="56"/>
      <c r="P12" s="57"/>
      <c r="Q12" s="57"/>
      <c r="R12" s="58"/>
    </row>
    <row r="13" ht="15.75" customHeight="1">
      <c r="A13" s="39">
        <v>1.0</v>
      </c>
      <c r="B13" s="14" t="s">
        <v>47</v>
      </c>
      <c r="C13" s="59" t="s">
        <v>1</v>
      </c>
      <c r="D13" s="12" t="s">
        <v>48</v>
      </c>
      <c r="E13" s="60">
        <f>IFERROR(__xludf.DUMMYFUNCTION("GOOGLEFINANCE(B13)"),9.47)</f>
        <v>9.47</v>
      </c>
      <c r="F13" s="14">
        <f>MXRF11!E2</f>
        <v>298</v>
      </c>
      <c r="G13" s="15">
        <f t="shared" ref="G13:G18" si="5">F13*E13</f>
        <v>2822.06</v>
      </c>
      <c r="H13" s="15">
        <f>G13-MXRF11!D2</f>
        <v>140.06</v>
      </c>
      <c r="I13" s="16">
        <f>H13/MXRF11!D2</f>
        <v>0.05222222222</v>
      </c>
      <c r="J13" s="15">
        <f t="shared" ref="J13:J18" si="6">K13/(1+L13)</f>
        <v>8.794788274</v>
      </c>
      <c r="K13" s="61">
        <f>MXRF11!C2</f>
        <v>9</v>
      </c>
      <c r="L13" s="62">
        <f t="shared" ref="L13:L18" si="7">M34/(K13*F13)</f>
        <v>0.02333333333</v>
      </c>
      <c r="M13" s="62">
        <v>0.09</v>
      </c>
      <c r="N13" s="62">
        <v>0.05</v>
      </c>
      <c r="O13" s="56"/>
      <c r="P13" s="57"/>
      <c r="Q13" s="57"/>
      <c r="R13" s="58"/>
    </row>
    <row r="14" ht="15.75" customHeight="1">
      <c r="A14" s="39">
        <v>2.0</v>
      </c>
      <c r="B14" s="14" t="s">
        <v>49</v>
      </c>
      <c r="C14" s="59" t="s">
        <v>50</v>
      </c>
      <c r="D14" s="12" t="s">
        <v>48</v>
      </c>
      <c r="E14" s="60">
        <f>IFERROR(__xludf.DUMMYFUNCTION("GOOGLEFINANCE(B14)"),44.55)</f>
        <v>44.55</v>
      </c>
      <c r="F14" s="14">
        <f>BRCR11!E2</f>
        <v>13</v>
      </c>
      <c r="G14" s="15">
        <f t="shared" si="5"/>
        <v>579.15</v>
      </c>
      <c r="H14" s="15">
        <f>G14-BRCR11!D2</f>
        <v>-70.85</v>
      </c>
      <c r="I14" s="16">
        <f>H14/BRCR11!D2</f>
        <v>-0.109</v>
      </c>
      <c r="J14" s="15">
        <f t="shared" si="6"/>
        <v>49.59333466</v>
      </c>
      <c r="K14" s="17">
        <f>BRCR11!C2</f>
        <v>50</v>
      </c>
      <c r="L14" s="62">
        <f t="shared" si="7"/>
        <v>0.0082</v>
      </c>
      <c r="M14" s="18">
        <v>0.03</v>
      </c>
      <c r="N14" s="18">
        <v>0.04</v>
      </c>
      <c r="O14" s="56"/>
      <c r="P14" s="57"/>
      <c r="Q14" s="57"/>
      <c r="R14" s="58"/>
    </row>
    <row r="15" ht="15.75" customHeight="1">
      <c r="A15" s="39">
        <v>3.0</v>
      </c>
      <c r="B15" s="14" t="s">
        <v>51</v>
      </c>
      <c r="C15" s="59" t="s">
        <v>52</v>
      </c>
      <c r="D15" s="12" t="s">
        <v>48</v>
      </c>
      <c r="E15" s="60">
        <f>IFERROR(__xludf.DUMMYFUNCTION("GOOGLEFINANCE(B15)"),103.13)</f>
        <v>103.13</v>
      </c>
      <c r="F15" s="14">
        <f>XPLG11!E2</f>
        <v>19</v>
      </c>
      <c r="G15" s="15">
        <f t="shared" si="5"/>
        <v>1959.47</v>
      </c>
      <c r="H15" s="15">
        <f>G15-XPLG11!D2</f>
        <v>154.47</v>
      </c>
      <c r="I15" s="16">
        <f>H15/XPLG11!D2</f>
        <v>0.08557894737</v>
      </c>
      <c r="J15" s="15">
        <f t="shared" si="6"/>
        <v>94.6319577</v>
      </c>
      <c r="K15" s="17">
        <f>XPLG11!C2</f>
        <v>95</v>
      </c>
      <c r="L15" s="62">
        <f t="shared" si="7"/>
        <v>0.003889196676</v>
      </c>
      <c r="M15" s="18">
        <v>0.08</v>
      </c>
      <c r="N15" s="18">
        <v>0.06</v>
      </c>
      <c r="O15" s="56"/>
      <c r="P15" s="57"/>
      <c r="Q15" s="57"/>
      <c r="R15" s="58"/>
    </row>
    <row r="16" ht="15.75" customHeight="1">
      <c r="A16" s="39">
        <v>4.0</v>
      </c>
      <c r="B16" s="14" t="s">
        <v>53</v>
      </c>
      <c r="C16" s="59" t="s">
        <v>54</v>
      </c>
      <c r="D16" s="12" t="s">
        <v>48</v>
      </c>
      <c r="E16" s="60">
        <f>IFERROR(__xludf.DUMMYFUNCTION("GOOGLEFINANCE(B16)"),106.26)</f>
        <v>106.26</v>
      </c>
      <c r="F16" s="14">
        <f>XPML11!E2</f>
        <v>4</v>
      </c>
      <c r="G16" s="15">
        <f t="shared" si="5"/>
        <v>425.04</v>
      </c>
      <c r="H16" s="15">
        <f>G16-XPML11!D2</f>
        <v>21.04</v>
      </c>
      <c r="I16" s="16">
        <f>H16/XPML11!D2</f>
        <v>0.05207920792</v>
      </c>
      <c r="J16" s="15">
        <f t="shared" si="6"/>
        <v>99.21221552</v>
      </c>
      <c r="K16" s="23">
        <f>XPML11!C2</f>
        <v>101</v>
      </c>
      <c r="L16" s="62">
        <f t="shared" si="7"/>
        <v>0.01801980198</v>
      </c>
      <c r="M16" s="18">
        <v>0.03</v>
      </c>
      <c r="N16" s="18">
        <v>0.05</v>
      </c>
      <c r="O16" s="63"/>
      <c r="P16" s="64"/>
      <c r="Q16" s="65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</row>
    <row r="17" ht="15.75" customHeight="1">
      <c r="A17" s="39">
        <v>5.0</v>
      </c>
      <c r="B17" s="14" t="s">
        <v>55</v>
      </c>
      <c r="C17" s="59" t="s">
        <v>56</v>
      </c>
      <c r="D17" s="12" t="s">
        <v>48</v>
      </c>
      <c r="E17" s="60">
        <f>IFERROR(__xludf.DUMMYFUNCTION("GOOGLEFINANCE(B17)"),10.6)</f>
        <v>10.6</v>
      </c>
      <c r="F17" s="14">
        <f>SNAG11!E2</f>
        <v>149</v>
      </c>
      <c r="G17" s="15">
        <f t="shared" si="5"/>
        <v>1579.4</v>
      </c>
      <c r="H17" s="15">
        <f>G17-SNAG11!D2</f>
        <v>74.5</v>
      </c>
      <c r="I17" s="16">
        <f>H17/XPML11!D2</f>
        <v>0.1844059406</v>
      </c>
      <c r="J17" s="15">
        <f t="shared" si="6"/>
        <v>100.9310538</v>
      </c>
      <c r="K17" s="23">
        <f>XPML11!C2</f>
        <v>101</v>
      </c>
      <c r="L17" s="62">
        <f t="shared" si="7"/>
        <v>0.0006831018672</v>
      </c>
      <c r="M17" s="18">
        <v>0.09</v>
      </c>
      <c r="N17" s="18">
        <v>0.06</v>
      </c>
      <c r="O17" s="63"/>
      <c r="P17" s="64"/>
      <c r="Q17" s="65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</row>
    <row r="18" ht="15.75" customHeight="1">
      <c r="A18" s="66">
        <v>6.0</v>
      </c>
      <c r="B18" s="67" t="s">
        <v>57</v>
      </c>
      <c r="C18" s="68" t="s">
        <v>58</v>
      </c>
      <c r="D18" s="12" t="s">
        <v>48</v>
      </c>
      <c r="E18" s="60">
        <f>IFERROR(__xludf.DUMMYFUNCTION("GOOGLEFINANCE(B18)"),7.52)</f>
        <v>7.52</v>
      </c>
      <c r="F18" s="67">
        <f>CPTS11!E2</f>
        <v>59</v>
      </c>
      <c r="G18" s="15">
        <f t="shared" si="5"/>
        <v>443.68</v>
      </c>
      <c r="H18" s="69">
        <f>G18-CPTS11!D2</f>
        <v>0</v>
      </c>
      <c r="I18" s="70">
        <f>H18/CPTS11!D2</f>
        <v>0</v>
      </c>
      <c r="J18" s="15">
        <f t="shared" si="6"/>
        <v>7.450645586</v>
      </c>
      <c r="K18" s="71">
        <f>CPTS11!C2</f>
        <v>7.52</v>
      </c>
      <c r="L18" s="62">
        <f t="shared" si="7"/>
        <v>0.009308510638</v>
      </c>
      <c r="M18" s="72">
        <v>0.03</v>
      </c>
      <c r="N18" s="72">
        <v>0.04</v>
      </c>
      <c r="O18" s="63"/>
      <c r="P18" s="64"/>
      <c r="Q18" s="65"/>
      <c r="R18" s="58"/>
    </row>
    <row r="19" ht="15.75" customHeight="1">
      <c r="A19" s="47"/>
      <c r="B19" s="49"/>
      <c r="C19" s="49"/>
      <c r="D19" s="49"/>
      <c r="E19" s="50"/>
      <c r="F19" s="49"/>
      <c r="G19" s="51"/>
      <c r="H19" s="49"/>
      <c r="I19" s="52"/>
      <c r="J19" s="52"/>
      <c r="K19" s="54"/>
      <c r="L19" s="54"/>
      <c r="M19" s="55">
        <f t="shared" ref="M19:N19" si="8">M13+M14+M15+M16+M17+M18</f>
        <v>0.35</v>
      </c>
      <c r="N19" s="55">
        <f t="shared" si="8"/>
        <v>0.3</v>
      </c>
      <c r="O19" s="63"/>
      <c r="P19" s="64"/>
      <c r="Q19" s="65"/>
      <c r="R19" s="58"/>
    </row>
    <row r="20" ht="15.7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O20" s="63"/>
      <c r="P20" s="64"/>
      <c r="Q20" s="65"/>
    </row>
    <row r="21" ht="15.75" customHeight="1">
      <c r="I21" s="74"/>
      <c r="J21" s="75"/>
      <c r="K21" s="76"/>
      <c r="L21" s="77" t="s">
        <v>59</v>
      </c>
      <c r="M21" s="76"/>
      <c r="N21" s="78"/>
      <c r="O21" s="79"/>
      <c r="P21" s="79"/>
      <c r="Q21" s="80"/>
    </row>
    <row r="22" ht="15.75" customHeight="1">
      <c r="A22" s="81"/>
      <c r="B22" s="82"/>
      <c r="C22" s="82"/>
      <c r="I22" s="83"/>
      <c r="J22" s="84" t="s">
        <v>60</v>
      </c>
      <c r="K22" s="85" t="s">
        <v>61</v>
      </c>
      <c r="L22" s="85" t="s">
        <v>6</v>
      </c>
      <c r="M22" s="85" t="s">
        <v>62</v>
      </c>
      <c r="N22" s="85" t="s">
        <v>63</v>
      </c>
      <c r="O22" s="86" t="s">
        <v>46</v>
      </c>
      <c r="P22" s="86" t="s">
        <v>31</v>
      </c>
      <c r="Q22" s="87"/>
    </row>
    <row r="23" ht="15.75" customHeight="1">
      <c r="A23" s="81"/>
      <c r="B23" s="88"/>
      <c r="C23" s="88"/>
      <c r="I23" s="83"/>
      <c r="J23" s="89" t="s">
        <v>26</v>
      </c>
      <c r="K23" s="90">
        <f t="shared" ref="K23:K32" si="9">K2*F2</f>
        <v>58930</v>
      </c>
      <c r="L23" s="90">
        <f t="shared" ref="L23:L39" si="10">G2</f>
        <v>21787.5</v>
      </c>
      <c r="M23" s="90">
        <f>BBAS3.!K15</f>
        <v>415</v>
      </c>
      <c r="N23" s="90">
        <f>BBAS3.!P15</f>
        <v>0</v>
      </c>
      <c r="O23" s="90">
        <f t="shared" ref="O23:O32" si="11">L23+M23+N23</f>
        <v>22202.5</v>
      </c>
      <c r="P23" s="91">
        <f t="shared" ref="P23:P32" si="12">(O23-K23)/K23</f>
        <v>-0.6232394366</v>
      </c>
      <c r="Q23" s="87"/>
    </row>
    <row r="24" ht="15.75" customHeight="1">
      <c r="I24" s="83"/>
      <c r="J24" s="41" t="s">
        <v>41</v>
      </c>
      <c r="K24" s="90">
        <f t="shared" si="9"/>
        <v>27300</v>
      </c>
      <c r="L24" s="90">
        <f t="shared" si="10"/>
        <v>26390</v>
      </c>
      <c r="M24" s="90">
        <f>FIQE3!K15</f>
        <v>30107</v>
      </c>
      <c r="N24" s="90" t="str">
        <f>FIQE3!Q15</f>
        <v/>
      </c>
      <c r="O24" s="90">
        <f t="shared" si="11"/>
        <v>56497</v>
      </c>
      <c r="P24" s="91">
        <f t="shared" si="12"/>
        <v>1.069487179</v>
      </c>
      <c r="Q24" s="87"/>
    </row>
    <row r="25" ht="15.75" customHeight="1">
      <c r="I25" s="83"/>
      <c r="J25" s="92" t="s">
        <v>64</v>
      </c>
      <c r="K25" s="90">
        <f t="shared" si="9"/>
        <v>51083.5</v>
      </c>
      <c r="L25" s="90">
        <f t="shared" si="10"/>
        <v>45066</v>
      </c>
      <c r="M25" s="90">
        <f>ITSA4!K15</f>
        <v>1450.79</v>
      </c>
      <c r="N25" s="90">
        <f>ITSA4!Q15</f>
        <v>0</v>
      </c>
      <c r="O25" s="90">
        <f t="shared" si="11"/>
        <v>46516.79</v>
      </c>
      <c r="P25" s="91">
        <f t="shared" si="12"/>
        <v>-0.08939696771</v>
      </c>
      <c r="Q25" s="87"/>
    </row>
    <row r="26" ht="15.75" customHeight="1">
      <c r="I26" s="83"/>
      <c r="J26" s="93" t="s">
        <v>44</v>
      </c>
      <c r="K26" s="90">
        <f t="shared" si="9"/>
        <v>110000</v>
      </c>
      <c r="L26" s="90">
        <f t="shared" si="10"/>
        <v>110000</v>
      </c>
      <c r="M26" s="90">
        <f>KLBN11!K15</f>
        <v>405.79</v>
      </c>
      <c r="N26" s="90">
        <f>KLBN11!Q15</f>
        <v>0</v>
      </c>
      <c r="O26" s="90">
        <f t="shared" si="11"/>
        <v>110405.79</v>
      </c>
      <c r="P26" s="91">
        <f t="shared" si="12"/>
        <v>0.003689</v>
      </c>
      <c r="Q26" s="87"/>
    </row>
    <row r="27" ht="15.75" customHeight="1">
      <c r="I27" s="94"/>
      <c r="J27" s="89" t="s">
        <v>23</v>
      </c>
      <c r="K27" s="90">
        <f t="shared" si="9"/>
        <v>6600</v>
      </c>
      <c r="L27" s="90">
        <f t="shared" si="10"/>
        <v>5514</v>
      </c>
      <c r="M27" s="90">
        <f>PETR4.!K15</f>
        <v>213</v>
      </c>
      <c r="N27" s="90">
        <f>PETR4.!Q15</f>
        <v>-10569</v>
      </c>
      <c r="O27" s="90">
        <f t="shared" si="11"/>
        <v>-4842</v>
      </c>
      <c r="P27" s="91">
        <f t="shared" si="12"/>
        <v>-1.733636364</v>
      </c>
      <c r="Q27" s="87"/>
    </row>
    <row r="28" ht="15.75" customHeight="1">
      <c r="F28" s="95"/>
      <c r="I28" s="83"/>
      <c r="J28" s="96" t="s">
        <v>33</v>
      </c>
      <c r="K28" s="90">
        <f t="shared" si="9"/>
        <v>18158.75</v>
      </c>
      <c r="L28" s="90">
        <f t="shared" si="10"/>
        <v>18158.75</v>
      </c>
      <c r="M28" s="90">
        <f>BBDC4!K15</f>
        <v>248.75</v>
      </c>
      <c r="N28" s="90">
        <f>BBDC4!P15</f>
        <v>0</v>
      </c>
      <c r="O28" s="90">
        <f t="shared" si="11"/>
        <v>18407.5</v>
      </c>
      <c r="P28" s="91">
        <f t="shared" si="12"/>
        <v>0.01369863014</v>
      </c>
      <c r="Q28" s="87"/>
    </row>
    <row r="29" ht="15.75" customHeight="1">
      <c r="I29" s="83"/>
      <c r="J29" s="97" t="s">
        <v>19</v>
      </c>
      <c r="K29" s="90">
        <f t="shared" si="9"/>
        <v>20300</v>
      </c>
      <c r="L29" s="90">
        <f t="shared" si="10"/>
        <v>16718.5</v>
      </c>
      <c r="M29" s="90">
        <f>TAEE11!K15</f>
        <v>461.5</v>
      </c>
      <c r="N29" s="90">
        <f>TAEE11!Q15</f>
        <v>0</v>
      </c>
      <c r="O29" s="90">
        <f t="shared" si="11"/>
        <v>17180</v>
      </c>
      <c r="P29" s="91">
        <f t="shared" si="12"/>
        <v>-0.1536945813</v>
      </c>
      <c r="Q29" s="87"/>
    </row>
    <row r="30" ht="15.75" customHeight="1">
      <c r="I30" s="83"/>
      <c r="J30" s="98" t="s">
        <v>19</v>
      </c>
      <c r="K30" s="90">
        <f t="shared" si="9"/>
        <v>7280</v>
      </c>
      <c r="L30" s="90">
        <f t="shared" si="10"/>
        <v>7130.5</v>
      </c>
      <c r="M30" s="90">
        <f>TAEE11!K15</f>
        <v>461.5</v>
      </c>
      <c r="N30" s="90">
        <f>TAEE11!Q15</f>
        <v>0</v>
      </c>
      <c r="O30" s="90">
        <f t="shared" si="11"/>
        <v>7592</v>
      </c>
      <c r="P30" s="91">
        <f t="shared" si="12"/>
        <v>0.04285714286</v>
      </c>
      <c r="Q30" s="87"/>
    </row>
    <row r="31" ht="15.75" customHeight="1">
      <c r="I31" s="83"/>
      <c r="J31" s="99" t="s">
        <v>15</v>
      </c>
      <c r="K31" s="90">
        <f t="shared" si="9"/>
        <v>1800</v>
      </c>
      <c r="L31" s="90">
        <f t="shared" si="10"/>
        <v>1707</v>
      </c>
      <c r="M31" s="90">
        <f>VALE3!K15</f>
        <v>2445</v>
      </c>
      <c r="N31" s="90">
        <f>VALE3!Q15</f>
        <v>0</v>
      </c>
      <c r="O31" s="90">
        <f t="shared" si="11"/>
        <v>4152</v>
      </c>
      <c r="P31" s="91">
        <f t="shared" si="12"/>
        <v>1.306666667</v>
      </c>
      <c r="Q31" s="87"/>
    </row>
    <row r="32" ht="15.75" customHeight="1">
      <c r="I32" s="83"/>
      <c r="J32" s="100" t="s">
        <v>38</v>
      </c>
      <c r="K32" s="101">
        <f t="shared" si="9"/>
        <v>20000</v>
      </c>
      <c r="L32" s="101">
        <f t="shared" si="10"/>
        <v>91750</v>
      </c>
      <c r="M32" s="101">
        <f>CMIG4!K15</f>
        <v>35679</v>
      </c>
      <c r="N32" s="101" t="str">
        <f>CMIG4!Q15</f>
        <v/>
      </c>
      <c r="O32" s="101">
        <f t="shared" si="11"/>
        <v>127429</v>
      </c>
      <c r="P32" s="102">
        <f t="shared" si="12"/>
        <v>5.37145</v>
      </c>
      <c r="Q32" s="103"/>
    </row>
    <row r="33" ht="15.75" customHeight="1">
      <c r="I33" s="83"/>
      <c r="J33" s="104"/>
      <c r="K33" s="105"/>
      <c r="L33" s="105" t="str">
        <f t="shared" si="10"/>
        <v/>
      </c>
      <c r="M33" s="105"/>
      <c r="N33" s="105"/>
      <c r="O33" s="105"/>
      <c r="P33" s="106"/>
      <c r="Q33" s="103"/>
    </row>
    <row r="34" ht="15.75" customHeight="1">
      <c r="I34" s="83"/>
      <c r="J34" s="107" t="s">
        <v>47</v>
      </c>
      <c r="K34" s="90">
        <f t="shared" ref="K34:K39" si="13">K13*F13</f>
        <v>2682</v>
      </c>
      <c r="L34" s="90">
        <f t="shared" si="10"/>
        <v>2822.06</v>
      </c>
      <c r="M34" s="108">
        <f>MXRF11!K15</f>
        <v>62.58</v>
      </c>
      <c r="N34" s="108"/>
      <c r="O34" s="90">
        <f t="shared" ref="O34:O39" si="14">L34+M34+N34</f>
        <v>2884.64</v>
      </c>
      <c r="P34" s="91">
        <f t="shared" ref="P34:P39" si="15">(O34-K34)/K34</f>
        <v>0.07555555556</v>
      </c>
      <c r="Q34" s="103"/>
    </row>
    <row r="35" ht="15.75" customHeight="1">
      <c r="I35" s="83"/>
      <c r="J35" s="109" t="s">
        <v>49</v>
      </c>
      <c r="K35" s="90">
        <f t="shared" si="13"/>
        <v>650</v>
      </c>
      <c r="L35" s="90">
        <f t="shared" si="10"/>
        <v>579.15</v>
      </c>
      <c r="M35" s="110">
        <f>BRCR11!K15</f>
        <v>5.33</v>
      </c>
      <c r="N35" s="110"/>
      <c r="O35" s="90">
        <f t="shared" si="14"/>
        <v>584.48</v>
      </c>
      <c r="P35" s="91">
        <f t="shared" si="15"/>
        <v>-0.1008</v>
      </c>
      <c r="Q35" s="103"/>
    </row>
    <row r="36" ht="15.75" customHeight="1">
      <c r="I36" s="83"/>
      <c r="J36" s="109" t="s">
        <v>51</v>
      </c>
      <c r="K36" s="90">
        <f t="shared" si="13"/>
        <v>1805</v>
      </c>
      <c r="L36" s="90">
        <f t="shared" si="10"/>
        <v>1959.47</v>
      </c>
      <c r="M36" s="110">
        <f>XPLG11!K15</f>
        <v>7.02</v>
      </c>
      <c r="N36" s="110"/>
      <c r="O36" s="90">
        <f t="shared" si="14"/>
        <v>1966.49</v>
      </c>
      <c r="P36" s="91">
        <f t="shared" si="15"/>
        <v>0.08946814404</v>
      </c>
      <c r="Q36" s="103"/>
    </row>
    <row r="37" ht="15.75" customHeight="1">
      <c r="I37" s="111"/>
      <c r="J37" s="109" t="s">
        <v>53</v>
      </c>
      <c r="K37" s="90">
        <f t="shared" si="13"/>
        <v>404</v>
      </c>
      <c r="L37" s="90">
        <f t="shared" si="10"/>
        <v>425.04</v>
      </c>
      <c r="M37" s="110">
        <f>XPML11!K15</f>
        <v>7.28</v>
      </c>
      <c r="N37" s="110"/>
      <c r="O37" s="90">
        <f t="shared" si="14"/>
        <v>432.32</v>
      </c>
      <c r="P37" s="91">
        <f t="shared" si="15"/>
        <v>0.0700990099</v>
      </c>
      <c r="Q37" s="112"/>
    </row>
    <row r="38" ht="15.75" customHeight="1">
      <c r="I38" s="111"/>
      <c r="J38" s="109" t="s">
        <v>55</v>
      </c>
      <c r="K38" s="90">
        <f t="shared" si="13"/>
        <v>15049</v>
      </c>
      <c r="L38" s="90">
        <f t="shared" si="10"/>
        <v>1579.4</v>
      </c>
      <c r="M38" s="110">
        <f>SNAG11!K15</f>
        <v>10.28</v>
      </c>
      <c r="N38" s="110"/>
      <c r="O38" s="90">
        <f t="shared" si="14"/>
        <v>1589.68</v>
      </c>
      <c r="P38" s="91">
        <f t="shared" si="15"/>
        <v>-0.8943664031</v>
      </c>
      <c r="Q38" s="112"/>
    </row>
    <row r="39" ht="15.75" customHeight="1">
      <c r="I39" s="83"/>
      <c r="J39" s="109" t="s">
        <v>57</v>
      </c>
      <c r="K39" s="90">
        <f t="shared" si="13"/>
        <v>443.68</v>
      </c>
      <c r="L39" s="90">
        <f t="shared" si="10"/>
        <v>443.68</v>
      </c>
      <c r="M39" s="110">
        <f>CPTS11!K15</f>
        <v>4.13</v>
      </c>
      <c r="N39" s="110"/>
      <c r="O39" s="90">
        <f t="shared" si="14"/>
        <v>447.81</v>
      </c>
      <c r="P39" s="91">
        <f t="shared" si="15"/>
        <v>0.009308510638</v>
      </c>
      <c r="Q39" s="95"/>
    </row>
    <row r="40" ht="15.75" customHeight="1">
      <c r="I40" s="83"/>
      <c r="J40" s="109"/>
      <c r="K40" s="113"/>
      <c r="L40" s="113"/>
      <c r="M40" s="110"/>
      <c r="N40" s="110"/>
      <c r="O40" s="90"/>
      <c r="P40" s="114"/>
    </row>
    <row r="41" ht="15.75" customHeight="1">
      <c r="I41" s="83"/>
      <c r="J41" s="115"/>
      <c r="K41" s="116">
        <f>P2</f>
        <v>1058564.35</v>
      </c>
      <c r="L41" s="117">
        <f t="shared" ref="L41:M41" si="16">SUM(L22:L40)</f>
        <v>352031.05</v>
      </c>
      <c r="M41" s="117">
        <f t="shared" si="16"/>
        <v>71983.95</v>
      </c>
      <c r="N41" s="117"/>
      <c r="O41" s="118">
        <f>L41+M41+N41</f>
        <v>424015</v>
      </c>
      <c r="P41" s="119">
        <f>(O41-K41)/K41</f>
        <v>-0.5994433404</v>
      </c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94"/>
      <c r="J42" s="120"/>
      <c r="K42" s="121"/>
      <c r="L42" s="122"/>
    </row>
    <row r="43" ht="15.75" customHeight="1">
      <c r="A43" s="123"/>
      <c r="B43" s="123"/>
      <c r="C43" s="123"/>
      <c r="D43" s="124"/>
      <c r="E43" s="123"/>
      <c r="F43" s="123"/>
      <c r="G43" s="123"/>
      <c r="H43" s="58"/>
      <c r="I43" s="83"/>
      <c r="J43" s="83"/>
      <c r="K43" s="125"/>
      <c r="L43" s="125"/>
    </row>
    <row r="44" ht="15.75" customHeight="1">
      <c r="A44" s="124"/>
      <c r="B44" s="124"/>
      <c r="C44" s="124"/>
      <c r="D44" s="124"/>
      <c r="E44" s="124"/>
      <c r="F44" s="124"/>
      <c r="G44" s="124"/>
      <c r="H44" s="58"/>
      <c r="I44" s="83"/>
      <c r="J44" s="83"/>
      <c r="K44" s="125"/>
      <c r="L44" s="125"/>
    </row>
    <row r="45" ht="15.75" customHeight="1">
      <c r="A45" s="124"/>
      <c r="B45" s="124"/>
      <c r="C45" s="124"/>
      <c r="D45" s="124"/>
      <c r="E45" s="124"/>
      <c r="F45" s="124"/>
      <c r="G45" s="126"/>
      <c r="H45" s="58"/>
      <c r="I45" s="83"/>
      <c r="J45" s="83"/>
      <c r="K45" s="125"/>
      <c r="L45" s="125"/>
    </row>
    <row r="46" ht="15.75" customHeight="1">
      <c r="A46" s="124"/>
      <c r="B46" s="124"/>
      <c r="C46" s="124"/>
      <c r="D46" s="124"/>
      <c r="E46" s="124"/>
      <c r="F46" s="124"/>
      <c r="G46" s="126"/>
      <c r="H46" s="58"/>
      <c r="I46" s="83"/>
      <c r="J46" s="83"/>
      <c r="K46" s="125"/>
      <c r="L46" s="125"/>
    </row>
    <row r="47" ht="15.75" customHeight="1">
      <c r="A47" s="124"/>
      <c r="B47" s="124"/>
      <c r="C47" s="124"/>
      <c r="D47" s="124"/>
      <c r="E47" s="124"/>
      <c r="F47" s="124"/>
      <c r="G47" s="126"/>
      <c r="H47" s="58"/>
    </row>
    <row r="48" ht="15.75" customHeight="1">
      <c r="A48" s="124"/>
      <c r="B48" s="124"/>
      <c r="C48" s="124"/>
      <c r="D48" s="124"/>
      <c r="E48" s="124"/>
      <c r="F48" s="124"/>
      <c r="G48" s="126"/>
      <c r="H48" s="58"/>
    </row>
    <row r="49" ht="15.75" customHeight="1">
      <c r="A49" s="124"/>
      <c r="B49" s="124"/>
      <c r="C49" s="124"/>
      <c r="D49" s="124"/>
      <c r="E49" s="124"/>
      <c r="F49" s="124"/>
      <c r="G49" s="126"/>
      <c r="H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J19">
    <cfRule type="cellIs" dxfId="0" priority="1" operator="lessThan">
      <formula>0</formula>
    </cfRule>
  </conditionalFormatting>
  <conditionalFormatting sqref="G45:G49">
    <cfRule type="cellIs" dxfId="0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0.88"/>
    <col customWidth="1" min="3" max="3" width="12.63"/>
    <col customWidth="1" min="4" max="4" width="15.75"/>
    <col customWidth="1" min="5" max="5" width="12.13"/>
    <col customWidth="1" min="6" max="6" width="13.0"/>
    <col customWidth="1" min="7" max="7" width="11.75"/>
    <col customWidth="1" min="8" max="8" width="10.75"/>
    <col customWidth="1" min="9" max="9" width="9.63"/>
    <col customWidth="1" min="10" max="10" width="7.63"/>
    <col customWidth="1" min="11" max="11" width="8.75"/>
    <col customWidth="1" min="12" max="12" width="2.63"/>
    <col customWidth="1" min="13" max="13" width="10.88"/>
    <col customWidth="1" min="15" max="15" width="10.0"/>
    <col customWidth="1" min="16" max="16" width="9.75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6</v>
      </c>
      <c r="G1" s="131"/>
      <c r="H1" s="131"/>
      <c r="I1" s="131"/>
      <c r="J1" s="130"/>
      <c r="K1" s="132"/>
    </row>
    <row r="2" ht="15.75" customHeight="1">
      <c r="A2" s="133" t="s">
        <v>26</v>
      </c>
      <c r="B2" s="134"/>
      <c r="C2" s="135">
        <f>F15</f>
        <v>22</v>
      </c>
      <c r="D2" s="136">
        <f>E15</f>
        <v>18260</v>
      </c>
      <c r="E2" s="137">
        <f>C15</f>
        <v>830</v>
      </c>
      <c r="F2" s="138">
        <f>'visão geral'!G2</f>
        <v>21787.5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72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46</v>
      </c>
      <c r="Q4" s="149"/>
    </row>
    <row r="5" ht="15.75" customHeight="1">
      <c r="A5" s="150"/>
      <c r="B5" s="151">
        <v>46008.0</v>
      </c>
      <c r="C5" s="152">
        <v>830.0</v>
      </c>
      <c r="D5" s="153">
        <v>22.0</v>
      </c>
      <c r="E5" s="154">
        <f t="shared" ref="E5:E14" si="1">C5*D5</f>
        <v>18260</v>
      </c>
      <c r="F5" s="155"/>
      <c r="G5" s="156">
        <v>46008.0</v>
      </c>
      <c r="H5" s="157">
        <v>0.5</v>
      </c>
      <c r="I5" s="148"/>
      <c r="J5" s="158">
        <v>830.0</v>
      </c>
      <c r="K5" s="159">
        <f>SUM(H5*J5)</f>
        <v>415</v>
      </c>
      <c r="M5" s="160"/>
      <c r="N5" s="161"/>
      <c r="O5" s="148"/>
      <c r="P5" s="148">
        <f t="shared" ref="P5:P14" si="2">N5*O5</f>
        <v>0</v>
      </c>
      <c r="Q5" s="149"/>
    </row>
    <row r="6" ht="15.75" customHeight="1">
      <c r="A6" s="162"/>
      <c r="B6" s="151">
        <v>46009.0</v>
      </c>
      <c r="C6" s="162"/>
      <c r="D6" s="152"/>
      <c r="E6" s="163">
        <f t="shared" si="1"/>
        <v>0</v>
      </c>
      <c r="F6" s="155"/>
      <c r="G6" s="156">
        <v>46009.0</v>
      </c>
      <c r="H6" s="148"/>
      <c r="I6" s="161"/>
      <c r="J6" s="148"/>
      <c r="K6" s="148">
        <v>0.0</v>
      </c>
      <c r="M6" s="164"/>
      <c r="N6" s="148"/>
      <c r="O6" s="161"/>
      <c r="P6" s="148">
        <f t="shared" si="2"/>
        <v>0</v>
      </c>
      <c r="Q6" s="149"/>
    </row>
    <row r="7" ht="15.75" customHeight="1">
      <c r="A7" s="163"/>
      <c r="B7" s="151">
        <v>46010.0</v>
      </c>
      <c r="C7" s="165"/>
      <c r="D7" s="166"/>
      <c r="E7" s="163">
        <f t="shared" si="1"/>
        <v>0</v>
      </c>
      <c r="F7" s="155"/>
      <c r="G7" s="156">
        <v>46010.0</v>
      </c>
      <c r="H7" s="161"/>
      <c r="I7" s="161"/>
      <c r="J7" s="161"/>
      <c r="K7" s="148">
        <v>0.0</v>
      </c>
      <c r="M7" s="161"/>
      <c r="N7" s="161"/>
      <c r="O7" s="161"/>
      <c r="P7" s="148">
        <f t="shared" si="2"/>
        <v>0</v>
      </c>
      <c r="Q7" s="149"/>
    </row>
    <row r="8" ht="15.75" customHeight="1">
      <c r="A8" s="163"/>
      <c r="B8" s="151">
        <v>46011.0</v>
      </c>
      <c r="C8" s="165"/>
      <c r="D8" s="165"/>
      <c r="E8" s="163">
        <f t="shared" si="1"/>
        <v>0</v>
      </c>
      <c r="F8" s="155"/>
      <c r="G8" s="156">
        <v>46011.0</v>
      </c>
      <c r="H8" s="161"/>
      <c r="I8" s="161"/>
      <c r="J8" s="161"/>
      <c r="K8" s="148">
        <v>0.0</v>
      </c>
      <c r="M8" s="161"/>
      <c r="N8" s="161"/>
      <c r="O8" s="161"/>
      <c r="P8" s="148">
        <f t="shared" si="2"/>
        <v>0</v>
      </c>
      <c r="Q8" s="149"/>
    </row>
    <row r="9" ht="15.75" customHeight="1">
      <c r="A9" s="167"/>
      <c r="B9" s="151">
        <v>46012.0</v>
      </c>
      <c r="C9" s="168"/>
      <c r="D9" s="168"/>
      <c r="E9" s="163">
        <f t="shared" si="1"/>
        <v>0</v>
      </c>
      <c r="F9" s="155"/>
      <c r="G9" s="156">
        <v>46012.0</v>
      </c>
      <c r="H9" s="161"/>
      <c r="I9" s="161"/>
      <c r="J9" s="161"/>
      <c r="K9" s="148">
        <f t="shared" ref="K9:K14" si="3">J9*(I9+H9)</f>
        <v>0</v>
      </c>
      <c r="M9" s="161"/>
      <c r="N9" s="161"/>
      <c r="O9" s="161"/>
      <c r="P9" s="148">
        <f t="shared" si="2"/>
        <v>0</v>
      </c>
      <c r="Q9" s="149"/>
    </row>
    <row r="10" ht="15.75" customHeight="1">
      <c r="A10" s="169"/>
      <c r="B10" s="151">
        <v>46013.0</v>
      </c>
      <c r="C10" s="170"/>
      <c r="D10" s="170"/>
      <c r="E10" s="163">
        <f t="shared" si="1"/>
        <v>0</v>
      </c>
      <c r="F10" s="155"/>
      <c r="G10" s="156">
        <v>46013.0</v>
      </c>
      <c r="H10" s="161"/>
      <c r="I10" s="161"/>
      <c r="J10" s="161"/>
      <c r="K10" s="148">
        <f t="shared" si="3"/>
        <v>0</v>
      </c>
      <c r="M10" s="161"/>
      <c r="N10" s="161"/>
      <c r="O10" s="161"/>
      <c r="P10" s="148">
        <f t="shared" si="2"/>
        <v>0</v>
      </c>
      <c r="Q10" s="149"/>
    </row>
    <row r="11" ht="15.75" customHeight="1">
      <c r="A11" s="169"/>
      <c r="B11" s="151">
        <v>46014.0</v>
      </c>
      <c r="C11" s="170"/>
      <c r="D11" s="170"/>
      <c r="E11" s="163">
        <f t="shared" si="1"/>
        <v>0</v>
      </c>
      <c r="F11" s="155"/>
      <c r="G11" s="156">
        <v>46014.0</v>
      </c>
      <c r="H11" s="161"/>
      <c r="I11" s="161"/>
      <c r="J11" s="161"/>
      <c r="K11" s="148">
        <f t="shared" si="3"/>
        <v>0</v>
      </c>
      <c r="M11" s="161"/>
      <c r="N11" s="161"/>
      <c r="O11" s="161"/>
      <c r="P11" s="148">
        <f t="shared" si="2"/>
        <v>0</v>
      </c>
      <c r="Q11" s="149"/>
    </row>
    <row r="12" ht="15.75" customHeight="1">
      <c r="A12" s="169"/>
      <c r="B12" s="151">
        <v>46015.0</v>
      </c>
      <c r="C12" s="170"/>
      <c r="D12" s="170"/>
      <c r="E12" s="163">
        <f t="shared" si="1"/>
        <v>0</v>
      </c>
      <c r="F12" s="155"/>
      <c r="G12" s="156">
        <v>46015.0</v>
      </c>
      <c r="H12" s="161"/>
      <c r="I12" s="161"/>
      <c r="J12" s="161"/>
      <c r="K12" s="148">
        <f t="shared" si="3"/>
        <v>0</v>
      </c>
      <c r="M12" s="161"/>
      <c r="N12" s="161"/>
      <c r="O12" s="161"/>
      <c r="P12" s="148">
        <f t="shared" si="2"/>
        <v>0</v>
      </c>
      <c r="Q12" s="149"/>
    </row>
    <row r="13" ht="15.75" customHeight="1">
      <c r="A13" s="169"/>
      <c r="B13" s="151">
        <v>46016.0</v>
      </c>
      <c r="C13" s="170"/>
      <c r="D13" s="170"/>
      <c r="E13" s="163">
        <f t="shared" si="1"/>
        <v>0</v>
      </c>
      <c r="F13" s="171"/>
      <c r="G13" s="156">
        <v>46016.0</v>
      </c>
      <c r="H13" s="161"/>
      <c r="I13" s="161"/>
      <c r="J13" s="161"/>
      <c r="K13" s="148">
        <f t="shared" si="3"/>
        <v>0</v>
      </c>
      <c r="M13" s="161"/>
      <c r="N13" s="161"/>
      <c r="O13" s="161"/>
      <c r="P13" s="148">
        <f t="shared" si="2"/>
        <v>0</v>
      </c>
      <c r="Q13" s="149"/>
    </row>
    <row r="14" ht="15.75" customHeight="1">
      <c r="A14" s="169"/>
      <c r="B14" s="151">
        <v>46017.0</v>
      </c>
      <c r="C14" s="170"/>
      <c r="D14" s="170"/>
      <c r="E14" s="163">
        <f t="shared" si="1"/>
        <v>0</v>
      </c>
      <c r="F14" s="172" t="s">
        <v>66</v>
      </c>
      <c r="G14" s="156">
        <v>46017.0</v>
      </c>
      <c r="H14" s="161"/>
      <c r="I14" s="161"/>
      <c r="J14" s="161"/>
      <c r="K14" s="148">
        <f t="shared" si="3"/>
        <v>0</v>
      </c>
      <c r="M14" s="161"/>
      <c r="N14" s="161"/>
      <c r="O14" s="161"/>
      <c r="P14" s="148">
        <f t="shared" si="2"/>
        <v>0</v>
      </c>
      <c r="Q14" s="149"/>
    </row>
    <row r="15" ht="15.75" customHeight="1">
      <c r="A15" s="144" t="s">
        <v>46</v>
      </c>
      <c r="B15" s="173"/>
      <c r="C15" s="173">
        <f>SUM(C5:C14)</f>
        <v>830</v>
      </c>
      <c r="D15" s="173"/>
      <c r="E15" s="154">
        <f>E5+E6+E7+E8+E9+E10+E11+E12+E13</f>
        <v>18260</v>
      </c>
      <c r="F15" s="174">
        <f>E15/C15</f>
        <v>22</v>
      </c>
      <c r="G15" s="175" t="s">
        <v>46</v>
      </c>
      <c r="H15" s="176"/>
      <c r="I15" s="176"/>
      <c r="J15" s="176"/>
      <c r="K15" s="177">
        <f>K5+K6+K7+K8+K9+K10+K11+K12+K13+K14</f>
        <v>415</v>
      </c>
      <c r="M15" s="175" t="s">
        <v>46</v>
      </c>
      <c r="N15" s="176"/>
      <c r="O15" s="176"/>
      <c r="P15" s="176">
        <f>SUM(P5:P14)</f>
        <v>0</v>
      </c>
      <c r="Q15" s="178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0.88"/>
    <col customWidth="1" min="3" max="3" width="12.63"/>
    <col customWidth="1" min="4" max="4" width="15.75"/>
    <col customWidth="1" min="5" max="5" width="12.13"/>
    <col customWidth="1" min="6" max="6" width="13.0"/>
    <col customWidth="1" min="7" max="7" width="11.75"/>
    <col customWidth="1" min="8" max="8" width="10.75"/>
    <col customWidth="1" min="9" max="9" width="9.63"/>
    <col customWidth="1" min="10" max="10" width="7.63"/>
    <col customWidth="1" min="11" max="11" width="8.75"/>
    <col customWidth="1" min="12" max="12" width="2.63"/>
    <col customWidth="1" min="13" max="13" width="10.88"/>
    <col customWidth="1" min="15" max="15" width="10.0"/>
    <col customWidth="1" min="16" max="16" width="9.75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6</v>
      </c>
      <c r="G1" s="131"/>
      <c r="H1" s="131"/>
      <c r="I1" s="131"/>
      <c r="J1" s="130"/>
      <c r="K1" s="132"/>
    </row>
    <row r="2" ht="15.75" customHeight="1">
      <c r="A2" s="180" t="s">
        <v>41</v>
      </c>
      <c r="B2" s="134"/>
      <c r="C2" s="135">
        <f>F15</f>
        <v>6</v>
      </c>
      <c r="D2" s="136">
        <f>E15</f>
        <v>31416</v>
      </c>
      <c r="E2" s="137">
        <f>C15</f>
        <v>5236</v>
      </c>
      <c r="F2" s="138">
        <f>'visão geral'!G2</f>
        <v>21787.5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72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46</v>
      </c>
      <c r="Q4" s="149"/>
    </row>
    <row r="5" ht="15.75" customHeight="1">
      <c r="A5" s="150"/>
      <c r="B5" s="151">
        <v>46008.0</v>
      </c>
      <c r="C5" s="152">
        <v>5236.0</v>
      </c>
      <c r="D5" s="153">
        <v>6.0</v>
      </c>
      <c r="E5" s="154">
        <f t="shared" ref="E5:E14" si="1">C5*D5</f>
        <v>31416</v>
      </c>
      <c r="F5" s="155"/>
      <c r="G5" s="156">
        <v>46008.0</v>
      </c>
      <c r="H5" s="157">
        <v>5.75</v>
      </c>
      <c r="I5" s="148"/>
      <c r="J5" s="158">
        <v>5236.0</v>
      </c>
      <c r="K5" s="159">
        <f>SUM(H5*J5)</f>
        <v>30107</v>
      </c>
      <c r="M5" s="160"/>
      <c r="N5" s="161"/>
      <c r="O5" s="148"/>
      <c r="P5" s="148">
        <f t="shared" ref="P5:P14" si="2">N5*O5</f>
        <v>0</v>
      </c>
      <c r="Q5" s="149"/>
    </row>
    <row r="6" ht="15.75" customHeight="1">
      <c r="A6" s="162"/>
      <c r="B6" s="151">
        <v>46009.0</v>
      </c>
      <c r="C6" s="162"/>
      <c r="D6" s="152"/>
      <c r="E6" s="163">
        <f t="shared" si="1"/>
        <v>0</v>
      </c>
      <c r="F6" s="155"/>
      <c r="G6" s="156">
        <v>46009.0</v>
      </c>
      <c r="H6" s="148"/>
      <c r="I6" s="161"/>
      <c r="J6" s="148"/>
      <c r="K6" s="148">
        <v>0.0</v>
      </c>
      <c r="M6" s="164"/>
      <c r="N6" s="148"/>
      <c r="O6" s="161"/>
      <c r="P6" s="148">
        <f t="shared" si="2"/>
        <v>0</v>
      </c>
      <c r="Q6" s="149"/>
    </row>
    <row r="7" ht="15.75" customHeight="1">
      <c r="A7" s="163"/>
      <c r="B7" s="151">
        <v>46010.0</v>
      </c>
      <c r="C7" s="165"/>
      <c r="D7" s="166"/>
      <c r="E7" s="163">
        <f t="shared" si="1"/>
        <v>0</v>
      </c>
      <c r="F7" s="155"/>
      <c r="G7" s="156">
        <v>46010.0</v>
      </c>
      <c r="H7" s="161"/>
      <c r="I7" s="161"/>
      <c r="J7" s="161"/>
      <c r="K7" s="148">
        <v>0.0</v>
      </c>
      <c r="M7" s="161"/>
      <c r="N7" s="161"/>
      <c r="O7" s="161"/>
      <c r="P7" s="148">
        <f t="shared" si="2"/>
        <v>0</v>
      </c>
      <c r="Q7" s="149"/>
    </row>
    <row r="8" ht="15.75" customHeight="1">
      <c r="A8" s="163"/>
      <c r="B8" s="151">
        <v>46011.0</v>
      </c>
      <c r="C8" s="165"/>
      <c r="D8" s="165"/>
      <c r="E8" s="163">
        <f t="shared" si="1"/>
        <v>0</v>
      </c>
      <c r="F8" s="155"/>
      <c r="G8" s="156">
        <v>46011.0</v>
      </c>
      <c r="H8" s="161"/>
      <c r="I8" s="161"/>
      <c r="J8" s="161"/>
      <c r="K8" s="148">
        <v>0.0</v>
      </c>
      <c r="M8" s="161"/>
      <c r="N8" s="161"/>
      <c r="O8" s="161"/>
      <c r="P8" s="148">
        <f t="shared" si="2"/>
        <v>0</v>
      </c>
      <c r="Q8" s="149"/>
    </row>
    <row r="9" ht="15.75" customHeight="1">
      <c r="A9" s="167"/>
      <c r="B9" s="151">
        <v>46012.0</v>
      </c>
      <c r="C9" s="168"/>
      <c r="D9" s="168"/>
      <c r="E9" s="163">
        <f t="shared" si="1"/>
        <v>0</v>
      </c>
      <c r="F9" s="155"/>
      <c r="G9" s="156">
        <v>46012.0</v>
      </c>
      <c r="H9" s="161"/>
      <c r="I9" s="161"/>
      <c r="J9" s="161"/>
      <c r="K9" s="148">
        <f t="shared" ref="K9:K14" si="3">J9*(I9+H9)</f>
        <v>0</v>
      </c>
      <c r="M9" s="161"/>
      <c r="N9" s="161"/>
      <c r="O9" s="161"/>
      <c r="P9" s="148">
        <f t="shared" si="2"/>
        <v>0</v>
      </c>
      <c r="Q9" s="149"/>
    </row>
    <row r="10" ht="15.75" customHeight="1">
      <c r="A10" s="169"/>
      <c r="B10" s="151">
        <v>46013.0</v>
      </c>
      <c r="C10" s="170"/>
      <c r="D10" s="170"/>
      <c r="E10" s="163">
        <f t="shared" si="1"/>
        <v>0</v>
      </c>
      <c r="F10" s="155"/>
      <c r="G10" s="156">
        <v>46013.0</v>
      </c>
      <c r="H10" s="161"/>
      <c r="I10" s="161"/>
      <c r="J10" s="161"/>
      <c r="K10" s="148">
        <f t="shared" si="3"/>
        <v>0</v>
      </c>
      <c r="M10" s="161"/>
      <c r="N10" s="161"/>
      <c r="O10" s="161"/>
      <c r="P10" s="148">
        <f t="shared" si="2"/>
        <v>0</v>
      </c>
      <c r="Q10" s="149"/>
    </row>
    <row r="11" ht="15.75" customHeight="1">
      <c r="A11" s="169"/>
      <c r="B11" s="151">
        <v>46014.0</v>
      </c>
      <c r="C11" s="170"/>
      <c r="D11" s="170"/>
      <c r="E11" s="163">
        <f t="shared" si="1"/>
        <v>0</v>
      </c>
      <c r="F11" s="155"/>
      <c r="G11" s="156">
        <v>46014.0</v>
      </c>
      <c r="H11" s="161"/>
      <c r="I11" s="161"/>
      <c r="J11" s="161"/>
      <c r="K11" s="148">
        <f t="shared" si="3"/>
        <v>0</v>
      </c>
      <c r="M11" s="161"/>
      <c r="N11" s="161"/>
      <c r="O11" s="161"/>
      <c r="P11" s="148">
        <f t="shared" si="2"/>
        <v>0</v>
      </c>
      <c r="Q11" s="149"/>
    </row>
    <row r="12" ht="15.75" customHeight="1">
      <c r="A12" s="169"/>
      <c r="B12" s="151">
        <v>46015.0</v>
      </c>
      <c r="C12" s="170"/>
      <c r="D12" s="170"/>
      <c r="E12" s="163">
        <f t="shared" si="1"/>
        <v>0</v>
      </c>
      <c r="F12" s="155"/>
      <c r="G12" s="156">
        <v>46015.0</v>
      </c>
      <c r="H12" s="161"/>
      <c r="I12" s="161"/>
      <c r="J12" s="161"/>
      <c r="K12" s="148">
        <f t="shared" si="3"/>
        <v>0</v>
      </c>
      <c r="M12" s="161"/>
      <c r="N12" s="161"/>
      <c r="O12" s="161"/>
      <c r="P12" s="148">
        <f t="shared" si="2"/>
        <v>0</v>
      </c>
      <c r="Q12" s="149"/>
    </row>
    <row r="13" ht="15.75" customHeight="1">
      <c r="A13" s="169"/>
      <c r="B13" s="151">
        <v>46016.0</v>
      </c>
      <c r="C13" s="170"/>
      <c r="D13" s="170"/>
      <c r="E13" s="163">
        <f t="shared" si="1"/>
        <v>0</v>
      </c>
      <c r="F13" s="171"/>
      <c r="G13" s="156">
        <v>46016.0</v>
      </c>
      <c r="H13" s="161"/>
      <c r="I13" s="161"/>
      <c r="J13" s="161"/>
      <c r="K13" s="148">
        <f t="shared" si="3"/>
        <v>0</v>
      </c>
      <c r="M13" s="161"/>
      <c r="N13" s="161"/>
      <c r="O13" s="161"/>
      <c r="P13" s="148">
        <f t="shared" si="2"/>
        <v>0</v>
      </c>
      <c r="Q13" s="149"/>
    </row>
    <row r="14" ht="15.75" customHeight="1">
      <c r="A14" s="169"/>
      <c r="B14" s="151">
        <v>46017.0</v>
      </c>
      <c r="C14" s="170"/>
      <c r="D14" s="170"/>
      <c r="E14" s="163">
        <f t="shared" si="1"/>
        <v>0</v>
      </c>
      <c r="F14" s="172" t="s">
        <v>66</v>
      </c>
      <c r="G14" s="156">
        <v>46017.0</v>
      </c>
      <c r="H14" s="161"/>
      <c r="I14" s="161"/>
      <c r="J14" s="161"/>
      <c r="K14" s="148">
        <f t="shared" si="3"/>
        <v>0</v>
      </c>
      <c r="M14" s="161"/>
      <c r="N14" s="161"/>
      <c r="O14" s="161"/>
      <c r="P14" s="148">
        <f t="shared" si="2"/>
        <v>0</v>
      </c>
      <c r="Q14" s="149"/>
    </row>
    <row r="15" ht="15.75" customHeight="1">
      <c r="A15" s="144" t="s">
        <v>46</v>
      </c>
      <c r="B15" s="173"/>
      <c r="C15" s="173">
        <f>SUM(C5:C14)</f>
        <v>5236</v>
      </c>
      <c r="D15" s="173"/>
      <c r="E15" s="154">
        <f>E5+E6+E7+E8+E9+E10+E11+E12+E13</f>
        <v>31416</v>
      </c>
      <c r="F15" s="174">
        <f>E15/C15</f>
        <v>6</v>
      </c>
      <c r="G15" s="175" t="s">
        <v>46</v>
      </c>
      <c r="H15" s="176"/>
      <c r="I15" s="176"/>
      <c r="J15" s="176"/>
      <c r="K15" s="177">
        <f>K5+K6+K7+K8+K9+K10+K11+K12+K13+K14</f>
        <v>30107</v>
      </c>
      <c r="M15" s="175" t="s">
        <v>46</v>
      </c>
      <c r="N15" s="176"/>
      <c r="O15" s="176"/>
      <c r="P15" s="176">
        <f>SUM(P5:P14)</f>
        <v>0</v>
      </c>
      <c r="Q15" s="178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0.88"/>
    <col customWidth="1" min="3" max="3" width="12.63"/>
    <col customWidth="1" min="4" max="4" width="15.75"/>
    <col customWidth="1" min="5" max="5" width="12.13"/>
    <col customWidth="1" min="6" max="6" width="13.0"/>
    <col customWidth="1" min="7" max="7" width="11.75"/>
    <col customWidth="1" min="8" max="8" width="10.75"/>
    <col customWidth="1" min="9" max="9" width="9.63"/>
    <col customWidth="1" min="10" max="10" width="7.63"/>
    <col customWidth="1" min="11" max="11" width="8.75"/>
    <col customWidth="1" min="12" max="12" width="2.63"/>
    <col customWidth="1" min="13" max="13" width="10.88"/>
    <col customWidth="1" min="15" max="15" width="10.0"/>
    <col customWidth="1" min="16" max="16" width="9.75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6</v>
      </c>
      <c r="G1" s="131"/>
      <c r="H1" s="131"/>
      <c r="I1" s="131"/>
      <c r="J1" s="130"/>
      <c r="K1" s="132"/>
    </row>
    <row r="2" ht="15.75" customHeight="1">
      <c r="A2" s="180" t="s">
        <v>38</v>
      </c>
      <c r="B2" s="134"/>
      <c r="C2" s="135">
        <f>F15</f>
        <v>11.2</v>
      </c>
      <c r="D2" s="136">
        <f>E15</f>
        <v>799209.6</v>
      </c>
      <c r="E2" s="137">
        <f>C15</f>
        <v>71358</v>
      </c>
      <c r="F2" s="138">
        <f>'visão geral'!G2</f>
        <v>21787.5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72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46</v>
      </c>
      <c r="Q4" s="149"/>
    </row>
    <row r="5" ht="15.75" customHeight="1">
      <c r="A5" s="150"/>
      <c r="B5" s="151">
        <v>46008.0</v>
      </c>
      <c r="C5" s="152">
        <v>71358.0</v>
      </c>
      <c r="D5" s="153">
        <v>11.2</v>
      </c>
      <c r="E5" s="154">
        <f t="shared" ref="E5:E14" si="1">C5*D5</f>
        <v>799209.6</v>
      </c>
      <c r="F5" s="155"/>
      <c r="G5" s="156">
        <v>46008.0</v>
      </c>
      <c r="H5" s="157">
        <v>0.5</v>
      </c>
      <c r="I5" s="148"/>
      <c r="J5" s="158">
        <v>71358.0</v>
      </c>
      <c r="K5" s="159">
        <f>SUM(H5*J5)</f>
        <v>35679</v>
      </c>
      <c r="M5" s="160"/>
      <c r="N5" s="161"/>
      <c r="O5" s="148"/>
      <c r="P5" s="148">
        <f t="shared" ref="P5:P14" si="2">N5*O5</f>
        <v>0</v>
      </c>
      <c r="Q5" s="149"/>
    </row>
    <row r="6" ht="15.75" customHeight="1">
      <c r="A6" s="162"/>
      <c r="B6" s="151">
        <v>46009.0</v>
      </c>
      <c r="C6" s="162"/>
      <c r="D6" s="152"/>
      <c r="E6" s="163">
        <f t="shared" si="1"/>
        <v>0</v>
      </c>
      <c r="F6" s="155"/>
      <c r="G6" s="156">
        <v>46009.0</v>
      </c>
      <c r="H6" s="148"/>
      <c r="I6" s="161"/>
      <c r="J6" s="148"/>
      <c r="K6" s="148">
        <v>0.0</v>
      </c>
      <c r="M6" s="164"/>
      <c r="N6" s="148"/>
      <c r="O6" s="161"/>
      <c r="P6" s="148">
        <f t="shared" si="2"/>
        <v>0</v>
      </c>
      <c r="Q6" s="149"/>
    </row>
    <row r="7" ht="15.75" customHeight="1">
      <c r="A7" s="163"/>
      <c r="B7" s="151">
        <v>46010.0</v>
      </c>
      <c r="C7" s="165"/>
      <c r="D7" s="166"/>
      <c r="E7" s="163">
        <f t="shared" si="1"/>
        <v>0</v>
      </c>
      <c r="F7" s="155"/>
      <c r="G7" s="156">
        <v>46010.0</v>
      </c>
      <c r="H7" s="161"/>
      <c r="I7" s="161"/>
      <c r="J7" s="161"/>
      <c r="K7" s="148">
        <v>0.0</v>
      </c>
      <c r="M7" s="161"/>
      <c r="N7" s="161"/>
      <c r="O7" s="161"/>
      <c r="P7" s="148">
        <f t="shared" si="2"/>
        <v>0</v>
      </c>
      <c r="Q7" s="149"/>
    </row>
    <row r="8" ht="15.75" customHeight="1">
      <c r="A8" s="163"/>
      <c r="B8" s="151">
        <v>46011.0</v>
      </c>
      <c r="C8" s="165"/>
      <c r="D8" s="165"/>
      <c r="E8" s="163">
        <f t="shared" si="1"/>
        <v>0</v>
      </c>
      <c r="F8" s="155"/>
      <c r="G8" s="156">
        <v>46011.0</v>
      </c>
      <c r="H8" s="161"/>
      <c r="I8" s="161"/>
      <c r="J8" s="161"/>
      <c r="K8" s="148">
        <v>0.0</v>
      </c>
      <c r="M8" s="161"/>
      <c r="N8" s="161"/>
      <c r="O8" s="161"/>
      <c r="P8" s="148">
        <f t="shared" si="2"/>
        <v>0</v>
      </c>
      <c r="Q8" s="149"/>
    </row>
    <row r="9" ht="15.75" customHeight="1">
      <c r="A9" s="167"/>
      <c r="B9" s="151">
        <v>46012.0</v>
      </c>
      <c r="C9" s="168"/>
      <c r="D9" s="168"/>
      <c r="E9" s="163">
        <f t="shared" si="1"/>
        <v>0</v>
      </c>
      <c r="F9" s="155"/>
      <c r="G9" s="156">
        <v>46012.0</v>
      </c>
      <c r="H9" s="161"/>
      <c r="I9" s="161"/>
      <c r="J9" s="161"/>
      <c r="K9" s="148">
        <f t="shared" ref="K9:K14" si="3">J9*(I9+H9)</f>
        <v>0</v>
      </c>
      <c r="M9" s="161"/>
      <c r="N9" s="161"/>
      <c r="O9" s="161"/>
      <c r="P9" s="148">
        <f t="shared" si="2"/>
        <v>0</v>
      </c>
      <c r="Q9" s="149"/>
    </row>
    <row r="10" ht="15.75" customHeight="1">
      <c r="A10" s="169"/>
      <c r="B10" s="151">
        <v>46013.0</v>
      </c>
      <c r="C10" s="170"/>
      <c r="D10" s="170"/>
      <c r="E10" s="163">
        <f t="shared" si="1"/>
        <v>0</v>
      </c>
      <c r="F10" s="155"/>
      <c r="G10" s="156">
        <v>46013.0</v>
      </c>
      <c r="H10" s="161"/>
      <c r="I10" s="161"/>
      <c r="J10" s="161"/>
      <c r="K10" s="148">
        <f t="shared" si="3"/>
        <v>0</v>
      </c>
      <c r="M10" s="161"/>
      <c r="N10" s="161"/>
      <c r="O10" s="161"/>
      <c r="P10" s="148">
        <f t="shared" si="2"/>
        <v>0</v>
      </c>
      <c r="Q10" s="149"/>
    </row>
    <row r="11" ht="15.75" customHeight="1">
      <c r="A11" s="169"/>
      <c r="B11" s="151">
        <v>46014.0</v>
      </c>
      <c r="C11" s="170"/>
      <c r="D11" s="170"/>
      <c r="E11" s="163">
        <f t="shared" si="1"/>
        <v>0</v>
      </c>
      <c r="F11" s="155"/>
      <c r="G11" s="156">
        <v>46014.0</v>
      </c>
      <c r="H11" s="161"/>
      <c r="I11" s="161"/>
      <c r="J11" s="161"/>
      <c r="K11" s="148">
        <f t="shared" si="3"/>
        <v>0</v>
      </c>
      <c r="M11" s="161"/>
      <c r="N11" s="161"/>
      <c r="O11" s="161"/>
      <c r="P11" s="148">
        <f t="shared" si="2"/>
        <v>0</v>
      </c>
      <c r="Q11" s="149"/>
    </row>
    <row r="12" ht="15.75" customHeight="1">
      <c r="A12" s="169"/>
      <c r="B12" s="151">
        <v>46015.0</v>
      </c>
      <c r="C12" s="170"/>
      <c r="D12" s="170"/>
      <c r="E12" s="163">
        <f t="shared" si="1"/>
        <v>0</v>
      </c>
      <c r="F12" s="155"/>
      <c r="G12" s="156">
        <v>46015.0</v>
      </c>
      <c r="H12" s="161"/>
      <c r="I12" s="161"/>
      <c r="J12" s="161"/>
      <c r="K12" s="148">
        <f t="shared" si="3"/>
        <v>0</v>
      </c>
      <c r="M12" s="161"/>
      <c r="N12" s="161"/>
      <c r="O12" s="161"/>
      <c r="P12" s="148">
        <f t="shared" si="2"/>
        <v>0</v>
      </c>
      <c r="Q12" s="149"/>
    </row>
    <row r="13" ht="15.75" customHeight="1">
      <c r="A13" s="169"/>
      <c r="B13" s="151">
        <v>46016.0</v>
      </c>
      <c r="C13" s="170"/>
      <c r="D13" s="170"/>
      <c r="E13" s="163">
        <f t="shared" si="1"/>
        <v>0</v>
      </c>
      <c r="F13" s="171"/>
      <c r="G13" s="156">
        <v>46016.0</v>
      </c>
      <c r="H13" s="161"/>
      <c r="I13" s="161"/>
      <c r="J13" s="161"/>
      <c r="K13" s="148">
        <f t="shared" si="3"/>
        <v>0</v>
      </c>
      <c r="M13" s="161"/>
      <c r="N13" s="161"/>
      <c r="O13" s="161"/>
      <c r="P13" s="148">
        <f t="shared" si="2"/>
        <v>0</v>
      </c>
      <c r="Q13" s="149"/>
    </row>
    <row r="14" ht="15.75" customHeight="1">
      <c r="A14" s="169"/>
      <c r="B14" s="151">
        <v>46017.0</v>
      </c>
      <c r="C14" s="170"/>
      <c r="D14" s="170"/>
      <c r="E14" s="163">
        <f t="shared" si="1"/>
        <v>0</v>
      </c>
      <c r="F14" s="172" t="s">
        <v>66</v>
      </c>
      <c r="G14" s="156">
        <v>46017.0</v>
      </c>
      <c r="H14" s="161"/>
      <c r="I14" s="161"/>
      <c r="J14" s="161"/>
      <c r="K14" s="148">
        <f t="shared" si="3"/>
        <v>0</v>
      </c>
      <c r="M14" s="161"/>
      <c r="N14" s="161"/>
      <c r="O14" s="161"/>
      <c r="P14" s="148">
        <f t="shared" si="2"/>
        <v>0</v>
      </c>
      <c r="Q14" s="149"/>
    </row>
    <row r="15" ht="15.75" customHeight="1">
      <c r="A15" s="144" t="s">
        <v>46</v>
      </c>
      <c r="B15" s="173"/>
      <c r="C15" s="173">
        <f>SUM(C5:C14)</f>
        <v>71358</v>
      </c>
      <c r="D15" s="173"/>
      <c r="E15" s="154">
        <f>E5+E6+E7+E8+E9+E10+E11+E12+E13</f>
        <v>799209.6</v>
      </c>
      <c r="F15" s="174">
        <f>E15/C15</f>
        <v>11.2</v>
      </c>
      <c r="G15" s="175" t="s">
        <v>46</v>
      </c>
      <c r="H15" s="176"/>
      <c r="I15" s="176"/>
      <c r="J15" s="176"/>
      <c r="K15" s="177">
        <f>K5+K6+K7+K8+K9+K10+K11+K12+K13+K14</f>
        <v>35679</v>
      </c>
      <c r="M15" s="175" t="s">
        <v>46</v>
      </c>
      <c r="N15" s="176"/>
      <c r="O15" s="176"/>
      <c r="P15" s="176">
        <f>SUM(P5:P14)</f>
        <v>0</v>
      </c>
      <c r="Q15" s="178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0.88"/>
    <col customWidth="1" min="3" max="3" width="12.63"/>
    <col customWidth="1" min="4" max="4" width="15.75"/>
    <col customWidth="1" min="5" max="5" width="12.13"/>
    <col customWidth="1" min="6" max="6" width="13.0"/>
    <col customWidth="1" min="7" max="7" width="11.75"/>
    <col customWidth="1" min="8" max="8" width="10.75"/>
    <col customWidth="1" min="9" max="9" width="9.63"/>
    <col customWidth="1" min="10" max="10" width="7.63"/>
    <col customWidth="1" min="11" max="11" width="8.75"/>
    <col customWidth="1" min="12" max="12" width="2.63"/>
    <col customWidth="1" min="13" max="13" width="10.88"/>
    <col customWidth="1" min="15" max="15" width="10.0"/>
    <col customWidth="1" min="16" max="16" width="9.75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6</v>
      </c>
      <c r="G1" s="131"/>
      <c r="H1" s="131"/>
      <c r="I1" s="131"/>
      <c r="J1" s="130"/>
      <c r="K1" s="132"/>
    </row>
    <row r="2" ht="15.75" customHeight="1">
      <c r="A2" s="180" t="s">
        <v>33</v>
      </c>
      <c r="B2" s="134"/>
      <c r="C2" s="135">
        <f>F15</f>
        <v>18.25</v>
      </c>
      <c r="D2" s="136">
        <f>E15</f>
        <v>18158.75</v>
      </c>
      <c r="E2" s="137">
        <f>C15</f>
        <v>995</v>
      </c>
      <c r="F2" s="138">
        <f>'visão geral'!G2</f>
        <v>21787.5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72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46</v>
      </c>
      <c r="Q4" s="149"/>
    </row>
    <row r="5" ht="15.75" customHeight="1">
      <c r="A5" s="150"/>
      <c r="B5" s="151">
        <v>46008.0</v>
      </c>
      <c r="C5" s="152">
        <v>995.0</v>
      </c>
      <c r="D5" s="153">
        <v>18.25</v>
      </c>
      <c r="E5" s="154">
        <f t="shared" ref="E5:E14" si="1">C5*D5</f>
        <v>18158.75</v>
      </c>
      <c r="F5" s="155"/>
      <c r="G5" s="156">
        <v>46008.0</v>
      </c>
      <c r="H5" s="157">
        <v>0.25</v>
      </c>
      <c r="I5" s="148"/>
      <c r="J5" s="158">
        <v>995.0</v>
      </c>
      <c r="K5" s="159">
        <f>SUM(H5*J5)</f>
        <v>248.75</v>
      </c>
      <c r="M5" s="160"/>
      <c r="N5" s="161"/>
      <c r="O5" s="148"/>
      <c r="P5" s="148">
        <f t="shared" ref="P5:P14" si="2">N5*O5</f>
        <v>0</v>
      </c>
      <c r="Q5" s="149"/>
    </row>
    <row r="6" ht="15.75" customHeight="1">
      <c r="A6" s="162"/>
      <c r="B6" s="151">
        <v>46009.0</v>
      </c>
      <c r="C6" s="162"/>
      <c r="D6" s="152"/>
      <c r="E6" s="163">
        <f t="shared" si="1"/>
        <v>0</v>
      </c>
      <c r="F6" s="155"/>
      <c r="G6" s="156">
        <v>46009.0</v>
      </c>
      <c r="H6" s="148"/>
      <c r="I6" s="161"/>
      <c r="J6" s="148"/>
      <c r="K6" s="148">
        <v>0.0</v>
      </c>
      <c r="M6" s="164"/>
      <c r="N6" s="148"/>
      <c r="O6" s="161"/>
      <c r="P6" s="148">
        <f t="shared" si="2"/>
        <v>0</v>
      </c>
      <c r="Q6" s="149"/>
    </row>
    <row r="7" ht="15.75" customHeight="1">
      <c r="A7" s="163"/>
      <c r="B7" s="151">
        <v>46010.0</v>
      </c>
      <c r="C7" s="165"/>
      <c r="D7" s="166"/>
      <c r="E7" s="163">
        <f t="shared" si="1"/>
        <v>0</v>
      </c>
      <c r="F7" s="155"/>
      <c r="G7" s="156">
        <v>46010.0</v>
      </c>
      <c r="H7" s="161"/>
      <c r="I7" s="161"/>
      <c r="J7" s="161"/>
      <c r="K7" s="148">
        <v>0.0</v>
      </c>
      <c r="M7" s="161"/>
      <c r="N7" s="161"/>
      <c r="O7" s="161"/>
      <c r="P7" s="148">
        <f t="shared" si="2"/>
        <v>0</v>
      </c>
      <c r="Q7" s="149"/>
    </row>
    <row r="8" ht="15.75" customHeight="1">
      <c r="A8" s="163"/>
      <c r="B8" s="151">
        <v>46011.0</v>
      </c>
      <c r="C8" s="165"/>
      <c r="D8" s="165"/>
      <c r="E8" s="163">
        <f t="shared" si="1"/>
        <v>0</v>
      </c>
      <c r="F8" s="155"/>
      <c r="G8" s="156">
        <v>46011.0</v>
      </c>
      <c r="H8" s="161"/>
      <c r="I8" s="161"/>
      <c r="J8" s="161"/>
      <c r="K8" s="148">
        <v>0.0</v>
      </c>
      <c r="M8" s="161"/>
      <c r="N8" s="161"/>
      <c r="O8" s="161"/>
      <c r="P8" s="148">
        <f t="shared" si="2"/>
        <v>0</v>
      </c>
      <c r="Q8" s="149"/>
    </row>
    <row r="9" ht="15.75" customHeight="1">
      <c r="A9" s="167"/>
      <c r="B9" s="151">
        <v>46012.0</v>
      </c>
      <c r="C9" s="168"/>
      <c r="D9" s="168"/>
      <c r="E9" s="163">
        <f t="shared" si="1"/>
        <v>0</v>
      </c>
      <c r="F9" s="155"/>
      <c r="G9" s="156">
        <v>46012.0</v>
      </c>
      <c r="H9" s="161"/>
      <c r="I9" s="161"/>
      <c r="J9" s="161"/>
      <c r="K9" s="148">
        <f t="shared" ref="K9:K14" si="3">J9*(I9+H9)</f>
        <v>0</v>
      </c>
      <c r="M9" s="161"/>
      <c r="N9" s="161"/>
      <c r="O9" s="161"/>
      <c r="P9" s="148">
        <f t="shared" si="2"/>
        <v>0</v>
      </c>
      <c r="Q9" s="149"/>
    </row>
    <row r="10" ht="15.75" customHeight="1">
      <c r="A10" s="169"/>
      <c r="B10" s="151">
        <v>46013.0</v>
      </c>
      <c r="C10" s="170"/>
      <c r="D10" s="170"/>
      <c r="E10" s="163">
        <f t="shared" si="1"/>
        <v>0</v>
      </c>
      <c r="F10" s="155"/>
      <c r="G10" s="156">
        <v>46013.0</v>
      </c>
      <c r="H10" s="161"/>
      <c r="I10" s="161"/>
      <c r="J10" s="161"/>
      <c r="K10" s="148">
        <f t="shared" si="3"/>
        <v>0</v>
      </c>
      <c r="M10" s="161"/>
      <c r="N10" s="161"/>
      <c r="O10" s="161"/>
      <c r="P10" s="148">
        <f t="shared" si="2"/>
        <v>0</v>
      </c>
      <c r="Q10" s="149"/>
    </row>
    <row r="11" ht="15.75" customHeight="1">
      <c r="A11" s="169"/>
      <c r="B11" s="151">
        <v>46014.0</v>
      </c>
      <c r="C11" s="170"/>
      <c r="D11" s="170"/>
      <c r="E11" s="163">
        <f t="shared" si="1"/>
        <v>0</v>
      </c>
      <c r="F11" s="155"/>
      <c r="G11" s="156">
        <v>46014.0</v>
      </c>
      <c r="H11" s="161"/>
      <c r="I11" s="161"/>
      <c r="J11" s="161"/>
      <c r="K11" s="148">
        <f t="shared" si="3"/>
        <v>0</v>
      </c>
      <c r="M11" s="161"/>
      <c r="N11" s="161"/>
      <c r="O11" s="161"/>
      <c r="P11" s="148">
        <f t="shared" si="2"/>
        <v>0</v>
      </c>
      <c r="Q11" s="149"/>
    </row>
    <row r="12" ht="15.75" customHeight="1">
      <c r="A12" s="169"/>
      <c r="B12" s="151">
        <v>46015.0</v>
      </c>
      <c r="C12" s="170"/>
      <c r="D12" s="170"/>
      <c r="E12" s="163">
        <f t="shared" si="1"/>
        <v>0</v>
      </c>
      <c r="F12" s="155"/>
      <c r="G12" s="156">
        <v>46015.0</v>
      </c>
      <c r="H12" s="161"/>
      <c r="I12" s="161"/>
      <c r="J12" s="161"/>
      <c r="K12" s="148">
        <f t="shared" si="3"/>
        <v>0</v>
      </c>
      <c r="M12" s="161"/>
      <c r="N12" s="161"/>
      <c r="O12" s="161"/>
      <c r="P12" s="148">
        <f t="shared" si="2"/>
        <v>0</v>
      </c>
      <c r="Q12" s="149"/>
    </row>
    <row r="13" ht="15.75" customHeight="1">
      <c r="A13" s="169"/>
      <c r="B13" s="151">
        <v>46016.0</v>
      </c>
      <c r="C13" s="170"/>
      <c r="D13" s="170"/>
      <c r="E13" s="163">
        <f t="shared" si="1"/>
        <v>0</v>
      </c>
      <c r="F13" s="171"/>
      <c r="G13" s="156">
        <v>46016.0</v>
      </c>
      <c r="H13" s="161"/>
      <c r="I13" s="161"/>
      <c r="J13" s="161"/>
      <c r="K13" s="148">
        <f t="shared" si="3"/>
        <v>0</v>
      </c>
      <c r="M13" s="161"/>
      <c r="N13" s="161"/>
      <c r="O13" s="161"/>
      <c r="P13" s="148">
        <f t="shared" si="2"/>
        <v>0</v>
      </c>
      <c r="Q13" s="149"/>
    </row>
    <row r="14" ht="15.75" customHeight="1">
      <c r="A14" s="169"/>
      <c r="B14" s="151">
        <v>46017.0</v>
      </c>
      <c r="C14" s="170"/>
      <c r="D14" s="170"/>
      <c r="E14" s="163">
        <f t="shared" si="1"/>
        <v>0</v>
      </c>
      <c r="F14" s="172" t="s">
        <v>66</v>
      </c>
      <c r="G14" s="156">
        <v>46017.0</v>
      </c>
      <c r="H14" s="161"/>
      <c r="I14" s="161"/>
      <c r="J14" s="161"/>
      <c r="K14" s="148">
        <f t="shared" si="3"/>
        <v>0</v>
      </c>
      <c r="M14" s="161"/>
      <c r="N14" s="161"/>
      <c r="O14" s="161"/>
      <c r="P14" s="148">
        <f t="shared" si="2"/>
        <v>0</v>
      </c>
      <c r="Q14" s="149"/>
    </row>
    <row r="15" ht="15.75" customHeight="1">
      <c r="A15" s="144" t="s">
        <v>46</v>
      </c>
      <c r="B15" s="173"/>
      <c r="C15" s="173">
        <f>SUM(C5:C14)</f>
        <v>995</v>
      </c>
      <c r="D15" s="173"/>
      <c r="E15" s="154">
        <f>E5+E6+E7+E8+E9+E10+E11+E12+E13</f>
        <v>18158.75</v>
      </c>
      <c r="F15" s="174">
        <f>E15/C15</f>
        <v>18.25</v>
      </c>
      <c r="G15" s="175" t="s">
        <v>46</v>
      </c>
      <c r="H15" s="176"/>
      <c r="I15" s="176"/>
      <c r="J15" s="176"/>
      <c r="K15" s="177">
        <f>K5+K6+K7+K8+K9+K10+K11+K12+K13+K14</f>
        <v>248.75</v>
      </c>
      <c r="M15" s="175" t="s">
        <v>46</v>
      </c>
      <c r="N15" s="176"/>
      <c r="O15" s="176"/>
      <c r="P15" s="176">
        <f>SUM(P5:P14)</f>
        <v>0</v>
      </c>
      <c r="Q15" s="178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0.88"/>
    <col customWidth="1" min="3" max="3" width="12.63"/>
    <col customWidth="1" min="4" max="4" width="15.75"/>
    <col customWidth="1" min="5" max="5" width="12.13"/>
    <col customWidth="1" min="6" max="6" width="13.0"/>
    <col customWidth="1" min="7" max="7" width="11.75"/>
    <col customWidth="1" min="8" max="8" width="10.75"/>
    <col customWidth="1" min="9" max="9" width="9.63"/>
    <col customWidth="1" min="10" max="10" width="7.63"/>
    <col customWidth="1" min="11" max="11" width="8.75"/>
    <col customWidth="1" min="12" max="12" width="2.63"/>
    <col customWidth="1" min="13" max="13" width="10.88"/>
    <col customWidth="1" min="15" max="15" width="10.0"/>
    <col customWidth="1" min="16" max="16" width="9.75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6</v>
      </c>
      <c r="G1" s="131"/>
      <c r="H1" s="131"/>
      <c r="I1" s="131"/>
      <c r="J1" s="130"/>
      <c r="K1" s="132"/>
    </row>
    <row r="2" ht="15.75" customHeight="1">
      <c r="A2" s="180" t="s">
        <v>29</v>
      </c>
      <c r="B2" s="134"/>
      <c r="C2" s="135">
        <f>F15</f>
        <v>22</v>
      </c>
      <c r="D2" s="136">
        <f>E15</f>
        <v>18260</v>
      </c>
      <c r="E2" s="137">
        <f>C15</f>
        <v>830</v>
      </c>
      <c r="F2" s="138">
        <f>'visão geral'!G2</f>
        <v>21787.5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72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46</v>
      </c>
      <c r="Q4" s="149"/>
    </row>
    <row r="5" ht="15.75" customHeight="1">
      <c r="A5" s="150"/>
      <c r="B5" s="151">
        <v>46008.0</v>
      </c>
      <c r="C5" s="152">
        <v>830.0</v>
      </c>
      <c r="D5" s="153">
        <v>22.0</v>
      </c>
      <c r="E5" s="154">
        <f t="shared" ref="E5:E14" si="1">C5*D5</f>
        <v>18260</v>
      </c>
      <c r="F5" s="155"/>
      <c r="G5" s="156">
        <v>46008.0</v>
      </c>
      <c r="H5" s="157">
        <v>0.78</v>
      </c>
      <c r="I5" s="148"/>
      <c r="J5" s="158">
        <v>830.0</v>
      </c>
      <c r="K5" s="159">
        <f>SUM(H5*J5)</f>
        <v>647.4</v>
      </c>
      <c r="M5" s="160"/>
      <c r="N5" s="161"/>
      <c r="O5" s="148"/>
      <c r="P5" s="148">
        <f t="shared" ref="P5:P14" si="2">N5*O5</f>
        <v>0</v>
      </c>
      <c r="Q5" s="149"/>
    </row>
    <row r="6" ht="15.75" customHeight="1">
      <c r="A6" s="162"/>
      <c r="B6" s="151">
        <v>46009.0</v>
      </c>
      <c r="C6" s="162"/>
      <c r="D6" s="152"/>
      <c r="E6" s="163">
        <f t="shared" si="1"/>
        <v>0</v>
      </c>
      <c r="F6" s="155"/>
      <c r="G6" s="156">
        <v>46009.0</v>
      </c>
      <c r="H6" s="148"/>
      <c r="I6" s="161"/>
      <c r="J6" s="148"/>
      <c r="K6" s="148">
        <v>0.0</v>
      </c>
      <c r="M6" s="164"/>
      <c r="N6" s="148"/>
      <c r="O6" s="161"/>
      <c r="P6" s="148">
        <f t="shared" si="2"/>
        <v>0</v>
      </c>
      <c r="Q6" s="149"/>
    </row>
    <row r="7" ht="15.75" customHeight="1">
      <c r="A7" s="163"/>
      <c r="B7" s="151">
        <v>46010.0</v>
      </c>
      <c r="C7" s="165"/>
      <c r="D7" s="166"/>
      <c r="E7" s="163">
        <f t="shared" si="1"/>
        <v>0</v>
      </c>
      <c r="F7" s="155"/>
      <c r="G7" s="156">
        <v>46010.0</v>
      </c>
      <c r="H7" s="161"/>
      <c r="I7" s="161"/>
      <c r="J7" s="161"/>
      <c r="K7" s="148">
        <v>0.0</v>
      </c>
      <c r="M7" s="161"/>
      <c r="N7" s="161"/>
      <c r="O7" s="161"/>
      <c r="P7" s="148">
        <f t="shared" si="2"/>
        <v>0</v>
      </c>
      <c r="Q7" s="149"/>
    </row>
    <row r="8" ht="15.75" customHeight="1">
      <c r="A8" s="163"/>
      <c r="B8" s="151">
        <v>46011.0</v>
      </c>
      <c r="C8" s="165"/>
      <c r="D8" s="165"/>
      <c r="E8" s="163">
        <f t="shared" si="1"/>
        <v>0</v>
      </c>
      <c r="F8" s="155"/>
      <c r="G8" s="156">
        <v>46011.0</v>
      </c>
      <c r="H8" s="161"/>
      <c r="I8" s="161"/>
      <c r="J8" s="161"/>
      <c r="K8" s="148">
        <v>0.0</v>
      </c>
      <c r="M8" s="161"/>
      <c r="N8" s="161"/>
      <c r="O8" s="161"/>
      <c r="P8" s="148">
        <f t="shared" si="2"/>
        <v>0</v>
      </c>
      <c r="Q8" s="149"/>
    </row>
    <row r="9" ht="15.75" customHeight="1">
      <c r="A9" s="167"/>
      <c r="B9" s="151">
        <v>46012.0</v>
      </c>
      <c r="C9" s="168"/>
      <c r="D9" s="168"/>
      <c r="E9" s="163">
        <f t="shared" si="1"/>
        <v>0</v>
      </c>
      <c r="F9" s="155"/>
      <c r="G9" s="156">
        <v>46012.0</v>
      </c>
      <c r="H9" s="161"/>
      <c r="I9" s="161"/>
      <c r="J9" s="161"/>
      <c r="K9" s="148">
        <f t="shared" ref="K9:K14" si="3">J9*(I9+H9)</f>
        <v>0</v>
      </c>
      <c r="M9" s="161"/>
      <c r="N9" s="161"/>
      <c r="O9" s="161"/>
      <c r="P9" s="148">
        <f t="shared" si="2"/>
        <v>0</v>
      </c>
      <c r="Q9" s="149"/>
    </row>
    <row r="10" ht="15.75" customHeight="1">
      <c r="A10" s="169"/>
      <c r="B10" s="151">
        <v>46013.0</v>
      </c>
      <c r="C10" s="170"/>
      <c r="D10" s="170"/>
      <c r="E10" s="163">
        <f t="shared" si="1"/>
        <v>0</v>
      </c>
      <c r="F10" s="155"/>
      <c r="G10" s="156">
        <v>46013.0</v>
      </c>
      <c r="H10" s="161"/>
      <c r="I10" s="161"/>
      <c r="J10" s="161"/>
      <c r="K10" s="148">
        <f t="shared" si="3"/>
        <v>0</v>
      </c>
      <c r="M10" s="161"/>
      <c r="N10" s="161"/>
      <c r="O10" s="161"/>
      <c r="P10" s="148">
        <f t="shared" si="2"/>
        <v>0</v>
      </c>
      <c r="Q10" s="149"/>
    </row>
    <row r="11" ht="15.75" customHeight="1">
      <c r="A11" s="169"/>
      <c r="B11" s="151">
        <v>46014.0</v>
      </c>
      <c r="C11" s="170"/>
      <c r="D11" s="170"/>
      <c r="E11" s="163">
        <f t="shared" si="1"/>
        <v>0</v>
      </c>
      <c r="F11" s="155"/>
      <c r="G11" s="156">
        <v>46014.0</v>
      </c>
      <c r="H11" s="161"/>
      <c r="I11" s="161"/>
      <c r="J11" s="161"/>
      <c r="K11" s="148">
        <f t="shared" si="3"/>
        <v>0</v>
      </c>
      <c r="M11" s="161"/>
      <c r="N11" s="161"/>
      <c r="O11" s="161"/>
      <c r="P11" s="148">
        <f t="shared" si="2"/>
        <v>0</v>
      </c>
      <c r="Q11" s="149"/>
    </row>
    <row r="12" ht="15.75" customHeight="1">
      <c r="A12" s="169"/>
      <c r="B12" s="151">
        <v>46015.0</v>
      </c>
      <c r="C12" s="170"/>
      <c r="D12" s="170"/>
      <c r="E12" s="163">
        <f t="shared" si="1"/>
        <v>0</v>
      </c>
      <c r="F12" s="155"/>
      <c r="G12" s="156">
        <v>46015.0</v>
      </c>
      <c r="H12" s="161"/>
      <c r="I12" s="161"/>
      <c r="J12" s="161"/>
      <c r="K12" s="148">
        <f t="shared" si="3"/>
        <v>0</v>
      </c>
      <c r="M12" s="161"/>
      <c r="N12" s="161"/>
      <c r="O12" s="161"/>
      <c r="P12" s="148">
        <f t="shared" si="2"/>
        <v>0</v>
      </c>
      <c r="Q12" s="149"/>
    </row>
    <row r="13" ht="15.75" customHeight="1">
      <c r="A13" s="169"/>
      <c r="B13" s="151">
        <v>46016.0</v>
      </c>
      <c r="C13" s="170"/>
      <c r="D13" s="170"/>
      <c r="E13" s="163">
        <f t="shared" si="1"/>
        <v>0</v>
      </c>
      <c r="F13" s="171"/>
      <c r="G13" s="156">
        <v>46016.0</v>
      </c>
      <c r="H13" s="161"/>
      <c r="I13" s="161"/>
      <c r="J13" s="161"/>
      <c r="K13" s="148">
        <f t="shared" si="3"/>
        <v>0</v>
      </c>
      <c r="M13" s="161"/>
      <c r="N13" s="161"/>
      <c r="O13" s="161"/>
      <c r="P13" s="148">
        <f t="shared" si="2"/>
        <v>0</v>
      </c>
      <c r="Q13" s="149"/>
    </row>
    <row r="14" ht="15.75" customHeight="1">
      <c r="A14" s="169"/>
      <c r="B14" s="151">
        <v>46017.0</v>
      </c>
      <c r="C14" s="170"/>
      <c r="D14" s="170"/>
      <c r="E14" s="163">
        <f t="shared" si="1"/>
        <v>0</v>
      </c>
      <c r="F14" s="172" t="s">
        <v>66</v>
      </c>
      <c r="G14" s="156">
        <v>46017.0</v>
      </c>
      <c r="H14" s="161"/>
      <c r="I14" s="161"/>
      <c r="J14" s="161"/>
      <c r="K14" s="148">
        <f t="shared" si="3"/>
        <v>0</v>
      </c>
      <c r="M14" s="161"/>
      <c r="N14" s="161"/>
      <c r="O14" s="161"/>
      <c r="P14" s="148">
        <f t="shared" si="2"/>
        <v>0</v>
      </c>
      <c r="Q14" s="149"/>
    </row>
    <row r="15" ht="15.75" customHeight="1">
      <c r="A15" s="144" t="s">
        <v>46</v>
      </c>
      <c r="B15" s="173"/>
      <c r="C15" s="173">
        <f>SUM(C5:C14)</f>
        <v>830</v>
      </c>
      <c r="D15" s="173"/>
      <c r="E15" s="154">
        <f>E5+E6+E7+E8+E9+E10+E11+E12+E13</f>
        <v>18260</v>
      </c>
      <c r="F15" s="174">
        <f>E15/C15</f>
        <v>22</v>
      </c>
      <c r="G15" s="175" t="s">
        <v>46</v>
      </c>
      <c r="H15" s="176"/>
      <c r="I15" s="176"/>
      <c r="J15" s="176"/>
      <c r="K15" s="177">
        <f>K5+K6+K7+K8+K9+K10+K11+K12+K13+K14</f>
        <v>647.4</v>
      </c>
      <c r="M15" s="175" t="s">
        <v>46</v>
      </c>
      <c r="N15" s="176"/>
      <c r="O15" s="176"/>
      <c r="P15" s="176">
        <f>SUM(P5:P14)</f>
        <v>0</v>
      </c>
      <c r="Q15" s="178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0.25"/>
    <col customWidth="1" min="2" max="2" width="11.5"/>
    <col customWidth="1" min="3" max="3" width="12.63"/>
    <col customWidth="1" min="4" max="4" width="15.88"/>
    <col customWidth="1" min="5" max="5" width="12.25"/>
    <col customWidth="1" min="6" max="6" width="12.88"/>
    <col customWidth="1" min="7" max="7" width="9.88"/>
    <col customWidth="1" min="8" max="8" width="9.63"/>
    <col customWidth="1" min="9" max="9" width="9.75"/>
    <col customWidth="1" min="10" max="10" width="6.25"/>
    <col customWidth="1" min="11" max="11" width="10.0"/>
    <col customWidth="1" min="12" max="12" width="1.25"/>
    <col customWidth="1" min="13" max="13" width="11.13"/>
    <col customWidth="1" min="14" max="14" width="11.5"/>
    <col customWidth="1" min="15" max="15" width="9.63"/>
    <col customWidth="1" min="16" max="16" width="10.0"/>
    <col customWidth="1" min="17" max="17" width="10.25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6</v>
      </c>
      <c r="G1" s="131"/>
      <c r="H1" s="131"/>
      <c r="I1" s="131"/>
      <c r="J1" s="130"/>
      <c r="K1" s="132"/>
    </row>
    <row r="2" ht="15.75" customHeight="1">
      <c r="A2" s="180" t="s">
        <v>36</v>
      </c>
      <c r="B2" s="134"/>
      <c r="C2" s="135">
        <f>F15</f>
        <v>14</v>
      </c>
      <c r="D2" s="136">
        <f>E15</f>
        <v>20300</v>
      </c>
      <c r="E2" s="137">
        <f>C15</f>
        <v>1450</v>
      </c>
      <c r="F2" s="138">
        <f>'visão geral'!G4</f>
        <v>45066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75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82">
        <v>1450.0</v>
      </c>
      <c r="D5" s="183">
        <v>14.0</v>
      </c>
      <c r="E5" s="154">
        <f t="shared" ref="E5:E14" si="1">C5*D5</f>
        <v>20300</v>
      </c>
      <c r="F5" s="155"/>
      <c r="G5" s="156">
        <v>46008.0</v>
      </c>
      <c r="H5" s="157">
        <v>0.79</v>
      </c>
      <c r="I5" s="148"/>
      <c r="J5" s="158">
        <v>1450.0</v>
      </c>
      <c r="K5" s="159">
        <f>SUM(J5+H5)</f>
        <v>1450.79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/>
      <c r="H6" s="148"/>
      <c r="I6" s="161"/>
      <c r="J6" s="148"/>
      <c r="K6" s="148"/>
      <c r="M6" s="164"/>
      <c r="N6" s="148"/>
      <c r="O6" s="161"/>
      <c r="P6" s="148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ref="K7:K14" si="3">J7*(I7+H7)</f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1450</v>
      </c>
      <c r="D15" s="173"/>
      <c r="E15" s="154">
        <f>E5+E6+E7+E8+E9+E10+E11+E12+E13</f>
        <v>20300</v>
      </c>
      <c r="F15" s="174">
        <f>E15/C15</f>
        <v>14</v>
      </c>
      <c r="G15" s="175" t="s">
        <v>46</v>
      </c>
      <c r="H15" s="176"/>
      <c r="I15" s="176"/>
      <c r="J15" s="176"/>
      <c r="K15" s="177">
        <f>K5+K6+K7+K8+K9+K10+K11+K12+K13+K14</f>
        <v>1450.79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85"/>
      <c r="B16" s="185"/>
      <c r="C16" s="185"/>
      <c r="D16" s="185"/>
      <c r="E16" s="185"/>
      <c r="F16" s="185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10.88"/>
    <col customWidth="1" min="3" max="3" width="12.63"/>
    <col customWidth="1" min="4" max="4" width="16.25"/>
    <col customWidth="1" min="5" max="5" width="12.5"/>
    <col customWidth="1" min="6" max="6" width="12.38"/>
    <col customWidth="1" min="7" max="7" width="9.75"/>
    <col customWidth="1" min="8" max="8" width="10.13"/>
    <col customWidth="1" min="9" max="9" width="9.75"/>
    <col customWidth="1" min="10" max="10" width="7.75"/>
    <col customWidth="1" min="11" max="11" width="9.75"/>
    <col customWidth="1" min="12" max="12" width="1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78</v>
      </c>
      <c r="B2" s="134"/>
      <c r="C2" s="135">
        <f>F15</f>
        <v>4</v>
      </c>
      <c r="D2" s="136">
        <f>E15</f>
        <v>20000</v>
      </c>
      <c r="E2" s="137">
        <f>C15</f>
        <v>5000</v>
      </c>
      <c r="F2" s="138">
        <f>'visão geral'!G5</f>
        <v>110000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52">
        <v>5000.0</v>
      </c>
      <c r="D5" s="153">
        <v>4.0</v>
      </c>
      <c r="E5" s="154">
        <f t="shared" ref="E5:E14" si="1">C5*D5</f>
        <v>20000</v>
      </c>
      <c r="F5" s="155"/>
      <c r="G5" s="156">
        <v>46008.0</v>
      </c>
      <c r="H5" s="157">
        <v>0.08</v>
      </c>
      <c r="I5" s="148"/>
      <c r="J5" s="158">
        <v>5000.0</v>
      </c>
      <c r="K5" s="159">
        <f>SUM(H5*J5)</f>
        <v>400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/>
      <c r="H6" s="148"/>
      <c r="I6" s="161"/>
      <c r="J6" s="148"/>
      <c r="K6" s="148">
        <v>5.79</v>
      </c>
      <c r="M6" s="164"/>
      <c r="N6" s="148"/>
      <c r="O6" s="161"/>
      <c r="P6" s="148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ref="K7:K14" si="3">J7*(I7+H7)</f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5000</v>
      </c>
      <c r="D15" s="173"/>
      <c r="E15" s="154">
        <f>E5+E6+E7+E8+E9+E10+E11+E12+E13</f>
        <v>20000</v>
      </c>
      <c r="F15" s="174">
        <f>E15/C15</f>
        <v>4</v>
      </c>
      <c r="G15" s="175" t="s">
        <v>46</v>
      </c>
      <c r="H15" s="176"/>
      <c r="I15" s="176"/>
      <c r="J15" s="176"/>
      <c r="K15" s="177">
        <f>K5+K6+K7+K8+K9+K10+K11+K12+K13+K14</f>
        <v>405.79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11.13"/>
    <col customWidth="1" min="3" max="3" width="12.0"/>
    <col customWidth="1" min="4" max="4" width="15.63"/>
    <col customWidth="1" min="5" max="5" width="14.25"/>
    <col customWidth="1" min="6" max="6" width="12.38"/>
    <col customWidth="1" min="7" max="7" width="9.75"/>
    <col customWidth="1" min="8" max="8" width="9.25"/>
    <col customWidth="1" min="9" max="9" width="11.0"/>
    <col customWidth="1" min="10" max="10" width="6.75"/>
    <col customWidth="1" min="11" max="11" width="10.0"/>
    <col customWidth="1" min="12" max="12" width="1.0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23</v>
      </c>
      <c r="B2" s="134"/>
      <c r="C2" s="186">
        <f>F15</f>
        <v>35.23</v>
      </c>
      <c r="D2" s="186">
        <f>E15</f>
        <v>10569</v>
      </c>
      <c r="E2" s="137">
        <f>C15</f>
        <v>300</v>
      </c>
      <c r="F2" s="138">
        <f>'visão geral'!G6</f>
        <v>5514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52">
        <v>300.0</v>
      </c>
      <c r="D5" s="162">
        <v>35.23</v>
      </c>
      <c r="E5" s="187">
        <f t="shared" ref="E5:E14" si="1">C5*D5</f>
        <v>10569</v>
      </c>
      <c r="F5" s="155"/>
      <c r="G5" s="160"/>
      <c r="H5" s="157">
        <v>0.71</v>
      </c>
      <c r="I5" s="148"/>
      <c r="J5" s="158">
        <v>300.0</v>
      </c>
      <c r="K5" s="159">
        <f>SUM(H5*J5)</f>
        <v>213</v>
      </c>
      <c r="M5" s="160"/>
      <c r="N5" s="161"/>
      <c r="O5" s="158">
        <v>300.0</v>
      </c>
      <c r="P5" s="188">
        <f>E5</f>
        <v>10569</v>
      </c>
      <c r="Q5" s="188">
        <f t="shared" ref="Q5:Q14" si="2">N5*O5-P5</f>
        <v>-10569</v>
      </c>
    </row>
    <row r="6" ht="15.75" customHeight="1">
      <c r="A6" s="162"/>
      <c r="B6" s="184"/>
      <c r="C6" s="162"/>
      <c r="D6" s="162"/>
      <c r="E6" s="187">
        <f t="shared" si="1"/>
        <v>0</v>
      </c>
      <c r="F6" s="155"/>
      <c r="G6" s="164"/>
      <c r="H6" s="148"/>
      <c r="I6" s="161"/>
      <c r="J6" s="148"/>
      <c r="K6" s="148">
        <f t="shared" ref="K6:K14" si="3">J6*(I6+H6)</f>
        <v>0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87">
        <f t="shared" si="1"/>
        <v>0</v>
      </c>
      <c r="F7" s="155"/>
      <c r="G7" s="161"/>
      <c r="H7" s="161"/>
      <c r="I7" s="161"/>
      <c r="J7" s="161"/>
      <c r="K7" s="148">
        <f t="shared" si="3"/>
        <v>0</v>
      </c>
      <c r="M7" s="189"/>
      <c r="N7" s="161"/>
      <c r="O7" s="161"/>
      <c r="P7" s="161"/>
      <c r="Q7" s="148">
        <f t="shared" si="2"/>
        <v>0</v>
      </c>
    </row>
    <row r="8" ht="15.75" customHeight="1">
      <c r="A8" s="163"/>
      <c r="B8" s="190"/>
      <c r="C8" s="165"/>
      <c r="D8" s="165"/>
      <c r="E8" s="187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89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87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89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87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87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87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87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87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SUM(C5:C14)</f>
        <v>300</v>
      </c>
      <c r="D15" s="173"/>
      <c r="E15" s="187">
        <f>SUM(E5:E14)</f>
        <v>10569</v>
      </c>
      <c r="F15" s="187">
        <f>E15/C15</f>
        <v>35.23</v>
      </c>
      <c r="G15" s="175" t="s">
        <v>46</v>
      </c>
      <c r="H15" s="176"/>
      <c r="I15" s="176"/>
      <c r="J15" s="176"/>
      <c r="K15" s="177">
        <f>K5+K6+K7+K8+K9+K10+K11+K12+K13+K14</f>
        <v>213</v>
      </c>
      <c r="M15" s="175" t="s">
        <v>46</v>
      </c>
      <c r="N15" s="176"/>
      <c r="O15" s="176"/>
      <c r="P15" s="176"/>
      <c r="Q15" s="191">
        <f>SUM(Q5:Q14)</f>
        <v>-10569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1.25"/>
    <col customWidth="1" min="3" max="3" width="12.63"/>
    <col customWidth="1" min="4" max="4" width="16.25"/>
    <col customWidth="1" min="5" max="5" width="13.25"/>
    <col customWidth="1" min="6" max="6" width="12.75"/>
    <col customWidth="1" min="7" max="7" width="10.0"/>
    <col customWidth="1" min="8" max="8" width="9.38"/>
    <col customWidth="1" min="9" max="9" width="10.5"/>
    <col customWidth="1" min="10" max="10" width="6.5"/>
    <col customWidth="1" min="12" max="12" width="0.5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19</v>
      </c>
      <c r="B2" s="134">
        <v>44056.0</v>
      </c>
      <c r="C2" s="135">
        <f>F15</f>
        <v>42</v>
      </c>
      <c r="D2" s="136">
        <f>E15</f>
        <v>27300</v>
      </c>
      <c r="E2" s="137">
        <f>C15</f>
        <v>650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52">
        <v>650.0</v>
      </c>
      <c r="D5" s="153">
        <v>42.0</v>
      </c>
      <c r="E5" s="154">
        <f t="shared" ref="E5:E14" si="1">C5*D5</f>
        <v>27300</v>
      </c>
      <c r="F5" s="155"/>
      <c r="G5" s="160">
        <v>45307.0</v>
      </c>
      <c r="H5" s="192">
        <v>0.71</v>
      </c>
      <c r="I5" s="148"/>
      <c r="J5" s="158">
        <v>650.0</v>
      </c>
      <c r="K5" s="148">
        <f>SUM(H5*J5)</f>
        <v>461.5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/>
      <c r="H6" s="148"/>
      <c r="I6" s="161"/>
      <c r="J6" s="148"/>
      <c r="K6" s="148">
        <f t="shared" ref="K6:K14" si="3">J6*(I6+H6)</f>
        <v>0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si="3"/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650</v>
      </c>
      <c r="D15" s="173"/>
      <c r="E15" s="154">
        <f>E5+E6+E7+E8+E9+E10+E11+E12+E13</f>
        <v>27300</v>
      </c>
      <c r="F15" s="174">
        <f>E15/C15</f>
        <v>42</v>
      </c>
      <c r="G15" s="175" t="s">
        <v>46</v>
      </c>
      <c r="H15" s="176"/>
      <c r="I15" s="176"/>
      <c r="J15" s="176"/>
      <c r="K15" s="175">
        <f>K5+K6+K7+K8+K9+K10+K11+K12+K13+K14</f>
        <v>461.5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1.25"/>
    <col customWidth="1" min="3" max="3" width="12.63"/>
    <col customWidth="1" min="4" max="4" width="16.25"/>
    <col customWidth="1" min="5" max="5" width="17.0"/>
    <col customWidth="1" min="6" max="6" width="12.25"/>
    <col customWidth="1" min="7" max="7" width="9.13"/>
    <col customWidth="1" min="8" max="8" width="10.13"/>
    <col customWidth="1" min="9" max="9" width="11.88"/>
    <col customWidth="1" min="10" max="10" width="8.0"/>
    <col customWidth="1" min="11" max="11" width="10.5"/>
    <col customWidth="1" min="12" max="12" width="0.75"/>
    <col customWidth="1" min="13" max="13" width="10.63"/>
    <col customWidth="1" min="15" max="15" width="9.13"/>
    <col customWidth="1" min="16" max="16" width="10.63"/>
    <col customWidth="1" min="17" max="17" width="10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6</v>
      </c>
      <c r="G1" s="131"/>
      <c r="H1" s="131"/>
      <c r="I1" s="131"/>
      <c r="J1" s="130"/>
      <c r="K1" s="132"/>
    </row>
    <row r="2" ht="15.75" customHeight="1">
      <c r="A2" s="133" t="s">
        <v>15</v>
      </c>
      <c r="B2" s="134">
        <v>44056.0</v>
      </c>
      <c r="C2" s="135">
        <f>F15</f>
        <v>71</v>
      </c>
      <c r="D2" s="136">
        <f>E15</f>
        <v>21300</v>
      </c>
      <c r="E2" s="137">
        <f>C15</f>
        <v>300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52">
        <v>300.0</v>
      </c>
      <c r="D5" s="153">
        <v>71.0</v>
      </c>
      <c r="E5" s="154">
        <f t="shared" ref="E5:E14" si="1">C5*D5</f>
        <v>21300</v>
      </c>
      <c r="F5" s="155"/>
      <c r="G5" s="160"/>
      <c r="H5" s="192">
        <v>8.15</v>
      </c>
      <c r="I5" s="148"/>
      <c r="J5" s="158">
        <v>300.0</v>
      </c>
      <c r="K5" s="148">
        <f>SUM(H5*J5)</f>
        <v>2445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/>
      <c r="H6" s="148"/>
      <c r="I6" s="161"/>
      <c r="J6" s="148"/>
      <c r="K6" s="148">
        <f t="shared" ref="K6:K14" si="3">J6*(I6+H6)</f>
        <v>0</v>
      </c>
      <c r="M6" s="164"/>
      <c r="N6" s="148"/>
      <c r="O6" s="161"/>
      <c r="P6" s="148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si="3"/>
        <v>0</v>
      </c>
      <c r="M7" s="193"/>
      <c r="N7" s="161"/>
      <c r="O7" s="161"/>
      <c r="P7" s="148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93"/>
      <c r="N8" s="161"/>
      <c r="O8" s="161"/>
      <c r="P8" s="148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94"/>
      <c r="N9" s="195"/>
      <c r="O9" s="195"/>
      <c r="P9" s="195"/>
      <c r="Q9" s="196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93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89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300</v>
      </c>
      <c r="D15" s="173"/>
      <c r="E15" s="154">
        <f>E5+E6+E7+E8+E9+E10+E11+E12+E13</f>
        <v>21300</v>
      </c>
      <c r="F15" s="174">
        <f>E15/C15</f>
        <v>71</v>
      </c>
      <c r="G15" s="175" t="s">
        <v>46</v>
      </c>
      <c r="H15" s="176"/>
      <c r="I15" s="176"/>
      <c r="J15" s="176"/>
      <c r="K15" s="175">
        <f>K5+K6+K7+K8+K9+K10+K11+K12+K13+K14</f>
        <v>2445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25"/>
    <col customWidth="1" min="3" max="3" width="12.63"/>
    <col customWidth="1" min="4" max="4" width="16.25"/>
    <col customWidth="1" min="5" max="5" width="14.38"/>
    <col customWidth="1" min="6" max="6" width="12.88"/>
    <col customWidth="1" min="7" max="7" width="10.0"/>
    <col customWidth="1" min="8" max="8" width="12.75"/>
    <col customWidth="1" min="9" max="9" width="11.63"/>
    <col customWidth="1" min="10" max="10" width="7.0"/>
    <col customWidth="1" min="12" max="12" width="1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47</v>
      </c>
      <c r="B2" s="134">
        <v>44056.0</v>
      </c>
      <c r="C2" s="135">
        <f>F15</f>
        <v>9</v>
      </c>
      <c r="D2" s="137">
        <f>E15</f>
        <v>2682</v>
      </c>
      <c r="E2" s="137">
        <f>C15</f>
        <v>298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62">
        <v>298.0</v>
      </c>
      <c r="D5" s="162">
        <v>9.0</v>
      </c>
      <c r="E5" s="163">
        <f t="shared" ref="E5:E14" si="1">C5*D5</f>
        <v>2682</v>
      </c>
      <c r="F5" s="155"/>
      <c r="G5" s="160">
        <v>45306.0</v>
      </c>
      <c r="H5" s="161"/>
      <c r="I5" s="148"/>
      <c r="J5" s="148"/>
      <c r="K5" s="148">
        <v>32.78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>
        <v>45338.0</v>
      </c>
      <c r="H6" s="148"/>
      <c r="I6" s="161"/>
      <c r="J6" s="148"/>
      <c r="K6" s="148">
        <v>29.8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ref="K7:K14" si="3">J7*(I7+H7)</f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298</v>
      </c>
      <c r="D15" s="173"/>
      <c r="E15" s="163">
        <f>E5+E6+E7+E8+E9+E10+E11+E12+E13</f>
        <v>2682</v>
      </c>
      <c r="F15" s="174">
        <f>E15/C15</f>
        <v>9</v>
      </c>
      <c r="G15" s="175" t="s">
        <v>46</v>
      </c>
      <c r="H15" s="176"/>
      <c r="I15" s="176"/>
      <c r="J15" s="176"/>
      <c r="K15" s="175">
        <f>K5+K6+K7+K8+K9+K10+K11+K12+K13+K14</f>
        <v>62.58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25"/>
    <col customWidth="1" min="3" max="3" width="12.63"/>
    <col customWidth="1" min="4" max="4" width="16.25"/>
    <col customWidth="1" min="5" max="5" width="14.38"/>
    <col customWidth="1" min="6" max="6" width="12.88"/>
    <col customWidth="1" min="7" max="7" width="10.0"/>
    <col customWidth="1" min="8" max="8" width="12.75"/>
    <col customWidth="1" min="9" max="9" width="11.63"/>
    <col customWidth="1" min="10" max="10" width="7.0"/>
    <col customWidth="1" min="12" max="12" width="1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/>
      <c r="B2" s="134">
        <v>44056.0</v>
      </c>
      <c r="C2" s="135">
        <f>F15</f>
        <v>50</v>
      </c>
      <c r="D2" s="137">
        <f>E15</f>
        <v>650</v>
      </c>
      <c r="E2" s="137">
        <f>C15</f>
        <v>13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62">
        <v>13.0</v>
      </c>
      <c r="D5" s="162">
        <v>50.0</v>
      </c>
      <c r="E5" s="163">
        <f t="shared" ref="E5:E14" si="1">C5*D5</f>
        <v>650</v>
      </c>
      <c r="F5" s="155"/>
      <c r="G5" s="160">
        <v>45338.0</v>
      </c>
      <c r="H5" s="161"/>
      <c r="I5" s="148"/>
      <c r="J5" s="148"/>
      <c r="K5" s="148">
        <v>5.33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/>
      <c r="H6" s="148"/>
      <c r="I6" s="161"/>
      <c r="J6" s="148"/>
      <c r="K6" s="148">
        <f t="shared" ref="K6:K14" si="3">J6*(I6+H6)</f>
        <v>0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si="3"/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13</v>
      </c>
      <c r="D15" s="173"/>
      <c r="E15" s="163">
        <f>E5+E6+E7+E8+E9+E10+E11+E12+E13</f>
        <v>650</v>
      </c>
      <c r="F15" s="174">
        <f>E15/C15</f>
        <v>50</v>
      </c>
      <c r="G15" s="175" t="s">
        <v>46</v>
      </c>
      <c r="H15" s="176"/>
      <c r="I15" s="176"/>
      <c r="J15" s="176"/>
      <c r="K15" s="175">
        <f>K5+K6+K7+K8+K9+K10+K11+K12+K13+K14</f>
        <v>5.33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25"/>
    <col customWidth="1" min="3" max="3" width="12.63"/>
    <col customWidth="1" min="4" max="4" width="16.25"/>
    <col customWidth="1" min="5" max="5" width="14.38"/>
    <col customWidth="1" min="6" max="6" width="12.88"/>
    <col customWidth="1" min="7" max="7" width="10.0"/>
    <col customWidth="1" min="8" max="8" width="12.75"/>
    <col customWidth="1" min="9" max="9" width="11.63"/>
    <col customWidth="1" min="10" max="10" width="7.0"/>
    <col customWidth="1" min="12" max="12" width="1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47</v>
      </c>
      <c r="B2" s="134">
        <v>44056.0</v>
      </c>
      <c r="C2" s="135">
        <f>F15</f>
        <v>10.1</v>
      </c>
      <c r="D2" s="137">
        <f>E15</f>
        <v>1504.9</v>
      </c>
      <c r="E2" s="137">
        <f>C15</f>
        <v>149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62">
        <v>149.0</v>
      </c>
      <c r="D5" s="162">
        <v>10.1</v>
      </c>
      <c r="E5" s="163">
        <f t="shared" ref="E5:E14" si="1">C5*D5</f>
        <v>1504.9</v>
      </c>
      <c r="F5" s="155"/>
      <c r="G5" s="160">
        <v>45316.0</v>
      </c>
      <c r="H5" s="161"/>
      <c r="I5" s="148"/>
      <c r="J5" s="148"/>
      <c r="K5" s="148">
        <v>5.14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>
        <v>45345.0</v>
      </c>
      <c r="H6" s="148"/>
      <c r="I6" s="161"/>
      <c r="J6" s="148"/>
      <c r="K6" s="148">
        <v>5.14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ref="K7:K14" si="3">J7*(I7+H7)</f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149</v>
      </c>
      <c r="D15" s="173"/>
      <c r="E15" s="163">
        <f>E5+E6+E7+E8+E9+E10+E11+E12+E13</f>
        <v>1504.9</v>
      </c>
      <c r="F15" s="174">
        <f>E15/C15</f>
        <v>10.1</v>
      </c>
      <c r="G15" s="175" t="s">
        <v>46</v>
      </c>
      <c r="H15" s="176"/>
      <c r="I15" s="176"/>
      <c r="J15" s="176"/>
      <c r="K15" s="175">
        <f>K5+K6+K7+K8+K9+K10+K11+K12+K13+K14</f>
        <v>10.28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25"/>
    <col customWidth="1" min="3" max="3" width="12.63"/>
    <col customWidth="1" min="4" max="4" width="16.25"/>
    <col customWidth="1" min="5" max="5" width="14.38"/>
    <col customWidth="1" min="6" max="6" width="12.88"/>
    <col customWidth="1" min="7" max="7" width="10.0"/>
    <col customWidth="1" min="8" max="8" width="12.75"/>
    <col customWidth="1" min="9" max="9" width="11.63"/>
    <col customWidth="1" min="10" max="10" width="7.0"/>
    <col customWidth="1" min="12" max="12" width="1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47</v>
      </c>
      <c r="B2" s="134">
        <v>44056.0</v>
      </c>
      <c r="C2" s="135">
        <f>F15</f>
        <v>7.52</v>
      </c>
      <c r="D2" s="137">
        <f>E15</f>
        <v>443.68</v>
      </c>
      <c r="E2" s="137">
        <f>C15</f>
        <v>59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62">
        <v>59.0</v>
      </c>
      <c r="D5" s="162">
        <v>7.52</v>
      </c>
      <c r="E5" s="163">
        <f t="shared" ref="E5:E14" si="1">C5*D5</f>
        <v>443.68</v>
      </c>
      <c r="F5" s="155"/>
      <c r="G5" s="160">
        <v>45343.0</v>
      </c>
      <c r="H5" s="161"/>
      <c r="I5" s="148"/>
      <c r="J5" s="148"/>
      <c r="K5" s="148">
        <v>4.13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/>
      <c r="H6" s="148"/>
      <c r="I6" s="161"/>
      <c r="J6" s="148"/>
      <c r="K6" s="148">
        <f t="shared" ref="K6:K14" si="3">J6*(I6+H6)</f>
        <v>0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si="3"/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59</v>
      </c>
      <c r="D15" s="173"/>
      <c r="E15" s="163">
        <f>E5+E6+E7+E8+E9+E10+E11+E12+E13</f>
        <v>443.68</v>
      </c>
      <c r="F15" s="174">
        <f>E15/C15</f>
        <v>7.52</v>
      </c>
      <c r="G15" s="175" t="s">
        <v>46</v>
      </c>
      <c r="H15" s="176"/>
      <c r="I15" s="176"/>
      <c r="J15" s="176"/>
      <c r="K15" s="175">
        <f>K5+K6+K7+K8+K9+K10+K11+K12+K13+K14</f>
        <v>4.13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25"/>
    <col customWidth="1" min="3" max="3" width="12.63"/>
    <col customWidth="1" min="4" max="4" width="16.25"/>
    <col customWidth="1" min="5" max="5" width="14.38"/>
    <col customWidth="1" min="6" max="6" width="12.88"/>
    <col customWidth="1" min="7" max="7" width="10.0"/>
    <col customWidth="1" min="8" max="8" width="12.75"/>
    <col customWidth="1" min="9" max="9" width="11.63"/>
    <col customWidth="1" min="10" max="10" width="7.0"/>
    <col customWidth="1" min="12" max="12" width="1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47</v>
      </c>
      <c r="B2" s="134">
        <v>44056.0</v>
      </c>
      <c r="C2" s="135">
        <f>F15</f>
        <v>101</v>
      </c>
      <c r="D2" s="137">
        <f>E15</f>
        <v>404</v>
      </c>
      <c r="E2" s="137">
        <f>C15</f>
        <v>4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62">
        <v>4.0</v>
      </c>
      <c r="D5" s="162">
        <v>101.0</v>
      </c>
      <c r="E5" s="163">
        <f t="shared" ref="E5:E14" si="1">C5*D5</f>
        <v>404</v>
      </c>
      <c r="F5" s="155"/>
      <c r="G5" s="160">
        <v>45316.0</v>
      </c>
      <c r="H5" s="161"/>
      <c r="I5" s="148"/>
      <c r="J5" s="148"/>
      <c r="K5" s="148">
        <v>3.68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>
        <v>45345.0</v>
      </c>
      <c r="H6" s="148"/>
      <c r="I6" s="161"/>
      <c r="J6" s="148"/>
      <c r="K6" s="148">
        <v>3.6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ref="K7:K14" si="3">J7*(I7+H7)</f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4</v>
      </c>
      <c r="D15" s="173"/>
      <c r="E15" s="163">
        <f>E5+E6+E7+E8+E9+E10+E11+E12+E13</f>
        <v>404</v>
      </c>
      <c r="F15" s="174">
        <f>E15/C15</f>
        <v>101</v>
      </c>
      <c r="G15" s="175" t="s">
        <v>46</v>
      </c>
      <c r="H15" s="176"/>
      <c r="I15" s="176"/>
      <c r="J15" s="176"/>
      <c r="K15" s="175">
        <f>K5+K6+K7+K8+K9+K10+K11+K12+K13+K14</f>
        <v>7.28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25"/>
    <col customWidth="1" min="3" max="3" width="12.63"/>
    <col customWidth="1" min="4" max="4" width="16.25"/>
    <col customWidth="1" min="5" max="5" width="14.38"/>
    <col customWidth="1" min="6" max="6" width="12.88"/>
    <col customWidth="1" min="7" max="7" width="10.0"/>
    <col customWidth="1" min="8" max="8" width="12.75"/>
    <col customWidth="1" min="9" max="9" width="11.63"/>
    <col customWidth="1" min="10" max="10" width="7.0"/>
    <col customWidth="1" min="12" max="12" width="1.13"/>
  </cols>
  <sheetData>
    <row r="1" ht="15.75" customHeight="1">
      <c r="A1" s="127" t="s">
        <v>1</v>
      </c>
      <c r="B1" s="128" t="s">
        <v>65</v>
      </c>
      <c r="C1" s="129" t="s">
        <v>66</v>
      </c>
      <c r="D1" s="129" t="s">
        <v>67</v>
      </c>
      <c r="E1" s="129" t="s">
        <v>68</v>
      </c>
      <c r="F1" s="130" t="s">
        <v>77</v>
      </c>
      <c r="G1" s="131"/>
      <c r="H1" s="131"/>
      <c r="I1" s="131"/>
      <c r="J1" s="130"/>
      <c r="K1" s="132"/>
    </row>
    <row r="2" ht="15.75" customHeight="1">
      <c r="A2" s="133" t="s">
        <v>47</v>
      </c>
      <c r="B2" s="134">
        <v>44056.0</v>
      </c>
      <c r="C2" s="135">
        <f>F15</f>
        <v>95</v>
      </c>
      <c r="D2" s="137">
        <f>E15</f>
        <v>1805</v>
      </c>
      <c r="E2" s="137">
        <f>C15</f>
        <v>19</v>
      </c>
      <c r="F2" s="138">
        <f>'visão geral'!G7</f>
        <v>18158.75</v>
      </c>
      <c r="G2" s="139"/>
      <c r="H2" s="139"/>
      <c r="I2" s="139"/>
      <c r="J2" s="140"/>
      <c r="K2" s="141"/>
    </row>
    <row r="3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</row>
    <row r="4" ht="15.75" customHeight="1">
      <c r="A4" s="144"/>
      <c r="B4" s="145" t="s">
        <v>69</v>
      </c>
      <c r="C4" s="145" t="s">
        <v>5</v>
      </c>
      <c r="D4" s="145" t="s">
        <v>70</v>
      </c>
      <c r="E4" s="146" t="s">
        <v>71</v>
      </c>
      <c r="F4" s="147"/>
      <c r="G4" s="148" t="s">
        <v>69</v>
      </c>
      <c r="H4" s="148" t="s">
        <v>79</v>
      </c>
      <c r="I4" s="148" t="s">
        <v>73</v>
      </c>
      <c r="J4" s="148" t="s">
        <v>74</v>
      </c>
      <c r="K4" s="148" t="s">
        <v>46</v>
      </c>
      <c r="M4" s="148" t="s">
        <v>69</v>
      </c>
      <c r="N4" s="148" t="s">
        <v>63</v>
      </c>
      <c r="O4" s="148" t="s">
        <v>74</v>
      </c>
      <c r="P4" s="148" t="s">
        <v>76</v>
      </c>
      <c r="Q4" s="148" t="s">
        <v>46</v>
      </c>
    </row>
    <row r="5" ht="15.75" customHeight="1">
      <c r="A5" s="150"/>
      <c r="B5" s="181"/>
      <c r="C5" s="162">
        <v>19.0</v>
      </c>
      <c r="D5" s="162">
        <v>95.0</v>
      </c>
      <c r="E5" s="163">
        <f t="shared" ref="E5:E14" si="1">C5*D5</f>
        <v>1805</v>
      </c>
      <c r="F5" s="155"/>
      <c r="G5" s="160">
        <v>45338.0</v>
      </c>
      <c r="H5" s="161"/>
      <c r="I5" s="148"/>
      <c r="J5" s="148"/>
      <c r="K5" s="148">
        <v>7.02</v>
      </c>
      <c r="M5" s="160"/>
      <c r="N5" s="161"/>
      <c r="O5" s="148"/>
      <c r="P5" s="148"/>
      <c r="Q5" s="148">
        <f t="shared" ref="Q5:Q14" si="2">N5*O5-P5</f>
        <v>0</v>
      </c>
    </row>
    <row r="6" ht="15.75" customHeight="1">
      <c r="A6" s="162"/>
      <c r="B6" s="184"/>
      <c r="C6" s="162"/>
      <c r="D6" s="162"/>
      <c r="E6" s="163">
        <f t="shared" si="1"/>
        <v>0</v>
      </c>
      <c r="F6" s="155"/>
      <c r="G6" s="164"/>
      <c r="H6" s="148"/>
      <c r="I6" s="161"/>
      <c r="J6" s="148"/>
      <c r="K6" s="148">
        <f t="shared" ref="K6:K14" si="3">J6*(I6+H6)</f>
        <v>0</v>
      </c>
      <c r="M6" s="164"/>
      <c r="N6" s="148"/>
      <c r="O6" s="161"/>
      <c r="P6" s="161"/>
      <c r="Q6" s="148">
        <f t="shared" si="2"/>
        <v>0</v>
      </c>
    </row>
    <row r="7" ht="15.75" customHeight="1">
      <c r="A7" s="163"/>
      <c r="B7" s="165"/>
      <c r="C7" s="165"/>
      <c r="D7" s="165"/>
      <c r="E7" s="163">
        <f t="shared" si="1"/>
        <v>0</v>
      </c>
      <c r="F7" s="155"/>
      <c r="G7" s="161"/>
      <c r="H7" s="161"/>
      <c r="I7" s="161"/>
      <c r="J7" s="161"/>
      <c r="K7" s="148">
        <f t="shared" si="3"/>
        <v>0</v>
      </c>
      <c r="M7" s="161"/>
      <c r="N7" s="161"/>
      <c r="O7" s="161"/>
      <c r="P7" s="161"/>
      <c r="Q7" s="148">
        <f t="shared" si="2"/>
        <v>0</v>
      </c>
    </row>
    <row r="8" ht="15.75" customHeight="1">
      <c r="A8" s="163"/>
      <c r="B8" s="165"/>
      <c r="C8" s="165"/>
      <c r="D8" s="165"/>
      <c r="E8" s="163">
        <f t="shared" si="1"/>
        <v>0</v>
      </c>
      <c r="F8" s="155"/>
      <c r="G8" s="161"/>
      <c r="H8" s="161"/>
      <c r="I8" s="161"/>
      <c r="J8" s="161"/>
      <c r="K8" s="148">
        <f t="shared" si="3"/>
        <v>0</v>
      </c>
      <c r="M8" s="161"/>
      <c r="N8" s="161"/>
      <c r="O8" s="161"/>
      <c r="P8" s="161"/>
      <c r="Q8" s="148">
        <f t="shared" si="2"/>
        <v>0</v>
      </c>
    </row>
    <row r="9" ht="15.75" customHeight="1">
      <c r="A9" s="167"/>
      <c r="B9" s="168"/>
      <c r="C9" s="168"/>
      <c r="D9" s="168"/>
      <c r="E9" s="163">
        <f t="shared" si="1"/>
        <v>0</v>
      </c>
      <c r="F9" s="155"/>
      <c r="G9" s="161"/>
      <c r="H9" s="161"/>
      <c r="I9" s="161"/>
      <c r="J9" s="161"/>
      <c r="K9" s="148">
        <f t="shared" si="3"/>
        <v>0</v>
      </c>
      <c r="M9" s="161"/>
      <c r="N9" s="161"/>
      <c r="O9" s="161"/>
      <c r="P9" s="161"/>
      <c r="Q9" s="148">
        <f t="shared" si="2"/>
        <v>0</v>
      </c>
    </row>
    <row r="10" ht="15.75" customHeight="1">
      <c r="A10" s="169"/>
      <c r="B10" s="170"/>
      <c r="C10" s="170"/>
      <c r="D10" s="170"/>
      <c r="E10" s="163">
        <f t="shared" si="1"/>
        <v>0</v>
      </c>
      <c r="F10" s="155"/>
      <c r="G10" s="161"/>
      <c r="H10" s="161"/>
      <c r="I10" s="161"/>
      <c r="J10" s="161"/>
      <c r="K10" s="148">
        <f t="shared" si="3"/>
        <v>0</v>
      </c>
      <c r="M10" s="161"/>
      <c r="N10" s="161"/>
      <c r="O10" s="161"/>
      <c r="P10" s="161"/>
      <c r="Q10" s="148">
        <f t="shared" si="2"/>
        <v>0</v>
      </c>
    </row>
    <row r="11" ht="15.75" customHeight="1">
      <c r="A11" s="169"/>
      <c r="B11" s="170"/>
      <c r="C11" s="170"/>
      <c r="D11" s="170"/>
      <c r="E11" s="163">
        <f t="shared" si="1"/>
        <v>0</v>
      </c>
      <c r="F11" s="155"/>
      <c r="G11" s="161"/>
      <c r="H11" s="161"/>
      <c r="I11" s="161"/>
      <c r="J11" s="161"/>
      <c r="K11" s="148">
        <f t="shared" si="3"/>
        <v>0</v>
      </c>
      <c r="M11" s="161"/>
      <c r="N11" s="161"/>
      <c r="O11" s="161"/>
      <c r="P11" s="161"/>
      <c r="Q11" s="148">
        <f t="shared" si="2"/>
        <v>0</v>
      </c>
    </row>
    <row r="12" ht="15.75" customHeight="1">
      <c r="A12" s="169"/>
      <c r="B12" s="170"/>
      <c r="C12" s="170"/>
      <c r="D12" s="170"/>
      <c r="E12" s="163">
        <f t="shared" si="1"/>
        <v>0</v>
      </c>
      <c r="F12" s="155"/>
      <c r="G12" s="161"/>
      <c r="H12" s="161"/>
      <c r="I12" s="161"/>
      <c r="J12" s="161"/>
      <c r="K12" s="148">
        <f t="shared" si="3"/>
        <v>0</v>
      </c>
      <c r="M12" s="161"/>
      <c r="N12" s="161"/>
      <c r="O12" s="161"/>
      <c r="P12" s="161"/>
      <c r="Q12" s="148">
        <f t="shared" si="2"/>
        <v>0</v>
      </c>
    </row>
    <row r="13" ht="15.75" customHeight="1">
      <c r="A13" s="169"/>
      <c r="B13" s="170"/>
      <c r="C13" s="170"/>
      <c r="D13" s="170"/>
      <c r="E13" s="163">
        <f t="shared" si="1"/>
        <v>0</v>
      </c>
      <c r="F13" s="171"/>
      <c r="G13" s="161"/>
      <c r="H13" s="161"/>
      <c r="I13" s="161"/>
      <c r="J13" s="161"/>
      <c r="K13" s="148">
        <f t="shared" si="3"/>
        <v>0</v>
      </c>
      <c r="M13" s="161"/>
      <c r="N13" s="161"/>
      <c r="O13" s="161"/>
      <c r="P13" s="161"/>
      <c r="Q13" s="148">
        <f t="shared" si="2"/>
        <v>0</v>
      </c>
    </row>
    <row r="14" ht="15.75" customHeight="1">
      <c r="A14" s="169"/>
      <c r="B14" s="170"/>
      <c r="C14" s="170"/>
      <c r="D14" s="170"/>
      <c r="E14" s="163">
        <f t="shared" si="1"/>
        <v>0</v>
      </c>
      <c r="F14" s="172" t="s">
        <v>66</v>
      </c>
      <c r="G14" s="161"/>
      <c r="H14" s="161"/>
      <c r="I14" s="161"/>
      <c r="J14" s="161"/>
      <c r="K14" s="148">
        <f t="shared" si="3"/>
        <v>0</v>
      </c>
      <c r="M14" s="161"/>
      <c r="N14" s="161"/>
      <c r="O14" s="161"/>
      <c r="P14" s="161"/>
      <c r="Q14" s="148">
        <f t="shared" si="2"/>
        <v>0</v>
      </c>
    </row>
    <row r="15" ht="15.75" customHeight="1">
      <c r="A15" s="144" t="s">
        <v>46</v>
      </c>
      <c r="B15" s="173"/>
      <c r="C15" s="173">
        <f>C5+C6</f>
        <v>19</v>
      </c>
      <c r="D15" s="173"/>
      <c r="E15" s="163">
        <f>E5+E6+E7+E8+E9+E10+E11+E12+E13</f>
        <v>1805</v>
      </c>
      <c r="F15" s="174">
        <f>E15/C15</f>
        <v>95</v>
      </c>
      <c r="G15" s="175" t="s">
        <v>46</v>
      </c>
      <c r="H15" s="176"/>
      <c r="I15" s="176"/>
      <c r="J15" s="176"/>
      <c r="K15" s="175">
        <f>K5+K6+K7+K8+K9+K10+K11+K12+K13+K14</f>
        <v>7.02</v>
      </c>
      <c r="M15" s="175" t="s">
        <v>46</v>
      </c>
      <c r="N15" s="176"/>
      <c r="O15" s="176"/>
      <c r="P15" s="176"/>
      <c r="Q15" s="176">
        <f>SUM(Q5:Q14)</f>
        <v>0</v>
      </c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:F13"/>
  </mergeCells>
  <drawing r:id="rId1"/>
</worksheet>
</file>