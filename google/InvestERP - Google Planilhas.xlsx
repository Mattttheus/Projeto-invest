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6.xml" ContentType="application/vnd.openxmlformats-officedocument.spreadsheetml.table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Carteira" sheetId="2" state="visible" r:id="rId2"/>
    <sheet xmlns:r="http://schemas.openxmlformats.org/officeDocument/2006/relationships" name="Análises" sheetId="3" state="visible" r:id="rId3"/>
    <sheet xmlns:r="http://schemas.openxmlformats.org/officeDocument/2006/relationships" name="Meta" sheetId="4" state="visible" r:id="rId4"/>
    <sheet xmlns:r="http://schemas.openxmlformats.org/officeDocument/2006/relationships" name="Quant" sheetId="5" state="visible" r:id="rId5"/>
    <sheet xmlns:r="http://schemas.openxmlformats.org/officeDocument/2006/relationships" name="Modelos" sheetId="6" state="visible" r:id="rId6"/>
    <sheet xmlns:r="http://schemas.openxmlformats.org/officeDocument/2006/relationships" name="Projeção" sheetId="7" state="visible" r:id="rId7"/>
    <sheet xmlns:r="http://schemas.openxmlformats.org/officeDocument/2006/relationships" name="Cadastro" sheetId="8" state="visible" r:id="rId8"/>
    <sheet xmlns:r="http://schemas.openxmlformats.org/officeDocument/2006/relationships" name="Ativos" sheetId="9" state="hidden" r:id="rId9"/>
    <sheet xmlns:r="http://schemas.openxmlformats.org/officeDocument/2006/relationships" name="Lançamentos" sheetId="10" state="visible" r:id="rId10"/>
    <sheet xmlns:r="http://schemas.openxmlformats.org/officeDocument/2006/relationships" name="Proventos" sheetId="11" state="visible" r:id="rId11"/>
    <sheet xmlns:r="http://schemas.openxmlformats.org/officeDocument/2006/relationships" name="Premissas" sheetId="12" state="visible" r:id="rId12"/>
    <sheet xmlns:r="http://schemas.openxmlformats.org/officeDocument/2006/relationships" name="Verificar" sheetId="13" state="visible" r:id="rId13"/>
    <sheet xmlns:r="http://schemas.openxmlformats.org/officeDocument/2006/relationships" name="Base Painel" sheetId="14" state="hidden" r:id="rId14"/>
  </sheets>
  <definedNames>
    <definedName name="META_MENSAL">Premissas!$B$5</definedName>
    <definedName name="APORTE_MENSAL">Premissas!$B$6</definedName>
    <definedName name="PESO_RV">Premissas!$B$7</definedName>
    <definedName name="OUTRAS_CLASSES">Premissas!$B$11:$B$13</definedName>
    <definedName name="PJ_INICIAL">'Projeção'!$B$5</definedName>
    <definedName name="PJ_APORTE">'Projeção'!$B$6</definedName>
    <definedName name="PJ_DY">'Projeção'!$B$7</definedName>
    <definedName name="PJ_REINV">'Projeção'!$B$8</definedName>
    <definedName name="PJ_G_PESS">'Projeção'!$B$9</definedName>
    <definedName name="PJ_G_BASE">'Projeção'!$B$10</definedName>
    <definedName name="PJ_G_OTIM">'Projeção'!$B$11</definedName>
    <definedName name="PJ_CDI">'Projeção'!$B$12</definedName>
    <definedName name="PJ_META">'Projeção'!$B$13</definedName>
    <definedName name="lc_data">Cadastro!$C$8</definedName>
    <definedName name="lc_ticker">Cadastro!$C$9</definedName>
    <definedName name="lc_op">Cadastro!$C$10</definedName>
    <definedName name="lc_qtd">Cadastro!$C$11</definedName>
    <definedName name="lc_preco">Cadastro!$C$12</definedName>
    <definedName name="lc_custos">Cadastro!$C$13</definedName>
    <definedName name="lc_ativo">Cadastro!$C$15</definedName>
    <definedName name="lc_cot">Cadastro!$C$16</definedName>
    <definedName name="lc_tem">Cadastro!$C$17</definedName>
    <definedName name="lc_tipo">Cadastro!$C$19</definedName>
    <definedName name="lc_seg">Cadastro!$C$20</definedName>
    <definedName name="lc_total">Cadastro!$C$22</definedName>
    <definedName name="lc_apos">Cadastro!$C$23</definedName>
    <definedName name="lc_status">Cadastro!$B$24</definedName>
    <definedName name="pv_data">Cadastro!$F$8</definedName>
    <definedName name="pv_ticker">Cadastro!$F$9</definedName>
    <definedName name="pv_tipo">Cadastro!$F$10</definedName>
    <definedName name="pv_valor">Cadastro!$F$11</definedName>
    <definedName name="pv_qtd">Cadastro!$F$12</definedName>
    <definedName name="pv_tem">Cadastro!$F$14</definedName>
    <definedName name="pv_total">Cadastro!$F$15</definedName>
    <definedName name="pv_status">Cadastro!$E$16</definedName>
    <definedName name="lc_registrar">Cadastro!$C$26</definedName>
    <definedName name="pv_registrar">Cadastro!$F$18</definedName>
    <definedName name="FILTRO_TIPO">Painel!$D$10</definedName>
    <definedName name="_xlnm.Print_Area" localSheetId="0">'Painel'!$A$1:$AL$86</definedName>
    <definedName name="_xlnm.Print_Area" localSheetId="7">'Cadastro'!$A$1:$L$28</definedName>
  </definedNames>
  <calcPr calcId="124519" fullCalcOnLoad="1"/>
</workbook>
</file>

<file path=xl/styles.xml><?xml version="1.0" encoding="utf-8"?>
<styleSheet xmlns="http://schemas.openxmlformats.org/spreadsheetml/2006/main">
  <numFmts count="29">
    <numFmt numFmtId="164" formatCode="&quot;R$&quot; #,##0.00;[Red]-&quot;R$&quot; #,##0.00;&quot;-&quot;"/>
    <numFmt numFmtId="165" formatCode="0.0%;[Red]-0.0%;&quot;-&quot;"/>
    <numFmt numFmtId="166" formatCode="&quot;R$&quot; #,##0;[Red]-&quot;R$&quot; #,##0;&quot;-&quot;"/>
    <numFmt numFmtId="167" formatCode="#,##0;[Red]-#,##0;&quot;-&quot;"/>
    <numFmt numFmtId="168" formatCode="&quot;R$&quot; #,##0.0000"/>
    <numFmt numFmtId="169" formatCode="0&quot; meses&quot;;;&quot;atingida&quot;"/>
    <numFmt numFmtId="170" formatCode="yyyy-mm-dd h:mm:ss"/>
    <numFmt numFmtId="171" formatCode="dd/mm/yyyy"/>
    <numFmt numFmtId="172" formatCode="0.00;[Red]-0.00;&quot;-&quot;"/>
    <numFmt numFmtId="173" formatCode="0.000"/>
    <numFmt numFmtId="174" formatCode="0.0000"/>
    <numFmt numFmtId="175" formatCode="mm/yyyy"/>
    <numFmt numFmtId="176" formatCode="mmm/yy"/>
    <numFmt numFmtId="177" formatCode="&quot;R$ &quot;#,##0,&quot;k&quot;;-&quot;R$ &quot;#,##0,&quot;k&quot;;&quot;R$ 0&quot;"/>
    <numFmt numFmtId="178" formatCode="0.0%"/>
    <numFmt numFmtId="179" formatCode="&quot;Atualizado em &quot;dd/mm/yyyy&quot;   •   cotações: Google Finance   •   valores do filtro escolhido à esquerda&quot;"/>
    <numFmt numFmtId="180" formatCode="0%&quot; da meta atingida&quot;"/>
    <numFmt numFmtId="181" formatCode=";;;"/>
    <numFmt numFmtId="182" formatCode="#,##0&quot; cotas no filtro&quot;"/>
    <numFmt numFmtId="183" formatCode="&quot;▲ &quot;0.0%&quot; sobre o investido&quot;;&quot;▼ &quot;0.0%&quot; sobre o investido&quot;;&quot;sem variação&quot;"/>
    <numFmt numFmtId="184" formatCode="&quot;Renda mensal R$ &quot;#,##0.00"/>
    <numFmt numFmtId="185" formatCode="&quot;▲ &quot;0.0%&quot; de valorização&quot;;&quot;▼ &quot;0.0%&quot; de valorização&quot;"/>
    <numFmt numFmtId="186" formatCode="&quot;R$ &quot;#,##0&quot; por ano&quot;"/>
    <numFmt numFmtId="187" formatCode="&quot;R$ &quot;#,##0&quot; por ativo&quot;"/>
    <numFmt numFmtId="188" formatCode="0.0%&quot; da renda total&quot;"/>
    <numFmt numFmtId="189" formatCode="#,##0&quot; cotas faltantes&quot;"/>
    <numFmt numFmtId="190" formatCode="&quot;Aporte de R$ &quot;#,##0&quot;/mês&quot;"/>
    <numFmt numFmtId="191" formatCode="0.0&quot; anos&quot;"/>
    <numFmt numFmtId="192" formatCode="&quot;▲ &quot;0.0%;&quot;▼ &quot;0.0%;0.0%"/>
  </numFmts>
  <fonts count="41">
    <font>
      <name val="Calibri"/>
      <family val="2"/>
      <color theme="1"/>
      <sz val="11"/>
      <scheme val="minor"/>
    </font>
    <font>
      <name val="Segoe UI"/>
      <color rgb="00475569"/>
      <sz val="10"/>
    </font>
    <font>
      <name val="Segoe UI"/>
      <i val="1"/>
      <color rgb="0064748B"/>
      <sz val="8"/>
    </font>
    <font>
      <name val="Segoe UI"/>
      <b val="1"/>
      <color rgb="00FFFFFF"/>
      <sz val="10"/>
    </font>
    <font>
      <name val="Segoe UI"/>
      <color rgb="000000FF"/>
      <sz val="10"/>
    </font>
    <font>
      <name val="Segoe UI"/>
      <i val="1"/>
      <color rgb="00666666"/>
      <sz val="9"/>
    </font>
    <font>
      <name val="Segoe UI"/>
      <b val="1"/>
      <sz val="10"/>
    </font>
    <font>
      <name val="Segoe UI"/>
      <color rgb="00444444"/>
      <sz val="9"/>
    </font>
    <font>
      <name val="Segoe UI"/>
      <color rgb="00008000"/>
      <sz val="10"/>
    </font>
    <font>
      <name val="Segoe UI"/>
      <sz val="10"/>
    </font>
    <font>
      <name val="Segoe UI"/>
      <b val="1"/>
      <color rgb="0064748B"/>
      <sz val="10"/>
    </font>
    <font>
      <name val="Segoe UI"/>
      <b val="1"/>
      <color rgb="00D97706"/>
      <sz val="10"/>
    </font>
    <font>
      <name val="Segoe UI"/>
      <b val="1"/>
      <color rgb="000F172A"/>
      <sz val="11"/>
    </font>
    <font>
      <name val="Segoe UI"/>
      <b val="1"/>
      <sz val="11"/>
    </font>
    <font>
      <color rgb="00FFFFFF"/>
      <sz val="1"/>
    </font>
    <font>
      <name val="Segoe UI"/>
      <b val="1"/>
      <color rgb="00FFFFFF"/>
      <sz val="12"/>
    </font>
    <font>
      <name val="Segoe UI"/>
      <color rgb="0064748B"/>
      <sz val="9"/>
    </font>
    <font>
      <name val="Segoe UI"/>
      <b val="1"/>
      <color rgb="000000FF"/>
      <sz val="10"/>
    </font>
    <font>
      <name val="Segoe UI"/>
      <b val="1"/>
      <color rgb="0064748B"/>
      <sz val="7"/>
    </font>
    <font>
      <name val="Segoe UI"/>
      <color rgb="00334155"/>
      <sz val="10"/>
    </font>
    <font>
      <name val="Segoe UI"/>
      <b val="1"/>
      <color rgb="002563EB"/>
      <sz val="12"/>
    </font>
    <font>
      <name val="Segoe UI"/>
      <b val="1"/>
      <color rgb="0016A34A"/>
      <sz val="9"/>
    </font>
    <font>
      <name val="Segoe UI"/>
      <b val="1"/>
      <color rgb="0064748B"/>
      <sz val="8"/>
    </font>
    <font>
      <name val="Segoe UI"/>
      <color rgb="000F172A"/>
      <sz val="9"/>
    </font>
    <font>
      <name val="Segoe UI"/>
      <b val="1"/>
      <color rgb="000F172A"/>
      <sz val="9"/>
    </font>
    <font>
      <name val="Segoe UI"/>
      <b val="1"/>
      <color rgb="0086EFAC"/>
      <sz val="9"/>
    </font>
    <font>
      <name val="Segoe UI"/>
      <b val="1"/>
      <color rgb="0014213D"/>
      <sz val="10"/>
    </font>
    <font>
      <name val="Segoe UI"/>
      <color rgb="0064748B"/>
      <sz val="8"/>
    </font>
    <font>
      <name val="Segoe UI"/>
      <b val="1"/>
      <color rgb="0064748B"/>
      <sz val="9"/>
    </font>
    <font>
      <name val="Segoe UI"/>
      <b val="1"/>
      <color rgb="0094A3B8"/>
      <sz val="8"/>
    </font>
    <font>
      <name val="Segoe UI"/>
      <b val="1"/>
      <color rgb="002E6DB4"/>
      <sz val="10"/>
    </font>
    <font>
      <name val="Segoe UI"/>
      <b val="1"/>
      <color rgb="00FFFFFF"/>
      <sz val="9"/>
    </font>
    <font>
      <name val="Segoe UI"/>
      <b val="1"/>
      <color rgb="000F172A"/>
      <sz val="16"/>
    </font>
    <font>
      <name val="Segoe UI"/>
      <b val="1"/>
      <color rgb="00D9772B"/>
      <sz val="9"/>
    </font>
    <font>
      <name val="Segoe UI"/>
      <b val="1"/>
      <color rgb="000F172A"/>
      <sz val="18"/>
    </font>
    <font>
      <name val="Segoe UI"/>
      <color rgb="0015803D"/>
      <sz val="8"/>
    </font>
    <font>
      <name val="Segoe UI"/>
      <color rgb="00334155"/>
      <sz val="9"/>
    </font>
    <font>
      <name val="Segoe UI"/>
      <b val="1"/>
      <color rgb="0014213D"/>
      <sz val="9"/>
    </font>
    <font>
      <name val="Segoe UI"/>
      <color rgb="00D9772B"/>
      <sz val="8"/>
    </font>
    <font>
      <name val="Segoe UI"/>
      <b val="1"/>
      <color rgb="000F172A"/>
      <sz val="10"/>
    </font>
    <font>
      <name val="Segoe UI"/>
      <b val="1"/>
      <color rgb="002E6DB4"/>
      <sz val="9"/>
    </font>
  </fonts>
  <fills count="14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FFF7D6"/>
      </patternFill>
    </fill>
    <fill>
      <patternFill patternType="solid">
        <fgColor rgb="00E8EDF4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2563EB"/>
      </patternFill>
    </fill>
    <fill>
      <patternFill patternType="solid">
        <fgColor rgb="00C9A43A"/>
      </patternFill>
    </fill>
    <fill>
      <patternFill patternType="solid">
        <fgColor rgb="00EFF4FB"/>
      </patternFill>
    </fill>
    <fill>
      <patternFill patternType="solid">
        <fgColor rgb="002E6DB4"/>
      </patternFill>
    </fill>
    <fill>
      <patternFill patternType="solid">
        <fgColor rgb="00E8EEF7"/>
      </patternFill>
    </fill>
  </fills>
  <borders count="36">
    <border>
      <left/>
      <right/>
      <top/>
      <bottom/>
      <diagonal/>
    </border>
    <border>
      <bottom style="thin">
        <color rgb="00E2E8F0"/>
      </bottom>
    </border>
    <border>
      <left/>
      <right/>
      <top/>
      <bottom style="thin">
        <color rgb="00E2E8F0"/>
      </bottom>
      <diagonal/>
    </border>
    <border>
      <left style="thin">
        <color rgb="00D8DFE9"/>
      </left>
      <right style="thin">
        <color rgb="00D8DFE9"/>
      </right>
      <top style="thin">
        <color rgb="00D8DFE9"/>
      </top>
      <bottom style="thin">
        <color rgb="00D8DFE9"/>
      </bottom>
    </border>
    <border>
      <left/>
      <right/>
      <top style="thin">
        <color rgb="00D8DFE9"/>
      </top>
      <bottom/>
      <diagonal/>
    </border>
    <border>
      <left/>
      <right style="thin">
        <color rgb="00D8DFE9"/>
      </right>
      <top style="thin">
        <color rgb="00D8DFE9"/>
      </top>
      <bottom/>
      <diagonal/>
    </border>
    <border>
      <left/>
      <right/>
      <top style="thin">
        <color rgb="00D8DFE9"/>
      </top>
      <bottom style="thin">
        <color rgb="00D8DFE9"/>
      </bottom>
      <diagonal/>
    </border>
    <border>
      <left/>
      <right style="thin">
        <color rgb="00D8DFE9"/>
      </right>
      <top style="thin">
        <color rgb="00D8DFE9"/>
      </top>
      <bottom style="thin">
        <color rgb="00D8DFE9"/>
      </bottom>
      <diagonal/>
    </border>
    <border>
      <left style="thin">
        <color rgb="00E2E8F0"/>
      </left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  <border>
      <right style="thin">
        <color rgb="00E2E8F0"/>
      </right>
    </border>
    <border>
      <left style="thin">
        <color rgb="00E2E8F0"/>
      </left>
      <right style="thin">
        <color rgb="00E2E8F0"/>
      </right>
      <top style="thin">
        <color rgb="00EEF2F7"/>
      </top>
      <bottom style="thin">
        <color rgb="00EEF2F7"/>
      </bottom>
    </border>
    <border>
      <left style="thin">
        <color rgb="00E2E8F0"/>
      </left>
      <bottom style="thin">
        <color rgb="00E2E8F0"/>
      </bottom>
    </border>
    <border>
      <right style="thin">
        <color rgb="00E2E8F0"/>
      </right>
      <bottom style="thin">
        <color rgb="00E2E8F0"/>
      </bottom>
    </border>
    <border>
      <bottom style="thin">
        <color rgb="00EEF2F7"/>
      </bottom>
    </border>
    <border>
      <left style="thin">
        <color rgb="00E2E8F0"/>
      </left>
      <top style="thin">
        <color rgb="00E2E8F0"/>
      </top>
    </border>
    <border>
      <top style="thin">
        <color rgb="00E2E8F0"/>
      </top>
    </border>
    <border>
      <right style="thin">
        <color rgb="00E2E8F0"/>
      </right>
      <top style="thin">
        <color rgb="00E2E8F0"/>
      </top>
    </border>
    <border/>
    <border>
      <left/>
      <right style="thin">
        <color rgb="00E2E8F0"/>
      </right>
      <top/>
      <bottom/>
      <diagonal/>
    </border>
    <border>
      <left style="thin">
        <color rgb="00E2E8F0"/>
      </left>
      <right style="thin">
        <color rgb="00E2E8F0"/>
      </right>
    </border>
    <border>
      <left style="thin">
        <color rgb="00E2E8F0"/>
      </left>
      <bottom style="medium">
        <color rgb="00FFFFFF"/>
      </bottom>
    </border>
    <border>
      <bottom style="medium">
        <color rgb="00FFFFFF"/>
      </bottom>
    </border>
    <border>
      <right style="thin">
        <color rgb="00E2E8F0"/>
      </right>
      <bottom style="medium">
        <color rgb="00FFFFFF"/>
      </bottom>
    </border>
    <border>
      <left style="thin">
        <color rgb="00E2E8F0"/>
      </left>
      <right style="thin">
        <color rgb="00E2E8F0"/>
      </right>
      <top style="thin">
        <color rgb="00E2E8F0"/>
      </top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E2E8F0"/>
      </left>
      <bottom style="thin">
        <color rgb="00EEF2F6"/>
      </bottom>
    </border>
    <border>
      <left/>
      <right/>
      <bottom style="thin">
        <color rgb="00EEF2F6"/>
      </bottom>
    </border>
    <border>
      <bottom style="thin">
        <color rgb="00EEF2F6"/>
      </bottom>
    </border>
    <border>
      <right style="thin">
        <color rgb="00E2E8F0"/>
      </right>
      <bottom style="thin">
        <color rgb="00EEF2F6"/>
      </bottom>
    </border>
    <border>
      <left/>
      <right style="thin">
        <color rgb="00E2E8F0"/>
      </right>
      <bottom style="thin">
        <color rgb="00EEF2F6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6">
    <xf numFmtId="0" fontId="0" fillId="0" borderId="0" pivotButton="0" quotePrefix="0" xfId="0"/>
    <xf numFmtId="0" fontId="0" fillId="2" borderId="0" applyAlignment="1" pivotButton="0" quotePrefix="0" xfId="0">
      <alignment vertical="center"/>
    </xf>
    <xf numFmtId="0" fontId="0" fillId="2" borderId="0" pivotButton="0" quotePrefix="0" xfId="0"/>
    <xf numFmtId="0" fontId="25" fillId="2" borderId="0" applyAlignment="1" pivotButton="0" quotePrefix="0" xfId="0">
      <alignment vertical="center"/>
    </xf>
    <xf numFmtId="0" fontId="26" fillId="10" borderId="0" applyAlignment="1" pivotButton="0" quotePrefix="0" xfId="0">
      <alignment horizontal="center" vertical="center"/>
    </xf>
    <xf numFmtId="0" fontId="1" fillId="3" borderId="1" applyAlignment="1" pivotButton="0" quotePrefix="0" xfId="0">
      <alignment vertical="center"/>
    </xf>
    <xf numFmtId="0" fontId="0" fillId="0" borderId="2" pivotButton="0" quotePrefix="0" xfId="0"/>
    <xf numFmtId="0" fontId="0" fillId="3" borderId="1" pivotButton="0" quotePrefix="0" xfId="0"/>
    <xf numFmtId="0" fontId="0" fillId="8" borderId="0" pivotButton="0" quotePrefix="0" xfId="0"/>
    <xf numFmtId="179" fontId="27" fillId="8" borderId="0" applyAlignment="1" pivotButton="0" quotePrefix="0" xfId="0">
      <alignment horizontal="left" vertical="center"/>
    </xf>
    <xf numFmtId="0" fontId="12" fillId="3" borderId="15" applyAlignment="1" pivotButton="0" quotePrefix="0" xfId="0">
      <alignment vertical="center" indent="1"/>
    </xf>
    <xf numFmtId="0" fontId="0" fillId="3" borderId="16" pivotButton="0" quotePrefix="0" xfId="0"/>
    <xf numFmtId="0" fontId="0" fillId="3" borderId="17" pivotButton="0" quotePrefix="0" xfId="0"/>
    <xf numFmtId="0" fontId="33" fillId="8" borderId="0" applyAlignment="1" pivotButton="0" quotePrefix="0" xfId="0">
      <alignment vertical="center"/>
    </xf>
    <xf numFmtId="0" fontId="0" fillId="3" borderId="8" pivotButton="0" quotePrefix="0" xfId="0"/>
    <xf numFmtId="0" fontId="0" fillId="3" borderId="18" pivotButton="0" quotePrefix="0" xfId="0"/>
    <xf numFmtId="0" fontId="0" fillId="3" borderId="10" pivotButton="0" quotePrefix="0" xfId="0"/>
    <xf numFmtId="0" fontId="22" fillId="3" borderId="24" applyAlignment="1" pivotButton="0" quotePrefix="0" xfId="0">
      <alignment vertical="bottom" indent="1"/>
    </xf>
    <xf numFmtId="0" fontId="0" fillId="0" borderId="25" pivotButton="0" quotePrefix="0" xfId="0"/>
    <xf numFmtId="0" fontId="0" fillId="0" borderId="26" pivotButton="0" quotePrefix="0" xfId="0"/>
    <xf numFmtId="0" fontId="28" fillId="3" borderId="8" applyAlignment="1" pivotButton="0" quotePrefix="0" xfId="0">
      <alignment vertical="center" indent="1"/>
    </xf>
    <xf numFmtId="166" fontId="34" fillId="3" borderId="20" applyAlignment="1" pivotButton="0" quotePrefix="0" xfId="0">
      <alignment vertical="center" shrinkToFit="1" indent="1"/>
    </xf>
    <xf numFmtId="0" fontId="0" fillId="0" borderId="19" pivotButton="0" quotePrefix="0" xfId="0"/>
    <xf numFmtId="0" fontId="34" fillId="3" borderId="20" applyAlignment="1" pivotButton="0" quotePrefix="0" xfId="0">
      <alignment vertical="center" shrinkToFit="1" indent="1"/>
    </xf>
    <xf numFmtId="0" fontId="16" fillId="3" borderId="8" applyAlignment="1" pivotButton="0" quotePrefix="0" xfId="0">
      <alignment horizontal="center" vertical="center"/>
    </xf>
    <xf numFmtId="0" fontId="16" fillId="3" borderId="18" applyAlignment="1" pivotButton="0" quotePrefix="0" xfId="0">
      <alignment horizontal="center" vertical="center"/>
    </xf>
    <xf numFmtId="0" fontId="16" fillId="3" borderId="10" applyAlignment="1" pivotButton="0" quotePrefix="0" xfId="0">
      <alignment horizontal="center" vertical="center"/>
    </xf>
    <xf numFmtId="0" fontId="27" fillId="3" borderId="27" applyAlignment="1" pivotButton="0" quotePrefix="0" xfId="0">
      <alignment vertical="center" indent="1"/>
    </xf>
    <xf numFmtId="0" fontId="0" fillId="0" borderId="28" pivotButton="0" quotePrefix="0" xfId="0"/>
    <xf numFmtId="182" fontId="27" fillId="3" borderId="27" applyAlignment="1" pivotButton="0" quotePrefix="0" xfId="0">
      <alignment vertical="center" indent="1"/>
    </xf>
    <xf numFmtId="183" fontId="35" fillId="3" borderId="27" applyAlignment="1" pivotButton="0" quotePrefix="0" xfId="0">
      <alignment vertical="center" indent="1"/>
    </xf>
    <xf numFmtId="184" fontId="35" fillId="3" borderId="27" applyAlignment="1" pivotButton="0" quotePrefix="0" xfId="0">
      <alignment vertical="center" indent="1"/>
    </xf>
    <xf numFmtId="185" fontId="35" fillId="3" borderId="27" applyAlignment="1" pivotButton="0" quotePrefix="0" xfId="0">
      <alignment vertical="center" indent="1"/>
    </xf>
    <xf numFmtId="0" fontId="29" fillId="3" borderId="8" applyAlignment="1" pivotButton="0" quotePrefix="0" xfId="0">
      <alignment vertical="center" indent="1"/>
    </xf>
    <xf numFmtId="0" fontId="30" fillId="11" borderId="10" applyAlignment="1" pivotButton="0" quotePrefix="0" xfId="0">
      <alignment horizontal="left" vertical="center" indent="1"/>
    </xf>
    <xf numFmtId="0" fontId="0" fillId="11" borderId="0" pivotButton="0" quotePrefix="0" xfId="0"/>
    <xf numFmtId="0" fontId="0" fillId="11" borderId="19" pivotButton="0" quotePrefix="0" xfId="0"/>
    <xf numFmtId="0" fontId="12" fillId="8" borderId="0" pivotButton="0" quotePrefix="0" xfId="0"/>
    <xf numFmtId="0" fontId="12" fillId="3" borderId="8" applyAlignment="1" pivotButton="0" quotePrefix="0" xfId="0">
      <alignment vertical="center" indent="1"/>
    </xf>
    <xf numFmtId="0" fontId="31" fillId="12" borderId="21" applyAlignment="1" pivotButton="0" quotePrefix="0" xfId="0">
      <alignment vertical="center" indent="1"/>
    </xf>
    <xf numFmtId="0" fontId="0" fillId="12" borderId="22" pivotButton="0" quotePrefix="0" xfId="0"/>
    <xf numFmtId="0" fontId="0" fillId="12" borderId="23" pivotButton="0" quotePrefix="0" xfId="0"/>
    <xf numFmtId="180" fontId="32" fillId="3" borderId="20" applyAlignment="1" pivotButton="0" quotePrefix="0" xfId="0">
      <alignment vertical="center" indent="1"/>
    </xf>
    <xf numFmtId="181" fontId="0" fillId="3" borderId="20" pivotButton="0" quotePrefix="0" xfId="0"/>
    <xf numFmtId="0" fontId="27" fillId="3" borderId="20" applyAlignment="1" pivotButton="0" quotePrefix="0" xfId="0">
      <alignment vertical="center" indent="1"/>
    </xf>
    <xf numFmtId="0" fontId="27" fillId="8" borderId="0" pivotButton="0" quotePrefix="0" xfId="0"/>
    <xf numFmtId="165" fontId="34" fillId="3" borderId="20" applyAlignment="1" pivotButton="0" quotePrefix="0" xfId="0">
      <alignment vertical="center" shrinkToFit="1" indent="1"/>
    </xf>
    <xf numFmtId="169" fontId="34" fillId="3" borderId="20" applyAlignment="1" pivotButton="0" quotePrefix="0" xfId="0">
      <alignment vertical="center" shrinkToFit="1" indent="1"/>
    </xf>
    <xf numFmtId="0" fontId="0" fillId="3" borderId="12" pivotButton="0" quotePrefix="0" xfId="0"/>
    <xf numFmtId="0" fontId="0" fillId="3" borderId="13" pivotButton="0" quotePrefix="0" xfId="0"/>
    <xf numFmtId="186" fontId="35" fillId="3" borderId="27" applyAlignment="1" pivotButton="0" quotePrefix="0" xfId="0">
      <alignment vertical="center" indent="1"/>
    </xf>
    <xf numFmtId="187" fontId="27" fillId="3" borderId="27" applyAlignment="1" pivotButton="0" quotePrefix="0" xfId="0">
      <alignment vertical="center" indent="1"/>
    </xf>
    <xf numFmtId="188" fontId="27" fillId="3" borderId="27" applyAlignment="1" pivotButton="0" quotePrefix="0" xfId="0">
      <alignment vertical="center" indent="1"/>
    </xf>
    <xf numFmtId="189" fontId="27" fillId="3" borderId="27" applyAlignment="1" pivotButton="0" quotePrefix="0" xfId="0">
      <alignment vertical="center" indent="1"/>
    </xf>
    <xf numFmtId="190" fontId="38" fillId="3" borderId="27" applyAlignment="1" pivotButton="0" quotePrefix="0" xfId="0">
      <alignment vertical="center" indent="1"/>
    </xf>
    <xf numFmtId="191" fontId="38" fillId="3" borderId="27" applyAlignment="1" pivotButton="0" quotePrefix="0" xfId="0">
      <alignment vertical="center" indent="1"/>
    </xf>
    <xf numFmtId="0" fontId="39" fillId="3" borderId="24" applyAlignment="1" pivotButton="0" quotePrefix="0" xfId="0">
      <alignment vertical="center" indent="1"/>
    </xf>
    <xf numFmtId="0" fontId="18" fillId="7" borderId="8" applyAlignment="1" pivotButton="0" quotePrefix="0" xfId="0">
      <alignment horizontal="center"/>
    </xf>
    <xf numFmtId="0" fontId="18" fillId="7" borderId="18" applyAlignment="1" pivotButton="0" quotePrefix="0" xfId="0">
      <alignment horizontal="left" indent="1"/>
    </xf>
    <xf numFmtId="0" fontId="0" fillId="7" borderId="0" pivotButton="0" quotePrefix="0" xfId="0"/>
    <xf numFmtId="0" fontId="18" fillId="7" borderId="18" applyAlignment="1" pivotButton="0" quotePrefix="0" xfId="0">
      <alignment horizontal="right" indent="1"/>
    </xf>
    <xf numFmtId="0" fontId="18" fillId="7" borderId="10" applyAlignment="1" pivotButton="0" quotePrefix="0" xfId="0">
      <alignment horizontal="right" indent="1"/>
    </xf>
    <xf numFmtId="0" fontId="0" fillId="7" borderId="19" pivotButton="0" quotePrefix="0" xfId="0"/>
    <xf numFmtId="1" fontId="36" fillId="3" borderId="29" applyAlignment="1" pivotButton="0" quotePrefix="0" xfId="0">
      <alignment horizontal="center"/>
    </xf>
    <xf numFmtId="0" fontId="40" fillId="3" borderId="31" applyAlignment="1" pivotButton="0" quotePrefix="0" xfId="0">
      <alignment horizontal="left" indent="1"/>
    </xf>
    <xf numFmtId="0" fontId="0" fillId="0" borderId="30" pivotButton="0" quotePrefix="0" xfId="0"/>
    <xf numFmtId="166" fontId="36" fillId="3" borderId="31" applyAlignment="1" pivotButton="0" quotePrefix="0" xfId="0">
      <alignment horizontal="right" indent="1"/>
    </xf>
    <xf numFmtId="178" fontId="36" fillId="3" borderId="32" applyAlignment="1" pivotButton="0" quotePrefix="0" xfId="0">
      <alignment horizontal="right" indent="1"/>
    </xf>
    <xf numFmtId="0" fontId="0" fillId="0" borderId="33" pivotButton="0" quotePrefix="0" xfId="0"/>
    <xf numFmtId="192" fontId="36" fillId="3" borderId="31" applyAlignment="1" pivotButton="0" quotePrefix="0" xfId="0">
      <alignment horizontal="right" indent="1"/>
    </xf>
    <xf numFmtId="166" fontId="36" fillId="3" borderId="32" applyAlignment="1" pivotButton="0" quotePrefix="0" xfId="0">
      <alignment horizontal="right" indent="1"/>
    </xf>
    <xf numFmtId="1" fontId="36" fillId="3" borderId="12" applyAlignment="1" pivotButton="0" quotePrefix="0" xfId="0">
      <alignment horizontal="center"/>
    </xf>
    <xf numFmtId="0" fontId="40" fillId="3" borderId="1" applyAlignment="1" pivotButton="0" quotePrefix="0" xfId="0">
      <alignment horizontal="left" indent="1"/>
    </xf>
    <xf numFmtId="0" fontId="0" fillId="0" borderId="34" pivotButton="0" quotePrefix="0" xfId="0"/>
    <xf numFmtId="166" fontId="36" fillId="3" borderId="1" applyAlignment="1" pivotButton="0" quotePrefix="0" xfId="0">
      <alignment horizontal="right" indent="1"/>
    </xf>
    <xf numFmtId="178" fontId="36" fillId="3" borderId="13" applyAlignment="1" pivotButton="0" quotePrefix="0" xfId="0">
      <alignment horizontal="right" indent="1"/>
    </xf>
    <xf numFmtId="0" fontId="0" fillId="0" borderId="35" pivotButton="0" quotePrefix="0" xfId="0"/>
    <xf numFmtId="192" fontId="36" fillId="3" borderId="1" applyAlignment="1" pivotButton="0" quotePrefix="0" xfId="0">
      <alignment horizontal="right" indent="1"/>
    </xf>
    <xf numFmtId="166" fontId="36" fillId="3" borderId="13" applyAlignment="1" pivotButton="0" quotePrefix="0" xfId="0">
      <alignment horizontal="right" indent="1"/>
    </xf>
    <xf numFmtId="0" fontId="22" fillId="7" borderId="15" applyAlignment="1" pivotButton="0" quotePrefix="0" xfId="0">
      <alignment horizontal="left" vertical="center" indent="1"/>
    </xf>
    <xf numFmtId="0" fontId="0" fillId="7" borderId="16" pivotButton="0" quotePrefix="0" xfId="0"/>
    <xf numFmtId="0" fontId="22" fillId="7" borderId="16" applyAlignment="1" pivotButton="0" quotePrefix="0" xfId="0">
      <alignment horizontal="right" vertical="center" indent="1"/>
    </xf>
    <xf numFmtId="0" fontId="0" fillId="7" borderId="17" pivotButton="0" quotePrefix="0" xfId="0"/>
    <xf numFmtId="0" fontId="24" fillId="3" borderId="29" applyAlignment="1" pivotButton="0" quotePrefix="0" xfId="0">
      <alignment horizontal="left" indent="1"/>
    </xf>
    <xf numFmtId="178" fontId="36" fillId="3" borderId="31" applyAlignment="1" pivotButton="0" quotePrefix="0" xfId="0">
      <alignment horizontal="right" indent="1"/>
    </xf>
    <xf numFmtId="165" fontId="36" fillId="3" borderId="31" applyAlignment="1" pivotButton="0" quotePrefix="0" xfId="0">
      <alignment horizontal="right" indent="1"/>
    </xf>
    <xf numFmtId="0" fontId="37" fillId="13" borderId="12" applyAlignment="1" pivotButton="0" quotePrefix="0" xfId="0">
      <alignment horizontal="left" indent="1"/>
    </xf>
    <xf numFmtId="0" fontId="0" fillId="13" borderId="2" pivotButton="0" quotePrefix="0" xfId="0"/>
    <xf numFmtId="166" fontId="37" fillId="13" borderId="1" applyAlignment="1" pivotButton="0" quotePrefix="0" xfId="0">
      <alignment horizontal="right" indent="1"/>
    </xf>
    <xf numFmtId="165" fontId="37" fillId="13" borderId="1" applyAlignment="1" pivotButton="0" quotePrefix="0" xfId="0">
      <alignment horizontal="right" indent="1"/>
    </xf>
    <xf numFmtId="0" fontId="37" fillId="13" borderId="1" applyAlignment="1" pivotButton="0" quotePrefix="0" xfId="0">
      <alignment horizontal="right" indent="1"/>
    </xf>
    <xf numFmtId="166" fontId="37" fillId="13" borderId="13" applyAlignment="1" pivotButton="0" quotePrefix="0" xfId="0">
      <alignment horizontal="right" indent="1"/>
    </xf>
    <xf numFmtId="0" fontId="0" fillId="13" borderId="28" pivotButton="0" quotePrefix="0" xfId="0"/>
    <xf numFmtId="0" fontId="2" fillId="0" borderId="0" applyAlignment="1" pivotButton="0" quotePrefix="0" xfId="0">
      <alignment vertical="center" indent="1"/>
    </xf>
    <xf numFmtId="0" fontId="3" fillId="4" borderId="3" applyAlignment="1" pivotButton="0" quotePrefix="0" xfId="0">
      <alignment horizontal="center" vertical="center" wrapText="1"/>
    </xf>
    <xf numFmtId="0" fontId="8" fillId="0" borderId="3" pivotButton="0" quotePrefix="0" xfId="0"/>
    <xf numFmtId="167" fontId="9" fillId="0" borderId="3" pivotButton="0" quotePrefix="0" xfId="0"/>
    <xf numFmtId="164" fontId="9" fillId="0" borderId="3" pivotButton="0" quotePrefix="0" xfId="0"/>
    <xf numFmtId="164" fontId="8" fillId="0" borderId="3" pivotButton="0" quotePrefix="0" xfId="0"/>
    <xf numFmtId="165" fontId="9" fillId="0" borderId="3" pivotButton="0" quotePrefix="0" xfId="0"/>
    <xf numFmtId="165" fontId="8" fillId="0" borderId="3" pivotButton="0" quotePrefix="0" xfId="0"/>
    <xf numFmtId="168" fontId="9" fillId="0" borderId="3" pivotButton="0" quotePrefix="0" xfId="0"/>
    <xf numFmtId="166" fontId="9" fillId="0" borderId="3" pivotButton="0" quotePrefix="0" xfId="0"/>
    <xf numFmtId="169" fontId="9" fillId="0" borderId="3" pivotButton="0" quotePrefix="0" xfId="0"/>
    <xf numFmtId="0" fontId="9" fillId="0" borderId="3" pivotButton="0" quotePrefix="0" xfId="0"/>
    <xf numFmtId="0" fontId="8" fillId="7" borderId="3" pivotButton="0" quotePrefix="0" xfId="0"/>
    <xf numFmtId="167" fontId="9" fillId="7" borderId="3" pivotButton="0" quotePrefix="0" xfId="0"/>
    <xf numFmtId="164" fontId="9" fillId="7" borderId="3" pivotButton="0" quotePrefix="0" xfId="0"/>
    <xf numFmtId="164" fontId="8" fillId="7" borderId="3" pivotButton="0" quotePrefix="0" xfId="0"/>
    <xf numFmtId="165" fontId="9" fillId="7" borderId="3" pivotButton="0" quotePrefix="0" xfId="0"/>
    <xf numFmtId="165" fontId="8" fillId="7" borderId="3" pivotButton="0" quotePrefix="0" xfId="0"/>
    <xf numFmtId="168" fontId="9" fillId="7" borderId="3" pivotButton="0" quotePrefix="0" xfId="0"/>
    <xf numFmtId="166" fontId="9" fillId="7" borderId="3" pivotButton="0" quotePrefix="0" xfId="0"/>
    <xf numFmtId="169" fontId="9" fillId="7" borderId="3" pivotButton="0" quotePrefix="0" xfId="0"/>
    <xf numFmtId="0" fontId="9" fillId="7" borderId="3" pivotButton="0" quotePrefix="0" xfId="0"/>
    <xf numFmtId="0" fontId="6" fillId="6" borderId="3" pivotButton="0" quotePrefix="0" xfId="0"/>
    <xf numFmtId="164" fontId="6" fillId="6" borderId="3" pivotButton="0" quotePrefix="0" xfId="0"/>
    <xf numFmtId="165" fontId="6" fillId="6" borderId="3" pivotButton="0" quotePrefix="0" xfId="0"/>
    <xf numFmtId="167" fontId="6" fillId="6" borderId="3" pivotButton="0" quotePrefix="0" xfId="0"/>
    <xf numFmtId="169" fontId="6" fillId="6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12" fillId="0" borderId="0" pivotButton="0" quotePrefix="0" xfId="0"/>
    <xf numFmtId="168" fontId="8" fillId="0" borderId="3" pivotButton="0" quotePrefix="0" xfId="0"/>
    <xf numFmtId="10" fontId="9" fillId="0" borderId="3" pivotButton="0" quotePrefix="0" xfId="0"/>
    <xf numFmtId="167" fontId="8" fillId="0" borderId="3" pivotButton="0" quotePrefix="0" xfId="0"/>
    <xf numFmtId="168" fontId="8" fillId="7" borderId="3" pivotButton="0" quotePrefix="0" xfId="0"/>
    <xf numFmtId="10" fontId="9" fillId="7" borderId="3" pivotButton="0" quotePrefix="0" xfId="0"/>
    <xf numFmtId="167" fontId="8" fillId="7" borderId="3" pivotButton="0" quotePrefix="0" xfId="0"/>
    <xf numFmtId="166" fontId="6" fillId="6" borderId="3" pivotButton="0" quotePrefix="0" xfId="0"/>
    <xf numFmtId="171" fontId="9" fillId="0" borderId="3" pivotButton="0" quotePrefix="0" xfId="0"/>
    <xf numFmtId="172" fontId="9" fillId="0" borderId="3" pivotButton="0" quotePrefix="0" xfId="0"/>
    <xf numFmtId="173" fontId="9" fillId="0" borderId="3" pivotButton="0" quotePrefix="0" xfId="0"/>
    <xf numFmtId="171" fontId="9" fillId="7" borderId="3" pivotButton="0" quotePrefix="0" xfId="0"/>
    <xf numFmtId="172" fontId="9" fillId="7" borderId="3" pivotButton="0" quotePrefix="0" xfId="0"/>
    <xf numFmtId="173" fontId="9" fillId="7" borderId="3" pivotButton="0" quotePrefix="0" xfId="0"/>
    <xf numFmtId="172" fontId="6" fillId="6" borderId="3" pivotButton="0" quotePrefix="0" xfId="0"/>
    <xf numFmtId="0" fontId="6" fillId="0" borderId="3" pivotButton="0" quotePrefix="0" xfId="0"/>
    <xf numFmtId="0" fontId="5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13" fillId="0" borderId="0" pivotButton="0" quotePrefix="0" xfId="0"/>
    <xf numFmtId="0" fontId="6" fillId="7" borderId="3" pivotButton="0" quotePrefix="0" xfId="0"/>
    <xf numFmtId="174" fontId="9" fillId="0" borderId="3" pivotButton="0" quotePrefix="0" xfId="0"/>
    <xf numFmtId="174" fontId="9" fillId="7" borderId="3" pivotButton="0" quotePrefix="0" xfId="0"/>
    <xf numFmtId="165" fontId="9" fillId="6" borderId="3" pivotButton="0" quotePrefix="0" xfId="0"/>
    <xf numFmtId="172" fontId="9" fillId="6" borderId="3" pivotButton="0" quotePrefix="0" xfId="0"/>
    <xf numFmtId="166" fontId="8" fillId="0" borderId="3" pivotButton="0" quotePrefix="0" xfId="0"/>
    <xf numFmtId="0" fontId="3" fillId="4" borderId="0" pivotButton="0" quotePrefix="0" xfId="0"/>
    <xf numFmtId="1" fontId="9" fillId="0" borderId="0" pivotButton="0" quotePrefix="0" xfId="0"/>
    <xf numFmtId="175" fontId="9" fillId="0" borderId="0" pivotButton="0" quotePrefix="0" xfId="0"/>
    <xf numFmtId="166" fontId="9" fillId="0" borderId="0" pivotButton="0" quotePrefix="0" xfId="0"/>
    <xf numFmtId="165" fontId="4" fillId="5" borderId="3" pivotButton="0" quotePrefix="0" xfId="0"/>
    <xf numFmtId="1" fontId="4" fillId="5" borderId="3" pivotButton="0" quotePrefix="0" xfId="0"/>
    <xf numFmtId="1" fontId="6" fillId="7" borderId="3" pivotButton="0" quotePrefix="0" xfId="0"/>
    <xf numFmtId="1" fontId="6" fillId="0" borderId="3" pivotButton="0" quotePrefix="0" xfId="0"/>
    <xf numFmtId="1" fontId="6" fillId="6" borderId="3" pivotButton="0" quotePrefix="0" xfId="0"/>
    <xf numFmtId="0" fontId="14" fillId="0" borderId="0" pivotButton="0" quotePrefix="0" xfId="0"/>
    <xf numFmtId="0" fontId="2" fillId="8" borderId="0" pivotButton="0" quotePrefix="0" xfId="0"/>
    <xf numFmtId="0" fontId="15" fillId="9" borderId="0" applyAlignment="1" pivotButton="0" quotePrefix="0" xfId="0">
      <alignment vertical="center" indent="1"/>
    </xf>
    <xf numFmtId="0" fontId="0" fillId="9" borderId="0" pivotButton="0" quotePrefix="0" xfId="0"/>
    <xf numFmtId="0" fontId="15" fillId="4" borderId="0" applyAlignment="1" pivotButton="0" quotePrefix="0" xfId="0">
      <alignment vertical="center" indent="1"/>
    </xf>
    <xf numFmtId="0" fontId="0" fillId="4" borderId="0" pivotButton="0" quotePrefix="0" xfId="0"/>
    <xf numFmtId="0" fontId="16" fillId="3" borderId="8" applyAlignment="1" pivotButton="0" quotePrefix="0" xfId="0">
      <alignment vertical="center" shrinkToFit="1" indent="1"/>
    </xf>
    <xf numFmtId="171" fontId="17" fillId="5" borderId="9" applyAlignment="1" pivotButton="0" quotePrefix="0" xfId="0">
      <alignment horizontal="right" vertical="center" shrinkToFit="1" indent="1"/>
    </xf>
    <xf numFmtId="0" fontId="22" fillId="7" borderId="1" applyAlignment="1" pivotButton="0" quotePrefix="0" xfId="0">
      <alignment horizontal="center" vertical="center"/>
    </xf>
    <xf numFmtId="0" fontId="17" fillId="5" borderId="9" applyAlignment="1" pivotButton="0" quotePrefix="0" xfId="0">
      <alignment horizontal="left" vertical="center" shrinkToFit="1" indent="1"/>
    </xf>
    <xf numFmtId="171" fontId="23" fillId="3" borderId="14" applyAlignment="1" pivotButton="0" quotePrefix="0" xfId="0">
      <alignment horizontal="right"/>
    </xf>
    <xf numFmtId="0" fontId="24" fillId="3" borderId="14" applyAlignment="1" pivotButton="0" quotePrefix="0" xfId="0">
      <alignment horizontal="center"/>
    </xf>
    <xf numFmtId="0" fontId="23" fillId="3" borderId="14" applyAlignment="1" pivotButton="0" quotePrefix="0" xfId="0">
      <alignment horizontal="center"/>
    </xf>
    <xf numFmtId="167" fontId="23" fillId="3" borderId="14" applyAlignment="1" pivotButton="0" quotePrefix="0" xfId="0">
      <alignment horizontal="right"/>
    </xf>
    <xf numFmtId="164" fontId="23" fillId="3" borderId="14" applyAlignment="1" pivotButton="0" quotePrefix="0" xfId="0">
      <alignment horizontal="right"/>
    </xf>
    <xf numFmtId="167" fontId="17" fillId="5" borderId="9" applyAlignment="1" pivotButton="0" quotePrefix="0" xfId="0">
      <alignment horizontal="right" vertical="center" shrinkToFit="1" indent="1"/>
    </xf>
    <xf numFmtId="168" fontId="17" fillId="5" borderId="9" applyAlignment="1" pivotButton="0" quotePrefix="0" xfId="0">
      <alignment horizontal="right" vertical="center" shrinkToFit="1" indent="1"/>
    </xf>
    <xf numFmtId="164" fontId="17" fillId="5" borderId="9" applyAlignment="1" pivotButton="0" quotePrefix="0" xfId="0">
      <alignment horizontal="right" vertical="center" shrinkToFit="1" indent="1"/>
    </xf>
    <xf numFmtId="0" fontId="18" fillId="3" borderId="8" applyAlignment="1" pivotButton="0" quotePrefix="0" xfId="0">
      <alignment vertical="bottom" indent="1"/>
    </xf>
    <xf numFmtId="167" fontId="19" fillId="8" borderId="11" applyAlignment="1" pivotButton="0" quotePrefix="0" xfId="0">
      <alignment horizontal="right" vertical="center" shrinkToFit="1" indent="1"/>
    </xf>
    <xf numFmtId="0" fontId="19" fillId="8" borderId="11" applyAlignment="1" pivotButton="0" quotePrefix="0" xfId="0">
      <alignment horizontal="left" vertical="center" shrinkToFit="1" indent="1"/>
    </xf>
    <xf numFmtId="164" fontId="20" fillId="8" borderId="11" applyAlignment="1" pivotButton="0" quotePrefix="0" xfId="0">
      <alignment horizontal="right" vertical="center" shrinkToFit="1" indent="1"/>
    </xf>
    <xf numFmtId="164" fontId="19" fillId="8" borderId="11" applyAlignment="1" pivotButton="0" quotePrefix="0" xfId="0">
      <alignment horizontal="right" vertical="center" shrinkToFit="1" indent="1"/>
    </xf>
    <xf numFmtId="0" fontId="21" fillId="3" borderId="12" applyAlignment="1" pivotButton="0" quotePrefix="0" xfId="0">
      <alignment vertical="center" wrapText="1" indent="1"/>
    </xf>
    <xf numFmtId="0" fontId="3" fillId="4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 indent="1"/>
    </xf>
    <xf numFmtId="0" fontId="3" fillId="9" borderId="0" applyAlignment="1" pivotButton="0" quotePrefix="0" xfId="0">
      <alignment horizontal="center" vertical="center"/>
    </xf>
    <xf numFmtId="0" fontId="4" fillId="5" borderId="3" pivotButton="0" quotePrefix="0" xfId="0"/>
    <xf numFmtId="164" fontId="4" fillId="5" borderId="3" pivotButton="0" quotePrefix="0" xfId="0"/>
    <xf numFmtId="166" fontId="4" fillId="5" borderId="3" pivotButton="0" quotePrefix="0" xfId="0"/>
    <xf numFmtId="0" fontId="10" fillId="0" borderId="3" applyAlignment="1" pivotButton="0" quotePrefix="0" xfId="0">
      <alignment vertical="center" indent="1"/>
    </xf>
    <xf numFmtId="0" fontId="6" fillId="0" borderId="3" applyAlignment="1" pivotButton="0" quotePrefix="0" xfId="0">
      <alignment vertical="center" indent="1"/>
    </xf>
    <xf numFmtId="0" fontId="9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vertical="center" indent="1"/>
    </xf>
    <xf numFmtId="176" fontId="0" fillId="0" borderId="0" pivotButton="0" quotePrefix="0" xfId="0"/>
    <xf numFmtId="177" fontId="0" fillId="0" borderId="0" pivotButton="0" quotePrefix="0" xfId="0"/>
    <xf numFmtId="178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dxfs count="13">
    <dxf>
      <font>
        <name val="Segoe UI"/>
        <b val="1"/>
        <color rgb="00FCA5A5"/>
      </font>
    </dxf>
    <dxf>
      <font>
        <name val="Segoe UI"/>
        <b val="1"/>
        <color rgb="00FCD34D"/>
      </font>
    </dxf>
    <dxf>
      <font>
        <name val="Segoe UI"/>
        <color rgb="00DC2626"/>
      </font>
    </dxf>
    <dxf>
      <font>
        <name val="Segoe UI"/>
        <color rgb="0015803D"/>
      </font>
    </dxf>
    <dxf>
      <font>
        <name val="Segoe UI"/>
        <b val="1"/>
        <color rgb="00DC2626"/>
        <sz val="18"/>
      </font>
    </dxf>
    <dxf>
      <font>
        <name val="Segoe UI"/>
        <b val="1"/>
        <color rgb="0015803D"/>
        <sz val="18"/>
      </font>
    </dxf>
    <dxf>
      <font>
        <name val="Segoe UI"/>
        <b val="1"/>
        <color rgb="00DC2626"/>
        <sz val="9"/>
      </font>
    </dxf>
    <dxf>
      <font>
        <name val="Segoe UI"/>
        <b val="1"/>
        <color rgb="0015803D"/>
        <sz val="9"/>
      </font>
    </dxf>
    <dxf>
      <font>
        <name val="Segoe UI"/>
        <color rgb="0016A34A"/>
      </font>
    </dxf>
    <dxf>
      <font>
        <name val="Segoe UI"/>
        <color rgb="00CBD5E1"/>
      </font>
    </dxf>
    <dxf>
      <font>
        <name val="Segoe UI"/>
        <b val="1"/>
        <color rgb="0016A34A"/>
      </font>
    </dxf>
    <dxf>
      <font>
        <name val="Segoe UI"/>
        <b val="1"/>
        <color rgb="00D97706"/>
      </font>
    </dxf>
    <dxf>
      <font>
        <name val="Segoe UI"/>
        <b val="1"/>
        <color rgb="00DC262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Proventos por mês (R$)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'Base Painel'!B1</f>
            </strRef>
          </tx>
          <spPr>
            <a:solidFill xmlns:a="http://schemas.openxmlformats.org/drawingml/2006/main">
              <a:srgbClr val="2E6DB4"/>
            </a:solidFill>
            <a:ln xmlns:a="http://schemas.openxmlformats.org/drawingml/2006/main">
              <a:solidFill>
                <a:srgbClr val="2E6DB4"/>
              </a:solidFill>
              <a:prstDash val="solid"/>
            </a:ln>
          </spPr>
          <invertIfNegative val="0"/>
          <cat>
            <numRef>
              <f>'Base Painel'!$A$2:$A$13</f>
            </numRef>
          </cat>
          <val>
            <numRef>
              <f>'Base Painel'!$B$2:$B$13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Posição por tipo (R$)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Painel'!B16</f>
            </strRef>
          </tx>
          <spPr>
            <a:solidFill xmlns:a="http://schemas.openxmlformats.org/drawingml/2006/main">
              <a:srgbClr val="D9772B"/>
            </a:solidFill>
            <a:ln xmlns:a="http://schemas.openxmlformats.org/drawingml/2006/main">
              <a:solidFill>
                <a:srgbClr val="D9772B"/>
              </a:solidFill>
              <a:prstDash val="solid"/>
            </a:ln>
          </spPr>
          <invertIfNegative val="0"/>
          <cat>
            <numRef>
              <f>'Base Painel'!$A$17:$A$18</f>
            </numRef>
          </cat>
          <val>
            <numRef>
              <f>'Base Painel'!$B$17:$B$18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Posição por ativo (R$)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Painel'!H4</f>
            </strRef>
          </tx>
          <spPr>
            <a:solidFill xmlns:a="http://schemas.openxmlformats.org/drawingml/2006/main">
              <a:srgbClr val="2E6DB4"/>
            </a:solidFill>
            <a:ln xmlns:a="http://schemas.openxmlformats.org/drawingml/2006/main">
              <a:solidFill>
                <a:srgbClr val="2E6DB4"/>
              </a:solidFill>
              <a:prstDash val="solid"/>
            </a:ln>
          </spPr>
          <invertIfNegative val="0"/>
          <cat>
            <numRef>
              <f>'Base Painel'!$G$5:$G$35</f>
            </numRef>
          </cat>
          <val>
            <numRef>
              <f>'Base Painel'!$H$5:$H$35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Patrimônio por classe</a:t>
            </a:r>
          </a:p>
        </rich>
      </tx>
      <overlay val="0"/>
    </title>
    <plotArea>
      <doughnutChart>
        <varyColors val="1"/>
        <ser>
          <idx val="0"/>
          <order val="0"/>
          <tx>
            <strRef>
              <f>'Painel'!N79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6DB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9772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0F948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14213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cat>
            <numRef>
              <f>'Painel'!$I$80:$I$84</f>
            </numRef>
          </cat>
          <val>
            <numRef>
              <f>'Painel'!$N$80:$N$84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1">
                  <a:solidFill>
                    <a:srgbClr val="FFFFFF"/>
                  </a:solidFill>
                </a:defRPr>
              </a:pPr>
              <a:r>
                <a:t/>
              </a:r>
              <a:endParaRPr sz="800" b="1">
                <a:solidFill>
                  <a:srgbClr val="FFFFFF"/>
                </a:solidFill>
              </a:endParaRPr>
            </a:p>
          </txPr>
          <showLegendKey val="0"/>
          <showVal val="0"/>
          <showCatName val="0"/>
          <showSerName val="0"/>
          <showPercent val="1"/>
          <showLeaderLines val="0"/>
        </dLbls>
        <firstSliceAng val="0"/>
        <holeSize val="60"/>
      </doughnutChart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r"/>
      <txPr>
        <a:bodyPr xmlns:a="http://schemas.openxmlformats.org/drawingml/2006/main"/>
        <a:p xmlns:a="http://schemas.openxmlformats.org/drawingml/2006/main">
          <a:pPr>
            <a:defRPr sz="800" b="0">
              <a:solidFill>
                <a:srgbClr val="64748B"/>
              </a:solidFill>
            </a:defRPr>
          </a:pPr>
          <a:r>
            <a:t/>
          </a:r>
          <a:endParaRPr sz="800" b="0">
            <a:solidFill>
              <a:srgbClr val="64748B"/>
            </a:solidFill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Progresso da meta por ativo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Painel'!V4</f>
            </strRef>
          </tx>
          <spPr>
            <a:solidFill xmlns:a="http://schemas.openxmlformats.org/drawingml/2006/main">
              <a:srgbClr val="D9772B"/>
            </a:solidFill>
            <a:ln xmlns:a="http://schemas.openxmlformats.org/drawingml/2006/main">
              <a:solidFill>
                <a:srgbClr val="D9772B"/>
              </a:solidFill>
              <a:prstDash val="solid"/>
            </a:ln>
          </spPr>
          <invertIfNegative val="0"/>
          <cat>
            <numRef>
              <f>'Base Painel'!$U$5:$U$35</f>
            </numRef>
          </cat>
          <val>
            <numRef>
              <f>'Base Painel'!$V$5:$V$35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0%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F172A"/>
                </a:solidFill>
              </a:defRPr>
            </a:pPr>
            <a:r>
              <a:rPr sz="1100" b="1">
                <a:solidFill>
                  <a:srgbClr val="0F172A"/>
                </a:solidFill>
              </a:rPr>
              <a:t>Proventos por ativo (R$)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'Base Painel'!Z4</f>
            </strRef>
          </tx>
          <spPr>
            <a:solidFill xmlns:a="http://schemas.openxmlformats.org/drawingml/2006/main">
              <a:srgbClr val="2E6DB4"/>
            </a:solidFill>
            <a:ln xmlns:a="http://schemas.openxmlformats.org/drawingml/2006/main">
              <a:solidFill>
                <a:srgbClr val="2E6DB4"/>
              </a:solidFill>
              <a:prstDash val="solid"/>
            </a:ln>
          </spPr>
          <invertIfNegative val="0"/>
          <cat>
            <numRef>
              <f>'Base Painel'!$Y$5:$Y$35</f>
            </numRef>
          </cat>
          <val>
            <numRef>
              <f>'Base Painel'!$Z$5:$Z$35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800" b="0">
                  <a:solidFill>
                    <a:srgbClr val="334155"/>
                  </a:solidFill>
                </a:defRPr>
              </a:pPr>
              <a:r>
                <a:t/>
              </a:r>
              <a:endParaRPr sz="800" b="0">
                <a:solidFill>
                  <a:srgbClr val="334155"/>
                </a:solidFill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ickLblPos val="low"/>
        <spPr>
          <a:ln xmlns:a="http://schemas.openxmlformats.org/drawingml/2006/main">
            <a:solidFill>
              <a:srgbClr val="E2E8F0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0"/>
        <lblOffset val="100"/>
        <tickLblSkip val="1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EF2F6"/>
              </a:solidFill>
              <a:prstDash val="solid"/>
            </a:ln>
          </spPr>
        </majorGridlines>
        <numFmt formatCode="&quot;R$ &quot;#,##0,&quot;k&quot;;-&quot;R$ &quot;#,##0,&quot;k&quot;;&quot;R$ 0&quot;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64748B"/>
                </a:solidFill>
              </a:defRPr>
            </a:pPr>
            <a:r>
              <a:t/>
            </a:r>
            <a:endParaRPr sz="800" b="0">
              <a:solidFill>
                <a:srgbClr val="64748B"/>
              </a:solidFill>
            </a:endParaRPr>
          </a:p>
        </txPr>
        <crossAx val="10"/>
        <crosses val="max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solidFill>
        <a:srgbClr val="E2E8F0"/>
      </a:solidFill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Monte Carlo: faixa de patrimônio (P5, mediana, P95) x CDI</a:t>
            </a:r>
          </a:p>
        </rich>
      </tx>
    </title>
    <plotArea>
      <lineChart>
        <grouping val="standard"/>
        <ser>
          <idx val="0"/>
          <order val="0"/>
          <tx>
            <strRef>
              <f>'Modelos'!B68</f>
            </strRef>
          </tx>
          <spPr>
            <a:ln xmlns:a="http://schemas.openxmlformats.org/drawingml/2006/main" w="28000">
              <a:solidFill>
                <a:srgbClr val="CBD5E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'Modelos'!$B$69:$B$78</f>
            </numRef>
          </val>
        </ser>
        <ser>
          <idx val="1"/>
          <order val="1"/>
          <tx>
            <strRef>
              <f>'Modelos'!D68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'Modelos'!$D$69:$D$78</f>
            </numRef>
          </val>
        </ser>
        <ser>
          <idx val="2"/>
          <order val="2"/>
          <tx>
            <strRef>
              <f>'Modelos'!F68</f>
            </strRef>
          </tx>
          <spPr>
            <a:ln xmlns:a="http://schemas.openxmlformats.org/drawingml/2006/main" w="28000">
              <a:solidFill>
                <a:srgbClr val="CBD5E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'Modelos'!$F$69:$F$78</f>
            </numRef>
          </val>
        </ser>
        <ser>
          <idx val="3"/>
          <order val="3"/>
          <tx>
            <strRef>
              <f>'Modelos'!G68</f>
            </strRef>
          </tx>
          <spPr>
            <a:ln xmlns:a="http://schemas.openxmlformats.org/drawingml/2006/main" w="28000">
              <a:solidFill>
                <a:srgbClr val="D9770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'Modelos'!$A$69:$A$78</f>
            </numRef>
          </cat>
          <val>
            <numRef>
              <f>'Modelos'!$G$69:$G$78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R$ &quot;#,##0,&quot;k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Patrimônio projetado (ações + FIIs)</a:t>
            </a:r>
          </a:p>
        </rich>
      </tx>
    </title>
    <plotArea>
      <lineChart>
        <grouping val="standard"/>
        <ser>
          <idx val="0"/>
          <order val="0"/>
          <tx>
            <strRef>
              <f>'Projeção'!B16</f>
            </strRef>
          </tx>
          <spPr>
            <a:ln xmlns:a="http://schemas.openxmlformats.org/drawingml/2006/main" w="28000">
              <a:solidFill>
                <a:srgbClr val="CBD5E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'Projeção'!$B$17:$B$26</f>
            </numRef>
          </val>
          <smooth val="0"/>
        </ser>
        <ser>
          <idx val="1"/>
          <order val="1"/>
          <tx>
            <strRef>
              <f>'Projeção'!C16</f>
            </strRef>
          </tx>
          <spPr>
            <a:ln xmlns:a="http://schemas.openxmlformats.org/drawingml/2006/main" w="28000">
              <a:solidFill>
                <a:srgbClr val="2563E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'Projeção'!$C$17:$C$26</f>
            </numRef>
          </val>
          <smooth val="0"/>
        </ser>
        <ser>
          <idx val="2"/>
          <order val="2"/>
          <tx>
            <strRef>
              <f>'Projeção'!D16</f>
            </strRef>
          </tx>
          <spPr>
            <a:ln xmlns:a="http://schemas.openxmlformats.org/drawingml/2006/main" w="28000">
              <a:solidFill>
                <a:srgbClr val="1E3A8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'Projeção'!$D$17:$D$26</f>
            </numRef>
          </val>
          <smooth val="0"/>
        </ser>
        <ser>
          <idx val="3"/>
          <order val="3"/>
          <tx>
            <strRef>
              <f>'Projeção'!E16</f>
            </strRef>
          </tx>
          <spPr>
            <a:ln xmlns:a="http://schemas.openxmlformats.org/drawingml/2006/main" w="28000">
              <a:solidFill>
                <a:srgbClr val="D9770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'Projeção'!$A$17:$A$26</f>
            </numRef>
          </cat>
          <val>
            <numRef>
              <f>'Projeção'!$E$17:$E$26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R$ &quot;#,##0,&quot;k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Planilha</author>
  </authors>
  <commentList>
    <comment ref="E4" authorId="0" shapeId="0">
      <text>
        <t>Soma dos proventos pagos por cota nos últimos 12 meses (Yahoo Finance). JCP vem bruto (antes dos 15% de IR). Base da meta de renda.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10</row>
      <rowOff>0</rowOff>
    </from>
    <ext cx="3348000" cy="37708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10</row>
      <rowOff>0</rowOff>
    </from>
    <ext cx="3348000" cy="37708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28</col>
      <colOff>0</colOff>
      <row>10</row>
      <rowOff>0</rowOff>
    </from>
    <ext cx="3348000" cy="37708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27</row>
      <rowOff>0</rowOff>
    </from>
    <ext cx="3348000" cy="27675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18</col>
      <colOff>0</colOff>
      <row>27</row>
      <rowOff>0</rowOff>
    </from>
    <ext cx="3348000" cy="27675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28</col>
      <colOff>0</colOff>
      <row>27</row>
      <rowOff>0</rowOff>
    </from>
    <ext cx="3348000" cy="27675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81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129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Carteira" displayName="tCarteira" ref="A4:AC35" headerRowCount="1">
  <autoFilter ref="A4:AC35"/>
  <tableColumns count="29">
    <tableColumn id="1" name="Ticker"/>
    <tableColumn id="2" name="Tipo"/>
    <tableColumn id="3" name="Qtd atual"/>
    <tableColumn id="4" name="Preço médio (R$)"/>
    <tableColumn id="5" name="Valor investido (R$)"/>
    <tableColumn id="6" name="Cotação (R$)"/>
    <tableColumn id="7" name="Posição atual (R$)"/>
    <tableColumn id="8" name="Lucro / prejuízo (R$)"/>
    <tableColumn id="9" name="Valorização"/>
    <tableColumn id="10" name="Proventos recebidos (R$)"/>
    <tableColumn id="11" name="Proventos 12m (R$)"/>
    <tableColumn id="12" name="Retorno total (R$)"/>
    <tableColumn id="13" name="Retorno total %"/>
    <tableColumn id="14" name="Yield on cost"/>
    <tableColumn id="15" name="DY atual"/>
    <tableColumn id="16" name="Peso atual"/>
    <tableColumn id="17" name="Peso ideal"/>
    <tableColumn id="18" name="Desvio do peso"/>
    <tableColumn id="19" name="Aporte p/ peso ideal (R$)"/>
    <tableColumn id="20" name="Provento 12m por cota (R$)"/>
    <tableColumn id="21" name="Provento mensal por cota (R$)"/>
    <tableColumn id="22" name="Renda mensal (R$)"/>
    <tableColumn id="23" name="% da meta"/>
    <tableColumn id="24" name="Cotas p/ meta"/>
    <tableColumn id="25" name="Cotas faltantes"/>
    <tableColumn id="26" name="Aporte p/ meta (R$)"/>
    <tableColumn id="27" name="Meses p/ meta"/>
    <tableColumn id="28" name="Segmento"/>
    <tableColumn id="29" name="No filtro"/>
  </tableColumns>
  <tableStyleInfo name="TableStyleLight1" showRowStripes="0"/>
</table>
</file>

<file path=xl/tables/table2.xml><?xml version="1.0" encoding="utf-8"?>
<table xmlns="http://schemas.openxmlformats.org/spreadsheetml/2006/main" id="2" name="tMeta" displayName="tMeta" ref="A4:P35" headerRowCount="1">
  <autoFilter ref="A4:P35"/>
  <tableColumns count="16">
    <tableColumn id="1" name="Ticker"/>
    <tableColumn id="2" name="Tipo"/>
    <tableColumn id="3" name="Segmento"/>
    <tableColumn id="4" name="Cotação (R$)"/>
    <tableColumn id="5" name="Provento 12m por cota (R$)"/>
    <tableColumn id="6" name="Provento mensal por cota (R$)"/>
    <tableColumn id="7" name="Rendimento mensal"/>
    <tableColumn id="8" name="Meta mensal (R$)"/>
    <tableColumn id="9" name="Cotas necessárias"/>
    <tableColumn id="10" name="Custo total da meta (R$)"/>
    <tableColumn id="11" name="Cotas que você tem"/>
    <tableColumn id="12" name="Renda mensal atual (R$)"/>
    <tableColumn id="13" name="% da meta"/>
    <tableColumn id="14" name="Cotas faltantes"/>
    <tableColumn id="15" name="Custo faltante (R$)"/>
    <tableColumn id="16" name="Meses (aporte só neste ativo)"/>
  </tableColumns>
  <tableStyleInfo name="TableStyleLight1" showRowStripes="0"/>
</table>
</file>

<file path=xl/tables/table3.xml><?xml version="1.0" encoding="utf-8"?>
<table xmlns="http://schemas.openxmlformats.org/spreadsheetml/2006/main" id="3" name="tAtivos" displayName="tAtivos" ref="A4:H35" headerRowCount="1">
  <autoFilter ref="A4:H35"/>
  <tableColumns count="8">
    <tableColumn id="1" name="Ticker"/>
    <tableColumn id="2" name="Tipo"/>
    <tableColumn id="3" name="Segmento"/>
    <tableColumn id="4" name="Cotação (R$)"/>
    <tableColumn id="5" name="Provento 12m por cota (R$)"/>
    <tableColumn id="6" name="Peso ideal"/>
    <tableColumn id="7" name="Atualizado em"/>
    <tableColumn id="8" name="Cotação base (R$)"/>
  </tableColumns>
  <tableStyleInfo name="TableStyleLight1" showRowStripes="0"/>
</table>
</file>

<file path=xl/tables/table4.xml><?xml version="1.0" encoding="utf-8"?>
<table xmlns="http://schemas.openxmlformats.org/spreadsheetml/2006/main" id="4" name="tLancamentos" displayName="tLancamentos" ref="A4:G5" headerRowCount="1">
  <autoFilter ref="A4:G5"/>
  <tableColumns count="7">
    <tableColumn id="1" name="Data"/>
    <tableColumn id="2" name="Ticker"/>
    <tableColumn id="3" name="Operação"/>
    <tableColumn id="4" name="Quantidade"/>
    <tableColumn id="5" name="Preço (R$)"/>
    <tableColumn id="6" name="Custos (R$)"/>
    <tableColumn id="7" name="Total (R$)"/>
  </tableColumns>
  <tableStyleInfo name="TableStyleLight1" showRowStripes="0"/>
</table>
</file>

<file path=xl/tables/table5.xml><?xml version="1.0" encoding="utf-8"?>
<table xmlns="http://schemas.openxmlformats.org/spreadsheetml/2006/main" id="5" name="tProventos" displayName="tProventos" ref="A4:F5" headerRowCount="1">
  <autoFilter ref="A4:F5"/>
  <tableColumns count="6">
    <tableColumn id="1" name="Data pagamento"/>
    <tableColumn id="2" name="Ticker"/>
    <tableColumn id="3" name="Tipo"/>
    <tableColumn id="4" name="Valor por cota (R$)"/>
    <tableColumn id="5" name="Qtd de cotas"/>
    <tableColumn id="6" name="Total (R$)"/>
  </tableColumns>
  <tableStyleInfo name="TableStyleLight1" showRowStripes="0"/>
</table>
</file>

<file path=xl/tables/table6.xml><?xml version="1.0" encoding="utf-8"?>
<table xmlns="http://schemas.openxmlformats.org/spreadsheetml/2006/main" id="6" name="tVerificar" displayName="tVerificar" ref="A4:C12" headerRowCount="1">
  <autoFilter ref="A4:C12"/>
  <tableColumns count="3">
    <tableColumn id="1" name="Gravidade"/>
    <tableColumn id="2" name="Ativo"/>
    <tableColumn id="3" name="O que foi encontrado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Verificar!A1" TargetMode="External" Id="rId1"/><Relationship Type="http://schemas.openxmlformats.org/officeDocument/2006/relationships/hyperlink" Target="#Cadastro!A1" TargetMode="External" Id="rId2"/><Relationship Type="http://schemas.openxmlformats.org/officeDocument/2006/relationships/hyperlink" Target="#Cadastro!A1" TargetMode="External" Id="rId3"/><Relationship Type="http://schemas.openxmlformats.org/officeDocument/2006/relationships/hyperlink" Target="#Cadastro!A1" TargetMode="External" Id="rId4"/><Relationship Type="http://schemas.openxmlformats.org/officeDocument/2006/relationships/hyperlink" Target="#Carteira!A1" TargetMode="External" Id="rId5"/><Relationship Type="http://schemas.openxmlformats.org/officeDocument/2006/relationships/hyperlink" Target="#Meta!A1" TargetMode="External" Id="rId6"/><Relationship Type="http://schemas.openxmlformats.org/officeDocument/2006/relationships/hyperlink" Target="#Quant!A1" TargetMode="External" Id="rId7"/><Relationship Type="http://schemas.openxmlformats.org/officeDocument/2006/relationships/hyperlink" Target="#Modelos!A1" TargetMode="External" Id="rId8"/><Relationship Type="http://schemas.openxmlformats.org/officeDocument/2006/relationships/hyperlink" Target="#Proje&#231;&#227;o!A1" TargetMode="External" Id="rId9"/><Relationship Type="http://schemas.openxmlformats.org/officeDocument/2006/relationships/hyperlink" Target="#Premissas!A1" TargetMode="External" Id="rId10"/><Relationship Type="http://schemas.openxmlformats.org/officeDocument/2006/relationships/hyperlink" Target="#Verificar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100"/>
  <sheetViews>
    <sheetView showGridLines="0" showRowColHeader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.5" customWidth="1" min="1" max="1"/>
    <col width="6.2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2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2" customWidth="1" min="38" max="38"/>
  </cols>
  <sheetData>
    <row r="1" ht="40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Painel de investimentos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>
        <f>IF(COUNTIF(Verificar!A:A,"ERRO")&gt;0,"⚠  Há erros nos dados — ver Verificar",IF(COUNTIF(Verificar!A:A,"AVISO")&gt;0,"●  "&amp;COUNTIF(Verificar!A:A,"AVISO")&amp;" pontos a conferir","✓  Dados consistentes"))</f>
        <v/>
      </c>
      <c r="AA1" s="2" t="n"/>
      <c r="AB1" s="4" t="inlineStr">
        <is>
          <t>✚  Novo lançamento</t>
        </is>
      </c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7" t="n"/>
      <c r="AN2" s="7" t="n"/>
    </row>
    <row r="3" ht="20" customHeight="1">
      <c r="A3" s="8" t="n"/>
      <c r="B3" s="9">
        <f>TODAY()</f>
        <v/>
      </c>
      <c r="AL3" s="8" t="n"/>
    </row>
    <row r="4" ht="8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</row>
    <row r="5" ht="24" customHeight="1">
      <c r="A5" s="8" t="n"/>
      <c r="B5" s="10" t="inlineStr">
        <is>
          <t>Filtros</t>
        </is>
      </c>
      <c r="C5" s="11" t="n"/>
      <c r="D5" s="11" t="n"/>
      <c r="E5" s="11" t="n"/>
      <c r="F5" s="11" t="n"/>
      <c r="G5" s="12" t="n"/>
      <c r="H5" s="8" t="n"/>
      <c r="I5" s="13">
        <f>IF(COUNTIF(Carteira!C5:C35,"&gt;0")=0,"✚  Nenhuma ação ou FII na carteira ainda — registre sua primeira compra em ✚ Lançar (clique aqui)","")</f>
        <v/>
      </c>
      <c r="AL5" s="8" t="n"/>
    </row>
    <row r="6" ht="20" customHeight="1">
      <c r="A6" s="8" t="n"/>
      <c r="B6" s="14" t="n"/>
      <c r="C6" s="15" t="n"/>
      <c r="D6" s="15" t="n"/>
      <c r="E6" s="15" t="n"/>
      <c r="F6" s="15" t="n"/>
      <c r="G6" s="16" t="n"/>
      <c r="H6" s="8" t="n"/>
      <c r="I6" s="17" t="inlineStr">
        <is>
          <t>PATRIMÔNIO TOTAL</t>
        </is>
      </c>
      <c r="J6" s="18" t="n"/>
      <c r="K6" s="18" t="n"/>
      <c r="L6" s="19" t="n"/>
      <c r="M6" s="8" t="n"/>
      <c r="N6" s="17" t="inlineStr">
        <is>
          <t>RENDA VARIÁVEL</t>
        </is>
      </c>
      <c r="O6" s="18" t="n"/>
      <c r="P6" s="18" t="n"/>
      <c r="Q6" s="19" t="n"/>
      <c r="R6" s="8" t="n"/>
      <c r="S6" s="17" t="inlineStr">
        <is>
          <t>LUCRO / PREJUÍZO</t>
        </is>
      </c>
      <c r="T6" s="18" t="n"/>
      <c r="U6" s="18" t="n"/>
      <c r="V6" s="19" t="n"/>
      <c r="W6" s="8" t="n"/>
      <c r="X6" s="17" t="inlineStr">
        <is>
          <t>PROVENTOS RECEBIDOS</t>
        </is>
      </c>
      <c r="Y6" s="18" t="n"/>
      <c r="Z6" s="18" t="n"/>
      <c r="AA6" s="19" t="n"/>
      <c r="AB6" s="8" t="n"/>
      <c r="AC6" s="17" t="inlineStr">
        <is>
          <t>MAIOR POSIÇÃO</t>
        </is>
      </c>
      <c r="AD6" s="18" t="n"/>
      <c r="AE6" s="18" t="n"/>
      <c r="AF6" s="19" t="n"/>
      <c r="AG6" s="8" t="n"/>
      <c r="AH6" s="17" t="inlineStr">
        <is>
          <t>MELHOR ATIVO</t>
        </is>
      </c>
      <c r="AI6" s="18" t="n"/>
      <c r="AJ6" s="18" t="n"/>
      <c r="AK6" s="19" t="n"/>
      <c r="AL6" s="8" t="n"/>
    </row>
    <row r="7" ht="32" customHeight="1">
      <c r="A7" s="8" t="n"/>
      <c r="B7" s="20" t="inlineStr">
        <is>
          <t>Tipo de ativo</t>
        </is>
      </c>
      <c r="C7" s="15" t="n"/>
      <c r="D7" s="15" t="n"/>
      <c r="E7" s="15" t="n"/>
      <c r="F7" s="15" t="n"/>
      <c r="G7" s="16" t="n"/>
      <c r="H7" s="8" t="n"/>
      <c r="I7" s="21">
        <f>(Carteira!G36+SUM(OUTRAS_CLASSES))</f>
        <v/>
      </c>
      <c r="L7" s="22" t="n"/>
      <c r="M7" s="8" t="n"/>
      <c r="N7" s="21">
        <f>SUMIFS(Carteira!$G$5:$G$35,Carteira!$AC$5:$AC$35,1)</f>
        <v/>
      </c>
      <c r="Q7" s="22" t="n"/>
      <c r="R7" s="8" t="n"/>
      <c r="S7" s="21">
        <f>SUMIFS(Carteira!$H$5:$H$35,Carteira!$AC$5:$AC$35,1)</f>
        <v/>
      </c>
      <c r="V7" s="22" t="n"/>
      <c r="W7" s="8" t="n"/>
      <c r="X7" s="21">
        <f>SUMIFS(Carteira!$J$5:$J$35,Carteira!$AC$5:$AC$35,1)</f>
        <v/>
      </c>
      <c r="AA7" s="22" t="n"/>
      <c r="AB7" s="8" t="n"/>
      <c r="AC7" s="21">
        <f>IF(SUMIFS(Carteira!$C$5:$C$35,Carteira!$AC$5:$AC$35,1)=0,0,'Base Painel'!H5)</f>
        <v/>
      </c>
      <c r="AF7" s="22" t="n"/>
      <c r="AG7" s="8" t="n"/>
      <c r="AH7" s="23">
        <f>IF(SUMIFS(Carteira!$C$5:$C$35,Carteira!$AC$5:$AC$35,1)=0,"—",'Base Painel'!K5)</f>
        <v/>
      </c>
      <c r="AK7" s="22" t="n"/>
      <c r="AL7" s="8" t="n"/>
    </row>
    <row r="8" ht="18" customHeight="1">
      <c r="A8" s="8" t="n"/>
      <c r="B8" s="24" t="inlineStr">
        <is>
          <t>Todos</t>
        </is>
      </c>
      <c r="D8" s="25" t="inlineStr">
        <is>
          <t>Ações</t>
        </is>
      </c>
      <c r="F8" s="26" t="inlineStr">
        <is>
          <t>FIIs</t>
        </is>
      </c>
      <c r="G8" s="22" t="n"/>
      <c r="H8" s="8" t="n"/>
      <c r="I8" s="27">
        <f>TEXT(IF((Carteira!G36+SUM(OUTRAS_CLASSES))&gt;0,Carteira!G36/(Carteira!G36+SUM(OUTRAS_CLASSES)),0),"0%")&amp;" em renda variável"</f>
        <v/>
      </c>
      <c r="J8" s="6" t="n"/>
      <c r="K8" s="6" t="n"/>
      <c r="L8" s="28" t="n"/>
      <c r="M8" s="8" t="n"/>
      <c r="N8" s="29">
        <f>SUMIFS(Carteira!$C$5:$C$35,Carteira!$AC$5:$AC$35,1)</f>
        <v/>
      </c>
      <c r="O8" s="6" t="n"/>
      <c r="P8" s="6" t="n"/>
      <c r="Q8" s="28" t="n"/>
      <c r="R8" s="8" t="n"/>
      <c r="S8" s="30">
        <f>IF(SUMIFS(Carteira!$E$5:$E$35,Carteira!$AC$5:$AC$35,1)&gt;0,SUMIFS(Carteira!$H$5:$H$35,Carteira!$AC$5:$AC$35,1)/SUMIFS(Carteira!$E$5:$E$35,Carteira!$AC$5:$AC$35,1),0)</f>
        <v/>
      </c>
      <c r="T8" s="6" t="n"/>
      <c r="U8" s="6" t="n"/>
      <c r="V8" s="28" t="n"/>
      <c r="W8" s="8" t="n"/>
      <c r="X8" s="31">
        <f>SUMIFS(Carteira!$V$5:$V$35,Carteira!$AC$5:$AC$35,1)</f>
        <v/>
      </c>
      <c r="Y8" s="6" t="n"/>
      <c r="Z8" s="6" t="n"/>
      <c r="AA8" s="28" t="n"/>
      <c r="AB8" s="8" t="n"/>
      <c r="AC8" s="27">
        <f>IF(SUMIFS(Carteira!$C$5:$C$35,Carteira!$AC$5:$AC$35,1)=0,"—",'Base Painel'!G5)</f>
        <v/>
      </c>
      <c r="AD8" s="6" t="n"/>
      <c r="AE8" s="6" t="n"/>
      <c r="AF8" s="28" t="n"/>
      <c r="AG8" s="8" t="n"/>
      <c r="AH8" s="32">
        <f>IF(SUMIFS(Carteira!$C$5:$C$35,Carteira!$AC$5:$AC$35,1)=0,"",'Base Painel'!L5)</f>
        <v/>
      </c>
      <c r="AI8" s="6" t="n"/>
      <c r="AJ8" s="6" t="n"/>
      <c r="AK8" s="28" t="n"/>
      <c r="AL8" s="8" t="n"/>
    </row>
    <row r="9">
      <c r="A9" s="8" t="n"/>
      <c r="B9" s="14" t="n"/>
      <c r="C9" s="15" t="n"/>
      <c r="D9" s="15" t="n"/>
      <c r="E9" s="15" t="n"/>
      <c r="F9" s="15" t="n"/>
      <c r="G9" s="16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</row>
    <row r="10" ht="22" customHeight="1">
      <c r="A10" s="8" t="n"/>
      <c r="B10" s="33" t="inlineStr">
        <is>
          <t>Selecionado</t>
        </is>
      </c>
      <c r="C10" s="15" t="n"/>
      <c r="D10" s="34" t="inlineStr">
        <is>
          <t>Todos</t>
        </is>
      </c>
      <c r="E10" s="35" t="n"/>
      <c r="F10" s="35" t="n"/>
      <c r="G10" s="36" t="n"/>
      <c r="H10" s="8" t="n"/>
      <c r="I10" s="37" t="inlineStr">
        <is>
          <t>Carteira e proventos</t>
        </is>
      </c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</row>
    <row r="11">
      <c r="A11" s="8" t="n"/>
      <c r="B11" s="14" t="n"/>
      <c r="C11" s="15" t="n"/>
      <c r="D11" s="15" t="n"/>
      <c r="E11" s="15" t="n"/>
      <c r="F11" s="15" t="n"/>
      <c r="G11" s="16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</row>
    <row r="12" ht="24" customHeight="1">
      <c r="A12" s="8" t="n"/>
      <c r="B12" s="38" t="inlineStr">
        <is>
          <t>Atalhos</t>
        </is>
      </c>
      <c r="C12" s="15" t="n"/>
      <c r="D12" s="15" t="n"/>
      <c r="E12" s="15" t="n"/>
      <c r="F12" s="15" t="n"/>
      <c r="G12" s="16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</row>
    <row r="13" ht="21" customHeight="1">
      <c r="A13" s="8" t="n"/>
      <c r="B13" s="39" t="inlineStr">
        <is>
          <t>✚  Lançar compra ou provento</t>
        </is>
      </c>
      <c r="C13" s="40" t="n"/>
      <c r="D13" s="40" t="n"/>
      <c r="E13" s="40" t="n"/>
      <c r="F13" s="40" t="n"/>
      <c r="G13" s="41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</row>
    <row r="14" ht="21" customHeight="1">
      <c r="A14" s="8" t="n"/>
      <c r="B14" s="39" t="inlineStr">
        <is>
          <t>◧  Carteira completa</t>
        </is>
      </c>
      <c r="C14" s="40" t="n"/>
      <c r="D14" s="40" t="n"/>
      <c r="E14" s="40" t="n"/>
      <c r="F14" s="40" t="n"/>
      <c r="G14" s="41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</row>
    <row r="15" ht="21" customHeight="1">
      <c r="A15" s="8" t="n"/>
      <c r="B15" s="39" t="inlineStr">
        <is>
          <t>◎  Meta de renda por ativo</t>
        </is>
      </c>
      <c r="C15" s="40" t="n"/>
      <c r="D15" s="40" t="n"/>
      <c r="E15" s="40" t="n"/>
      <c r="F15" s="40" t="n"/>
      <c r="G15" s="41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</row>
    <row r="16" ht="21" customHeight="1">
      <c r="A16" s="8" t="n"/>
      <c r="B16" s="39" t="inlineStr">
        <is>
          <t>∑  Análise quantitativa</t>
        </is>
      </c>
      <c r="C16" s="40" t="n"/>
      <c r="D16" s="40" t="n"/>
      <c r="E16" s="40" t="n"/>
      <c r="F16" s="40" t="n"/>
      <c r="G16" s="41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</row>
    <row r="17" ht="21" customHeight="1">
      <c r="A17" s="8" t="n"/>
      <c r="B17" s="39" t="inlineStr">
        <is>
          <t>λ  Modelos matemáticos</t>
        </is>
      </c>
      <c r="C17" s="40" t="n"/>
      <c r="D17" s="40" t="n"/>
      <c r="E17" s="40" t="n"/>
      <c r="F17" s="40" t="n"/>
      <c r="G17" s="41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</row>
    <row r="18" ht="21" customHeight="1">
      <c r="A18" s="8" t="n"/>
      <c r="B18" s="39" t="inlineStr">
        <is>
          <t>↗  Projeção futura</t>
        </is>
      </c>
      <c r="C18" s="40" t="n"/>
      <c r="D18" s="40" t="n"/>
      <c r="E18" s="40" t="n"/>
      <c r="F18" s="40" t="n"/>
      <c r="G18" s="41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</row>
    <row r="19" ht="21" customHeight="1">
      <c r="A19" s="8" t="n"/>
      <c r="B19" s="39" t="inlineStr">
        <is>
          <t>⚙  Premissas e metas</t>
        </is>
      </c>
      <c r="C19" s="40" t="n"/>
      <c r="D19" s="40" t="n"/>
      <c r="E19" s="40" t="n"/>
      <c r="F19" s="40" t="n"/>
      <c r="G19" s="41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</row>
    <row r="20" ht="21" customHeight="1">
      <c r="A20" s="8" t="n"/>
      <c r="B20" s="39" t="inlineStr">
        <is>
          <t>⚠  Verificar dados</t>
        </is>
      </c>
      <c r="C20" s="40" t="n"/>
      <c r="D20" s="40" t="n"/>
      <c r="E20" s="40" t="n"/>
      <c r="F20" s="40" t="n"/>
      <c r="G20" s="41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</row>
    <row r="21">
      <c r="A21" s="8" t="n"/>
      <c r="B21" s="14" t="n"/>
      <c r="C21" s="15" t="n"/>
      <c r="D21" s="15" t="n"/>
      <c r="E21" s="15" t="n"/>
      <c r="F21" s="15" t="n"/>
      <c r="G21" s="16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</row>
    <row r="22" ht="24" customHeight="1">
      <c r="A22" s="8" t="n"/>
      <c r="B22" s="38" t="inlineStr">
        <is>
          <t>Meta de renda</t>
        </is>
      </c>
      <c r="C22" s="15" t="n"/>
      <c r="D22" s="15" t="n"/>
      <c r="E22" s="15" t="n"/>
      <c r="F22" s="15" t="n"/>
      <c r="G22" s="16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</row>
    <row r="23" ht="28" customHeight="1">
      <c r="A23" s="8" t="n"/>
      <c r="B23" s="42">
        <f>Carteira!W36</f>
        <v/>
      </c>
      <c r="G23" s="22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</row>
    <row r="24">
      <c r="A24" s="8" t="n"/>
      <c r="B24" s="43">
        <f>Carteira!W36</f>
        <v/>
      </c>
      <c r="G24" s="22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</row>
    <row r="25">
      <c r="A25" s="8" t="n"/>
      <c r="B25" s="44">
        <f>"Renda de R$ "&amp;FIXED(Carteira!V36,0)&amp;" por mês"</f>
        <v/>
      </c>
      <c r="G25" s="22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</row>
    <row r="26">
      <c r="A26" s="8" t="n"/>
      <c r="B26" s="14" t="n"/>
      <c r="C26" s="15" t="n"/>
      <c r="D26" s="15" t="n"/>
      <c r="E26" s="15" t="n"/>
      <c r="F26" s="15" t="n"/>
      <c r="G26" s="16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</row>
    <row r="27" ht="22" customHeight="1">
      <c r="A27" s="8" t="n"/>
      <c r="B27" s="14" t="n"/>
      <c r="C27" s="15" t="n"/>
      <c r="D27" s="15" t="n"/>
      <c r="E27" s="15" t="n"/>
      <c r="F27" s="15" t="n"/>
      <c r="G27" s="16" t="n"/>
      <c r="H27" s="8" t="n"/>
      <c r="I27" s="37" t="inlineStr">
        <is>
          <t>Alocação e meta de renda</t>
        </is>
      </c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</row>
    <row r="28">
      <c r="A28" s="8" t="n"/>
      <c r="B28" s="14" t="n"/>
      <c r="C28" s="15" t="n"/>
      <c r="D28" s="15" t="n"/>
      <c r="E28" s="15" t="n"/>
      <c r="F28" s="15" t="n"/>
      <c r="G28" s="16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</row>
    <row r="29">
      <c r="A29" s="8" t="n"/>
      <c r="B29" s="14" t="n"/>
      <c r="C29" s="15" t="n"/>
      <c r="D29" s="15" t="n"/>
      <c r="E29" s="15" t="n"/>
      <c r="F29" s="15" t="n"/>
      <c r="G29" s="16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</row>
    <row r="30">
      <c r="A30" s="8" t="n"/>
      <c r="B30" s="14" t="n"/>
      <c r="C30" s="15" t="n"/>
      <c r="D30" s="15" t="n"/>
      <c r="E30" s="15" t="n"/>
      <c r="F30" s="15" t="n"/>
      <c r="G30" s="16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</row>
    <row r="31">
      <c r="A31" s="8" t="n"/>
      <c r="B31" s="14" t="n"/>
      <c r="C31" s="15" t="n"/>
      <c r="D31" s="15" t="n"/>
      <c r="E31" s="15" t="n"/>
      <c r="F31" s="15" t="n"/>
      <c r="G31" s="16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</row>
    <row r="32">
      <c r="A32" s="8" t="n"/>
      <c r="B32" s="14" t="n"/>
      <c r="C32" s="15" t="n"/>
      <c r="D32" s="15" t="n"/>
      <c r="E32" s="15" t="n"/>
      <c r="F32" s="15" t="n"/>
      <c r="G32" s="16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</row>
    <row r="33">
      <c r="A33" s="8" t="n"/>
      <c r="B33" s="14" t="n"/>
      <c r="C33" s="15" t="n"/>
      <c r="D33" s="15" t="n"/>
      <c r="E33" s="15" t="n"/>
      <c r="F33" s="15" t="n"/>
      <c r="G33" s="16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</row>
    <row r="34">
      <c r="A34" s="8" t="n"/>
      <c r="B34" s="14" t="n"/>
      <c r="C34" s="15" t="n"/>
      <c r="D34" s="15" t="n"/>
      <c r="E34" s="15" t="n"/>
      <c r="F34" s="15" t="n"/>
      <c r="G34" s="16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</row>
    <row r="35">
      <c r="A35" s="8" t="n"/>
      <c r="B35" s="14" t="n"/>
      <c r="C35" s="15" t="n"/>
      <c r="D35" s="15" t="n"/>
      <c r="E35" s="15" t="n"/>
      <c r="F35" s="15" t="n"/>
      <c r="G35" s="16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</row>
    <row r="36">
      <c r="A36" s="8" t="n"/>
      <c r="B36" s="14" t="n"/>
      <c r="C36" s="15" t="n"/>
      <c r="D36" s="15" t="n"/>
      <c r="E36" s="15" t="n"/>
      <c r="F36" s="15" t="n"/>
      <c r="G36" s="16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</row>
    <row r="37">
      <c r="A37" s="8" t="n"/>
      <c r="B37" s="14" t="n"/>
      <c r="C37" s="15" t="n"/>
      <c r="D37" s="15" t="n"/>
      <c r="E37" s="15" t="n"/>
      <c r="F37" s="15" t="n"/>
      <c r="G37" s="16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</row>
    <row r="38">
      <c r="A38" s="8" t="n"/>
      <c r="B38" s="14" t="n"/>
      <c r="C38" s="15" t="n"/>
      <c r="D38" s="15" t="n"/>
      <c r="E38" s="15" t="n"/>
      <c r="F38" s="15" t="n"/>
      <c r="G38" s="16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</row>
    <row r="39">
      <c r="A39" s="8" t="n"/>
      <c r="B39" s="14" t="n"/>
      <c r="C39" s="15" t="n"/>
      <c r="D39" s="15" t="n"/>
      <c r="E39" s="15" t="n"/>
      <c r="F39" s="15" t="n"/>
      <c r="G39" s="16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</row>
    <row r="40">
      <c r="A40" s="8" t="n"/>
      <c r="B40" s="14" t="n"/>
      <c r="C40" s="15" t="n"/>
      <c r="D40" s="15" t="n"/>
      <c r="E40" s="15" t="n"/>
      <c r="F40" s="15" t="n"/>
      <c r="G40" s="16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</row>
    <row r="41">
      <c r="A41" s="8" t="n"/>
      <c r="B41" s="14" t="n"/>
      <c r="C41" s="15" t="n"/>
      <c r="D41" s="15" t="n"/>
      <c r="E41" s="15" t="n"/>
      <c r="F41" s="15" t="n"/>
      <c r="G41" s="16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</row>
    <row r="42">
      <c r="A42" s="8" t="n"/>
      <c r="B42" s="14" t="n"/>
      <c r="C42" s="15" t="n"/>
      <c r="D42" s="15" t="n"/>
      <c r="E42" s="15" t="n"/>
      <c r="F42" s="15" t="n"/>
      <c r="G42" s="16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</row>
    <row r="43">
      <c r="A43" s="8" t="n"/>
      <c r="B43" s="14" t="n"/>
      <c r="C43" s="15" t="n"/>
      <c r="D43" s="15" t="n"/>
      <c r="E43" s="15" t="n"/>
      <c r="F43" s="15" t="n"/>
      <c r="G43" s="16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</row>
    <row r="44" ht="22" customHeight="1">
      <c r="A44" s="8" t="n"/>
      <c r="B44" s="14" t="n"/>
      <c r="C44" s="15" t="n"/>
      <c r="D44" s="15" t="n"/>
      <c r="E44" s="15" t="n"/>
      <c r="F44" s="15" t="n"/>
      <c r="G44" s="16" t="n"/>
      <c r="H44" s="8" t="n"/>
      <c r="I44" s="37" t="inlineStr">
        <is>
          <t>Meta de renda</t>
        </is>
      </c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45" t="inlineStr">
        <is>
          <t>cada ativo deve pagar R$ 1.099/mês</t>
        </is>
      </c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</row>
    <row r="45" ht="20" customHeight="1">
      <c r="A45" s="8" t="n"/>
      <c r="B45" s="14" t="n"/>
      <c r="C45" s="15" t="n"/>
      <c r="D45" s="15" t="n"/>
      <c r="E45" s="15" t="n"/>
      <c r="F45" s="15" t="n"/>
      <c r="G45" s="16" t="n"/>
      <c r="H45" s="8" t="n"/>
      <c r="I45" s="17" t="inlineStr">
        <is>
          <t>RENDA MENSAL</t>
        </is>
      </c>
      <c r="J45" s="18" t="n"/>
      <c r="K45" s="18" t="n"/>
      <c r="L45" s="19" t="n"/>
      <c r="M45" s="8" t="n"/>
      <c r="N45" s="17" t="inlineStr">
        <is>
          <t>META MENSAL</t>
        </is>
      </c>
      <c r="O45" s="18" t="n"/>
      <c r="P45" s="18" t="n"/>
      <c r="Q45" s="19" t="n"/>
      <c r="R45" s="8" t="n"/>
      <c r="S45" s="17" t="inlineStr">
        <is>
          <t>PROGRESSO DA META</t>
        </is>
      </c>
      <c r="T45" s="18" t="n"/>
      <c r="U45" s="18" t="n"/>
      <c r="V45" s="19" t="n"/>
      <c r="W45" s="8" t="n"/>
      <c r="X45" s="17" t="inlineStr">
        <is>
          <t>ATIVOS NA META</t>
        </is>
      </c>
      <c r="Y45" s="18" t="n"/>
      <c r="Z45" s="18" t="n"/>
      <c r="AA45" s="19" t="n"/>
      <c r="AB45" s="8" t="n"/>
      <c r="AC45" s="17" t="inlineStr">
        <is>
          <t>APORTE P/ META</t>
        </is>
      </c>
      <c r="AD45" s="18" t="n"/>
      <c r="AE45" s="18" t="n"/>
      <c r="AF45" s="19" t="n"/>
      <c r="AG45" s="8" t="n"/>
      <c r="AH45" s="17" t="inlineStr">
        <is>
          <t>TEMPO ATÉ A META</t>
        </is>
      </c>
      <c r="AI45" s="18" t="n"/>
      <c r="AJ45" s="18" t="n"/>
      <c r="AK45" s="19" t="n"/>
      <c r="AL45" s="8" t="n"/>
    </row>
    <row r="46" ht="32" customHeight="1">
      <c r="A46" s="8" t="n"/>
      <c r="B46" s="14" t="n"/>
      <c r="C46" s="15" t="n"/>
      <c r="D46" s="15" t="n"/>
      <c r="E46" s="15" t="n"/>
      <c r="F46" s="15" t="n"/>
      <c r="G46" s="16" t="n"/>
      <c r="H46" s="8" t="n"/>
      <c r="I46" s="21">
        <f>Carteira!V36</f>
        <v/>
      </c>
      <c r="L46" s="22" t="n"/>
      <c r="M46" s="8" t="n"/>
      <c r="N46" s="21">
        <f>META_MENSAL*COUNTIF(Carteira!A5:A35,"?*")</f>
        <v/>
      </c>
      <c r="Q46" s="22" t="n"/>
      <c r="R46" s="8" t="n"/>
      <c r="S46" s="46">
        <f>Carteira!W36</f>
        <v/>
      </c>
      <c r="V46" s="22" t="n"/>
      <c r="W46" s="8" t="n"/>
      <c r="X46" s="23">
        <f>Carteira!X36</f>
        <v/>
      </c>
      <c r="AA46" s="22" t="n"/>
      <c r="AB46" s="8" t="n"/>
      <c r="AC46" s="21">
        <f>Carteira!Z36</f>
        <v/>
      </c>
      <c r="AF46" s="22" t="n"/>
      <c r="AG46" s="8" t="n"/>
      <c r="AH46" s="47">
        <f>Carteira!AA36</f>
        <v/>
      </c>
      <c r="AK46" s="22" t="n"/>
      <c r="AL46" s="8" t="n"/>
    </row>
    <row r="47" ht="18" customHeight="1">
      <c r="A47" s="8" t="n"/>
      <c r="B47" s="48" t="n"/>
      <c r="C47" s="7" t="n"/>
      <c r="D47" s="7" t="n"/>
      <c r="E47" s="7" t="n"/>
      <c r="F47" s="7" t="n"/>
      <c r="G47" s="49" t="n"/>
      <c r="H47" s="8" t="n"/>
      <c r="I47" s="50">
        <f>Carteira!V36*12</f>
        <v/>
      </c>
      <c r="J47" s="6" t="n"/>
      <c r="K47" s="6" t="n"/>
      <c r="L47" s="28" t="n"/>
      <c r="M47" s="8" t="n"/>
      <c r="N47" s="51">
        <f>META_MENSAL</f>
        <v/>
      </c>
      <c r="O47" s="6" t="n"/>
      <c r="P47" s="6" t="n"/>
      <c r="Q47" s="28" t="n"/>
      <c r="R47" s="8" t="n"/>
      <c r="S47" s="52">
        <f>IF(META_MENSAL&gt;0,Carteira!V36/(META_MENSAL*COUNTIF(Carteira!A5:A35,"?*")),0)</f>
        <v/>
      </c>
      <c r="T47" s="6" t="n"/>
      <c r="U47" s="6" t="n"/>
      <c r="V47" s="28" t="n"/>
      <c r="W47" s="8" t="n"/>
      <c r="X47" s="53">
        <f>Carteira!Y36</f>
        <v/>
      </c>
      <c r="Y47" s="6" t="n"/>
      <c r="Z47" s="6" t="n"/>
      <c r="AA47" s="28" t="n"/>
      <c r="AB47" s="8" t="n"/>
      <c r="AC47" s="54">
        <f>APORTE_MENSAL</f>
        <v/>
      </c>
      <c r="AD47" s="6" t="n"/>
      <c r="AE47" s="6" t="n"/>
      <c r="AF47" s="28" t="n"/>
      <c r="AG47" s="8" t="n"/>
      <c r="AH47" s="55">
        <f>IF(APORTE_MENSAL&gt;0,Carteira!Z36/APORTE_MENSAL/12,0)</f>
        <v/>
      </c>
      <c r="AI47" s="6" t="n"/>
      <c r="AJ47" s="6" t="n"/>
      <c r="AK47" s="28" t="n"/>
      <c r="AL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</row>
    <row r="49" ht="22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37" t="inlineStr">
        <is>
          <t>Destaques</t>
        </is>
      </c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45" t="inlineStr">
        <is>
          <t>rankings no filtro escolhido</t>
        </is>
      </c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</row>
    <row r="50" ht="24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56" t="inlineStr">
        <is>
          <t>Maiores posições</t>
        </is>
      </c>
      <c r="J50" s="18" t="n"/>
      <c r="K50" s="18" t="n"/>
      <c r="L50" s="18" t="n"/>
      <c r="M50" s="18" t="n"/>
      <c r="N50" s="18" t="n"/>
      <c r="O50" s="18" t="n"/>
      <c r="P50" s="18" t="n"/>
      <c r="Q50" s="19" t="n"/>
      <c r="R50" s="8" t="n"/>
      <c r="S50" s="56" t="inlineStr">
        <is>
          <t>Maiores altas</t>
        </is>
      </c>
      <c r="T50" s="18" t="n"/>
      <c r="U50" s="18" t="n"/>
      <c r="V50" s="18" t="n"/>
      <c r="W50" s="18" t="n"/>
      <c r="X50" s="18" t="n"/>
      <c r="Y50" s="18" t="n"/>
      <c r="Z50" s="18" t="n"/>
      <c r="AA50" s="19" t="n"/>
      <c r="AB50" s="8" t="n"/>
      <c r="AC50" s="56" t="inlineStr">
        <is>
          <t>Maiores quedas</t>
        </is>
      </c>
      <c r="AD50" s="18" t="n"/>
      <c r="AE50" s="18" t="n"/>
      <c r="AF50" s="18" t="n"/>
      <c r="AG50" s="18" t="n"/>
      <c r="AH50" s="18" t="n"/>
      <c r="AI50" s="18" t="n"/>
      <c r="AJ50" s="18" t="n"/>
      <c r="AK50" s="19" t="n"/>
      <c r="AL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57" t="inlineStr">
        <is>
          <t>#</t>
        </is>
      </c>
      <c r="J51" s="58" t="inlineStr">
        <is>
          <t>ATIVO</t>
        </is>
      </c>
      <c r="K51" s="59" t="n"/>
      <c r="L51" s="60" t="inlineStr">
        <is>
          <t>POSIÇÃO</t>
        </is>
      </c>
      <c r="M51" s="59" t="n"/>
      <c r="N51" s="59" t="n"/>
      <c r="O51" s="61" t="inlineStr">
        <is>
          <t>PARTICIPAÇÃO</t>
        </is>
      </c>
      <c r="P51" s="59" t="n"/>
      <c r="Q51" s="62" t="n"/>
      <c r="R51" s="8" t="n"/>
      <c r="S51" s="57" t="inlineStr">
        <is>
          <t>#</t>
        </is>
      </c>
      <c r="T51" s="58" t="inlineStr">
        <is>
          <t>ATIVO</t>
        </is>
      </c>
      <c r="U51" s="59" t="n"/>
      <c r="V51" s="60" t="inlineStr">
        <is>
          <t>VALORIZAÇÃO</t>
        </is>
      </c>
      <c r="W51" s="59" t="n"/>
      <c r="X51" s="59" t="n"/>
      <c r="Y51" s="61" t="inlineStr">
        <is>
          <t>LUCRO</t>
        </is>
      </c>
      <c r="Z51" s="59" t="n"/>
      <c r="AA51" s="62" t="n"/>
      <c r="AB51" s="8" t="n"/>
      <c r="AC51" s="57" t="inlineStr">
        <is>
          <t>#</t>
        </is>
      </c>
      <c r="AD51" s="58" t="inlineStr">
        <is>
          <t>ATIVO</t>
        </is>
      </c>
      <c r="AE51" s="59" t="n"/>
      <c r="AF51" s="60" t="inlineStr">
        <is>
          <t>VALORIZAÇÃO</t>
        </is>
      </c>
      <c r="AG51" s="59" t="n"/>
      <c r="AH51" s="59" t="n"/>
      <c r="AI51" s="61" t="inlineStr">
        <is>
          <t>LUCRO</t>
        </is>
      </c>
      <c r="AJ51" s="59" t="n"/>
      <c r="AK51" s="62" t="n"/>
      <c r="AL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63" t="n">
        <v>1</v>
      </c>
      <c r="J52" s="64">
        <f>IF(SUMIFS(Carteira!$C$5:$C$35,Carteira!$AC$5:$AC$35,1)=0,"",'Base Painel'!G5)</f>
        <v/>
      </c>
      <c r="K52" s="65" t="n"/>
      <c r="L52" s="66">
        <f>IF(SUMIFS(Carteira!$C$5:$C$35,Carteira!$AC$5:$AC$35,1)=0,"",'Base Painel'!H5)</f>
        <v/>
      </c>
      <c r="M52" s="65" t="n"/>
      <c r="N52" s="65" t="n"/>
      <c r="O52" s="67">
        <f>IF(OR(SUMIFS(Carteira!$C$5:$C$35,Carteira!$AC$5:$AC$35,1)=0,Carteira!$G$36=0),"",'Base Painel'!H5/Carteira!$G$36)</f>
        <v/>
      </c>
      <c r="P52" s="65" t="n"/>
      <c r="Q52" s="68" t="n"/>
      <c r="R52" s="8" t="n"/>
      <c r="S52" s="63" t="n">
        <v>1</v>
      </c>
      <c r="T52" s="64">
        <f>IF(SUMIFS(Carteira!$C$5:$C$35,Carteira!$AC$5:$AC$35,1)=0,"",'Base Painel'!K5)</f>
        <v/>
      </c>
      <c r="U52" s="65" t="n"/>
      <c r="V52" s="69">
        <f>IF(SUMIFS(Carteira!$C$5:$C$35,Carteira!$AC$5:$AC$35,1)=0,"",'Base Painel'!L5)</f>
        <v/>
      </c>
      <c r="W52" s="65" t="n"/>
      <c r="X52" s="65" t="n"/>
      <c r="Y52" s="70">
        <f>IF(SUMIFS(Carteira!$C$5:$C$35,Carteira!$AC$5:$AC$35,1)=0,"",'Base Painel'!M5)</f>
        <v/>
      </c>
      <c r="Z52" s="65" t="n"/>
      <c r="AA52" s="68" t="n"/>
      <c r="AB52" s="8" t="n"/>
      <c r="AC52" s="63" t="n">
        <v>1</v>
      </c>
      <c r="AD52" s="64">
        <f>IF(SUMIFS(Carteira!$C$5:$C$35,Carteira!$AC$5:$AC$35,1)=0,"",'Base Painel'!P5)</f>
        <v/>
      </c>
      <c r="AE52" s="65" t="n"/>
      <c r="AF52" s="69">
        <f>IF(SUMIFS(Carteira!$C$5:$C$35,Carteira!$AC$5:$AC$35,1)=0,"",'Base Painel'!Q5)</f>
        <v/>
      </c>
      <c r="AG52" s="65" t="n"/>
      <c r="AH52" s="65" t="n"/>
      <c r="AI52" s="70">
        <f>IF(SUMIFS(Carteira!$C$5:$C$35,Carteira!$AC$5:$AC$35,1)=0,"",'Base Painel'!R5)</f>
        <v/>
      </c>
      <c r="AJ52" s="65" t="n"/>
      <c r="AK52" s="68" t="n"/>
      <c r="AL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63" t="n">
        <v>2</v>
      </c>
      <c r="J53" s="64">
        <f>IF(SUMIFS(Carteira!$C$5:$C$35,Carteira!$AC$5:$AC$35,1)=0,"",'Base Painel'!G6)</f>
        <v/>
      </c>
      <c r="K53" s="65" t="n"/>
      <c r="L53" s="66">
        <f>IF(SUMIFS(Carteira!$C$5:$C$35,Carteira!$AC$5:$AC$35,1)=0,"",'Base Painel'!H6)</f>
        <v/>
      </c>
      <c r="M53" s="65" t="n"/>
      <c r="N53" s="65" t="n"/>
      <c r="O53" s="67">
        <f>IF(OR(SUMIFS(Carteira!$C$5:$C$35,Carteira!$AC$5:$AC$35,1)=0,Carteira!$G$36=0),"",'Base Painel'!H6/Carteira!$G$36)</f>
        <v/>
      </c>
      <c r="P53" s="65" t="n"/>
      <c r="Q53" s="68" t="n"/>
      <c r="R53" s="8" t="n"/>
      <c r="S53" s="63" t="n">
        <v>2</v>
      </c>
      <c r="T53" s="64">
        <f>IF(SUMIFS(Carteira!$C$5:$C$35,Carteira!$AC$5:$AC$35,1)=0,"",'Base Painel'!K6)</f>
        <v/>
      </c>
      <c r="U53" s="65" t="n"/>
      <c r="V53" s="69">
        <f>IF(SUMIFS(Carteira!$C$5:$C$35,Carteira!$AC$5:$AC$35,1)=0,"",'Base Painel'!L6)</f>
        <v/>
      </c>
      <c r="W53" s="65" t="n"/>
      <c r="X53" s="65" t="n"/>
      <c r="Y53" s="70">
        <f>IF(SUMIFS(Carteira!$C$5:$C$35,Carteira!$AC$5:$AC$35,1)=0,"",'Base Painel'!M6)</f>
        <v/>
      </c>
      <c r="Z53" s="65" t="n"/>
      <c r="AA53" s="68" t="n"/>
      <c r="AB53" s="8" t="n"/>
      <c r="AC53" s="63" t="n">
        <v>2</v>
      </c>
      <c r="AD53" s="64">
        <f>IF(SUMIFS(Carteira!$C$5:$C$35,Carteira!$AC$5:$AC$35,1)=0,"",'Base Painel'!P6)</f>
        <v/>
      </c>
      <c r="AE53" s="65" t="n"/>
      <c r="AF53" s="69">
        <f>IF(SUMIFS(Carteira!$C$5:$C$35,Carteira!$AC$5:$AC$35,1)=0,"",'Base Painel'!Q6)</f>
        <v/>
      </c>
      <c r="AG53" s="65" t="n"/>
      <c r="AH53" s="65" t="n"/>
      <c r="AI53" s="70">
        <f>IF(SUMIFS(Carteira!$C$5:$C$35,Carteira!$AC$5:$AC$35,1)=0,"",'Base Painel'!R6)</f>
        <v/>
      </c>
      <c r="AJ53" s="65" t="n"/>
      <c r="AK53" s="68" t="n"/>
      <c r="AL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63" t="n">
        <v>3</v>
      </c>
      <c r="J54" s="64">
        <f>IF(SUMIFS(Carteira!$C$5:$C$35,Carteira!$AC$5:$AC$35,1)=0,"",'Base Painel'!G7)</f>
        <v/>
      </c>
      <c r="K54" s="65" t="n"/>
      <c r="L54" s="66">
        <f>IF(SUMIFS(Carteira!$C$5:$C$35,Carteira!$AC$5:$AC$35,1)=0,"",'Base Painel'!H7)</f>
        <v/>
      </c>
      <c r="M54" s="65" t="n"/>
      <c r="N54" s="65" t="n"/>
      <c r="O54" s="67">
        <f>IF(OR(SUMIFS(Carteira!$C$5:$C$35,Carteira!$AC$5:$AC$35,1)=0,Carteira!$G$36=0),"",'Base Painel'!H7/Carteira!$G$36)</f>
        <v/>
      </c>
      <c r="P54" s="65" t="n"/>
      <c r="Q54" s="68" t="n"/>
      <c r="R54" s="8" t="n"/>
      <c r="S54" s="63" t="n">
        <v>3</v>
      </c>
      <c r="T54" s="64">
        <f>IF(SUMIFS(Carteira!$C$5:$C$35,Carteira!$AC$5:$AC$35,1)=0,"",'Base Painel'!K7)</f>
        <v/>
      </c>
      <c r="U54" s="65" t="n"/>
      <c r="V54" s="69">
        <f>IF(SUMIFS(Carteira!$C$5:$C$35,Carteira!$AC$5:$AC$35,1)=0,"",'Base Painel'!L7)</f>
        <v/>
      </c>
      <c r="W54" s="65" t="n"/>
      <c r="X54" s="65" t="n"/>
      <c r="Y54" s="70">
        <f>IF(SUMIFS(Carteira!$C$5:$C$35,Carteira!$AC$5:$AC$35,1)=0,"",'Base Painel'!M7)</f>
        <v/>
      </c>
      <c r="Z54" s="65" t="n"/>
      <c r="AA54" s="68" t="n"/>
      <c r="AB54" s="8" t="n"/>
      <c r="AC54" s="63" t="n">
        <v>3</v>
      </c>
      <c r="AD54" s="64">
        <f>IF(SUMIFS(Carteira!$C$5:$C$35,Carteira!$AC$5:$AC$35,1)=0,"",'Base Painel'!P7)</f>
        <v/>
      </c>
      <c r="AE54" s="65" t="n"/>
      <c r="AF54" s="69">
        <f>IF(SUMIFS(Carteira!$C$5:$C$35,Carteira!$AC$5:$AC$35,1)=0,"",'Base Painel'!Q7)</f>
        <v/>
      </c>
      <c r="AG54" s="65" t="n"/>
      <c r="AH54" s="65" t="n"/>
      <c r="AI54" s="70">
        <f>IF(SUMIFS(Carteira!$C$5:$C$35,Carteira!$AC$5:$AC$35,1)=0,"",'Base Painel'!R7)</f>
        <v/>
      </c>
      <c r="AJ54" s="65" t="n"/>
      <c r="AK54" s="68" t="n"/>
      <c r="AL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63" t="n">
        <v>4</v>
      </c>
      <c r="J55" s="64">
        <f>IF(SUMIFS(Carteira!$C$5:$C$35,Carteira!$AC$5:$AC$35,1)=0,"",'Base Painel'!G8)</f>
        <v/>
      </c>
      <c r="K55" s="65" t="n"/>
      <c r="L55" s="66">
        <f>IF(SUMIFS(Carteira!$C$5:$C$35,Carteira!$AC$5:$AC$35,1)=0,"",'Base Painel'!H8)</f>
        <v/>
      </c>
      <c r="M55" s="65" t="n"/>
      <c r="N55" s="65" t="n"/>
      <c r="O55" s="67">
        <f>IF(OR(SUMIFS(Carteira!$C$5:$C$35,Carteira!$AC$5:$AC$35,1)=0,Carteira!$G$36=0),"",'Base Painel'!H8/Carteira!$G$36)</f>
        <v/>
      </c>
      <c r="P55" s="65" t="n"/>
      <c r="Q55" s="68" t="n"/>
      <c r="R55" s="8" t="n"/>
      <c r="S55" s="63" t="n">
        <v>4</v>
      </c>
      <c r="T55" s="64">
        <f>IF(SUMIFS(Carteira!$C$5:$C$35,Carteira!$AC$5:$AC$35,1)=0,"",'Base Painel'!K8)</f>
        <v/>
      </c>
      <c r="U55" s="65" t="n"/>
      <c r="V55" s="69">
        <f>IF(SUMIFS(Carteira!$C$5:$C$35,Carteira!$AC$5:$AC$35,1)=0,"",'Base Painel'!L8)</f>
        <v/>
      </c>
      <c r="W55" s="65" t="n"/>
      <c r="X55" s="65" t="n"/>
      <c r="Y55" s="70">
        <f>IF(SUMIFS(Carteira!$C$5:$C$35,Carteira!$AC$5:$AC$35,1)=0,"",'Base Painel'!M8)</f>
        <v/>
      </c>
      <c r="Z55" s="65" t="n"/>
      <c r="AA55" s="68" t="n"/>
      <c r="AB55" s="8" t="n"/>
      <c r="AC55" s="63" t="n">
        <v>4</v>
      </c>
      <c r="AD55" s="64">
        <f>IF(SUMIFS(Carteira!$C$5:$C$35,Carteira!$AC$5:$AC$35,1)=0,"",'Base Painel'!P8)</f>
        <v/>
      </c>
      <c r="AE55" s="65" t="n"/>
      <c r="AF55" s="69">
        <f>IF(SUMIFS(Carteira!$C$5:$C$35,Carteira!$AC$5:$AC$35,1)=0,"",'Base Painel'!Q8)</f>
        <v/>
      </c>
      <c r="AG55" s="65" t="n"/>
      <c r="AH55" s="65" t="n"/>
      <c r="AI55" s="70">
        <f>IF(SUMIFS(Carteira!$C$5:$C$35,Carteira!$AC$5:$AC$35,1)=0,"",'Base Painel'!R8)</f>
        <v/>
      </c>
      <c r="AJ55" s="65" t="n"/>
      <c r="AK55" s="68" t="n"/>
      <c r="AL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71" t="n">
        <v>5</v>
      </c>
      <c r="J56" s="72">
        <f>IF(SUMIFS(Carteira!$C$5:$C$35,Carteira!$AC$5:$AC$35,1)=0,"",'Base Painel'!G9)</f>
        <v/>
      </c>
      <c r="K56" s="73" t="n"/>
      <c r="L56" s="74">
        <f>IF(SUMIFS(Carteira!$C$5:$C$35,Carteira!$AC$5:$AC$35,1)=0,"",'Base Painel'!H9)</f>
        <v/>
      </c>
      <c r="M56" s="73" t="n"/>
      <c r="N56" s="73" t="n"/>
      <c r="O56" s="75">
        <f>IF(OR(SUMIFS(Carteira!$C$5:$C$35,Carteira!$AC$5:$AC$35,1)=0,Carteira!$G$36=0),"",'Base Painel'!H9/Carteira!$G$36)</f>
        <v/>
      </c>
      <c r="P56" s="73" t="n"/>
      <c r="Q56" s="76" t="n"/>
      <c r="R56" s="8" t="n"/>
      <c r="S56" s="71" t="n">
        <v>5</v>
      </c>
      <c r="T56" s="72">
        <f>IF(SUMIFS(Carteira!$C$5:$C$35,Carteira!$AC$5:$AC$35,1)=0,"",'Base Painel'!K9)</f>
        <v/>
      </c>
      <c r="U56" s="73" t="n"/>
      <c r="V56" s="77">
        <f>IF(SUMIFS(Carteira!$C$5:$C$35,Carteira!$AC$5:$AC$35,1)=0,"",'Base Painel'!L9)</f>
        <v/>
      </c>
      <c r="W56" s="73" t="n"/>
      <c r="X56" s="73" t="n"/>
      <c r="Y56" s="78">
        <f>IF(SUMIFS(Carteira!$C$5:$C$35,Carteira!$AC$5:$AC$35,1)=0,"",'Base Painel'!M9)</f>
        <v/>
      </c>
      <c r="Z56" s="73" t="n"/>
      <c r="AA56" s="76" t="n"/>
      <c r="AB56" s="8" t="n"/>
      <c r="AC56" s="71" t="n">
        <v>5</v>
      </c>
      <c r="AD56" s="72">
        <f>IF(SUMIFS(Carteira!$C$5:$C$35,Carteira!$AC$5:$AC$35,1)=0,"",'Base Painel'!P9)</f>
        <v/>
      </c>
      <c r="AE56" s="73" t="n"/>
      <c r="AF56" s="77">
        <f>IF(SUMIFS(Carteira!$C$5:$C$35,Carteira!$AC$5:$AC$35,1)=0,"",'Base Painel'!Q9)</f>
        <v/>
      </c>
      <c r="AG56" s="73" t="n"/>
      <c r="AH56" s="73" t="n"/>
      <c r="AI56" s="78">
        <f>IF(SUMIFS(Carteira!$C$5:$C$35,Carteira!$AC$5:$AC$35,1)=0,"",'Base Painel'!R9)</f>
        <v/>
      </c>
      <c r="AJ56" s="73" t="n"/>
      <c r="AK56" s="76" t="n"/>
      <c r="AL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</row>
    <row r="78" ht="22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37" t="inlineStr">
        <is>
          <t>Alocação por classe</t>
        </is>
      </c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45" t="inlineStr">
        <is>
          <t>valores de outras classes e pesos ideais: aba Premissas</t>
        </is>
      </c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</row>
    <row r="79" ht="22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79" t="inlineStr">
        <is>
          <t>CLASSE</t>
        </is>
      </c>
      <c r="J79" s="80" t="n"/>
      <c r="K79" s="80" t="n"/>
      <c r="L79" s="80" t="n"/>
      <c r="M79" s="80" t="n"/>
      <c r="N79" s="81" t="inlineStr">
        <is>
          <t>VALOR (R$)</t>
        </is>
      </c>
      <c r="O79" s="80" t="n"/>
      <c r="P79" s="80" t="n"/>
      <c r="Q79" s="80" t="n"/>
      <c r="R79" s="80" t="n"/>
      <c r="S79" s="81" t="inlineStr">
        <is>
          <t>PESO ATUAL</t>
        </is>
      </c>
      <c r="T79" s="80" t="n"/>
      <c r="U79" s="80" t="n"/>
      <c r="V79" s="80" t="n"/>
      <c r="W79" s="81" t="inlineStr">
        <is>
          <t>PESO IDEAL</t>
        </is>
      </c>
      <c r="X79" s="80" t="n"/>
      <c r="Y79" s="80" t="n"/>
      <c r="Z79" s="80" t="n"/>
      <c r="AA79" s="81" t="inlineStr">
        <is>
          <t>DESVIO</t>
        </is>
      </c>
      <c r="AB79" s="80" t="n"/>
      <c r="AC79" s="80" t="n"/>
      <c r="AD79" s="80" t="n"/>
      <c r="AE79" s="81" t="inlineStr">
        <is>
          <t>APORTE P/ IDEAL (R$)</t>
        </is>
      </c>
      <c r="AF79" s="80" t="n"/>
      <c r="AG79" s="80" t="n"/>
      <c r="AH79" s="80" t="n"/>
      <c r="AI79" s="80" t="n"/>
      <c r="AJ79" s="80" t="n"/>
      <c r="AK79" s="82" t="n"/>
      <c r="AL79" s="8" t="n"/>
    </row>
    <row r="80" ht="20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3" t="inlineStr">
        <is>
          <t>Ações</t>
        </is>
      </c>
      <c r="J80" s="65" t="n"/>
      <c r="K80" s="65" t="n"/>
      <c r="L80" s="65" t="n"/>
      <c r="M80" s="65" t="n"/>
      <c r="N80" s="66">
        <f>Carteira!G38</f>
        <v/>
      </c>
      <c r="O80" s="65" t="n"/>
      <c r="P80" s="65" t="n"/>
      <c r="Q80" s="65" t="n"/>
      <c r="R80" s="65" t="n"/>
      <c r="S80" s="84">
        <f>IF($N$85&gt;0,N80/$N$85,0)</f>
        <v/>
      </c>
      <c r="T80" s="65" t="n"/>
      <c r="U80" s="65" t="n"/>
      <c r="V80" s="65" t="n"/>
      <c r="W80" s="84">
        <f>PESO_RV*SUMIFS(Ativos!$F$5:$F$35,Ativos!$B$5:$B$35,"AÇÃO")/Ativos!$F$36</f>
        <v/>
      </c>
      <c r="X80" s="65" t="n"/>
      <c r="Y80" s="65" t="n"/>
      <c r="Z80" s="65" t="n"/>
      <c r="AA80" s="85">
        <f>S80-W80</f>
        <v/>
      </c>
      <c r="AB80" s="65" t="n"/>
      <c r="AC80" s="65" t="n"/>
      <c r="AD80" s="65" t="n"/>
      <c r="AE80" s="70">
        <f>MAX(0,W80*$N$85-N80)</f>
        <v/>
      </c>
      <c r="AF80" s="65" t="n"/>
      <c r="AG80" s="65" t="n"/>
      <c r="AH80" s="65" t="n"/>
      <c r="AI80" s="65" t="n"/>
      <c r="AJ80" s="65" t="n"/>
      <c r="AK80" s="68" t="n"/>
      <c r="AL80" s="8" t="n"/>
    </row>
    <row r="81" ht="20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3" t="inlineStr">
        <is>
          <t>FIIs</t>
        </is>
      </c>
      <c r="J81" s="65" t="n"/>
      <c r="K81" s="65" t="n"/>
      <c r="L81" s="65" t="n"/>
      <c r="M81" s="65" t="n"/>
      <c r="N81" s="66">
        <f>Carteira!G39</f>
        <v/>
      </c>
      <c r="O81" s="65" t="n"/>
      <c r="P81" s="65" t="n"/>
      <c r="Q81" s="65" t="n"/>
      <c r="R81" s="65" t="n"/>
      <c r="S81" s="84">
        <f>IF($N$85&gt;0,N81/$N$85,0)</f>
        <v/>
      </c>
      <c r="T81" s="65" t="n"/>
      <c r="U81" s="65" t="n"/>
      <c r="V81" s="65" t="n"/>
      <c r="W81" s="84">
        <f>PESO_RV*SUMIFS(Ativos!$F$5:$F$35,Ativos!$B$5:$B$35,"FII")/Ativos!$F$36</f>
        <v/>
      </c>
      <c r="X81" s="65" t="n"/>
      <c r="Y81" s="65" t="n"/>
      <c r="Z81" s="65" t="n"/>
      <c r="AA81" s="85">
        <f>S81-W81</f>
        <v/>
      </c>
      <c r="AB81" s="65" t="n"/>
      <c r="AC81" s="65" t="n"/>
      <c r="AD81" s="65" t="n"/>
      <c r="AE81" s="70">
        <f>MAX(0,W81*$N$85-N81)</f>
        <v/>
      </c>
      <c r="AF81" s="65" t="n"/>
      <c r="AG81" s="65" t="n"/>
      <c r="AH81" s="65" t="n"/>
      <c r="AI81" s="65" t="n"/>
      <c r="AJ81" s="65" t="n"/>
      <c r="AK81" s="68" t="n"/>
      <c r="AL81" s="8" t="n"/>
    </row>
    <row r="82" ht="20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3">
        <f>Premissas!A11</f>
        <v/>
      </c>
      <c r="J82" s="65" t="n"/>
      <c r="K82" s="65" t="n"/>
      <c r="L82" s="65" t="n"/>
      <c r="M82" s="65" t="n"/>
      <c r="N82" s="66">
        <f>Premissas!B11</f>
        <v/>
      </c>
      <c r="O82" s="65" t="n"/>
      <c r="P82" s="65" t="n"/>
      <c r="Q82" s="65" t="n"/>
      <c r="R82" s="65" t="n"/>
      <c r="S82" s="84">
        <f>IF($N$85&gt;0,N82/$N$85,0)</f>
        <v/>
      </c>
      <c r="T82" s="65" t="n"/>
      <c r="U82" s="65" t="n"/>
      <c r="V82" s="65" t="n"/>
      <c r="W82" s="84">
        <f>Premissas!C11</f>
        <v/>
      </c>
      <c r="X82" s="65" t="n"/>
      <c r="Y82" s="65" t="n"/>
      <c r="Z82" s="65" t="n"/>
      <c r="AA82" s="85">
        <f>S82-W82</f>
        <v/>
      </c>
      <c r="AB82" s="65" t="n"/>
      <c r="AC82" s="65" t="n"/>
      <c r="AD82" s="65" t="n"/>
      <c r="AE82" s="70">
        <f>MAX(0,W82*$N$85-N82)</f>
        <v/>
      </c>
      <c r="AF82" s="65" t="n"/>
      <c r="AG82" s="65" t="n"/>
      <c r="AH82" s="65" t="n"/>
      <c r="AI82" s="65" t="n"/>
      <c r="AJ82" s="65" t="n"/>
      <c r="AK82" s="68" t="n"/>
      <c r="AL82" s="8" t="n"/>
    </row>
    <row r="83" ht="20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3">
        <f>Premissas!A12</f>
        <v/>
      </c>
      <c r="J83" s="65" t="n"/>
      <c r="K83" s="65" t="n"/>
      <c r="L83" s="65" t="n"/>
      <c r="M83" s="65" t="n"/>
      <c r="N83" s="66">
        <f>Premissas!B12</f>
        <v/>
      </c>
      <c r="O83" s="65" t="n"/>
      <c r="P83" s="65" t="n"/>
      <c r="Q83" s="65" t="n"/>
      <c r="R83" s="65" t="n"/>
      <c r="S83" s="84">
        <f>IF($N$85&gt;0,N83/$N$85,0)</f>
        <v/>
      </c>
      <c r="T83" s="65" t="n"/>
      <c r="U83" s="65" t="n"/>
      <c r="V83" s="65" t="n"/>
      <c r="W83" s="84">
        <f>Premissas!C12</f>
        <v/>
      </c>
      <c r="X83" s="65" t="n"/>
      <c r="Y83" s="65" t="n"/>
      <c r="Z83" s="65" t="n"/>
      <c r="AA83" s="85">
        <f>S83-W83</f>
        <v/>
      </c>
      <c r="AB83" s="65" t="n"/>
      <c r="AC83" s="65" t="n"/>
      <c r="AD83" s="65" t="n"/>
      <c r="AE83" s="70">
        <f>MAX(0,W83*$N$85-N83)</f>
        <v/>
      </c>
      <c r="AF83" s="65" t="n"/>
      <c r="AG83" s="65" t="n"/>
      <c r="AH83" s="65" t="n"/>
      <c r="AI83" s="65" t="n"/>
      <c r="AJ83" s="65" t="n"/>
      <c r="AK83" s="68" t="n"/>
      <c r="AL83" s="8" t="n"/>
    </row>
    <row r="84" ht="20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3">
        <f>Premissas!A13</f>
        <v/>
      </c>
      <c r="J84" s="65" t="n"/>
      <c r="K84" s="65" t="n"/>
      <c r="L84" s="65" t="n"/>
      <c r="M84" s="65" t="n"/>
      <c r="N84" s="66">
        <f>Premissas!B13</f>
        <v/>
      </c>
      <c r="O84" s="65" t="n"/>
      <c r="P84" s="65" t="n"/>
      <c r="Q84" s="65" t="n"/>
      <c r="R84" s="65" t="n"/>
      <c r="S84" s="84">
        <f>IF($N$85&gt;0,N84/$N$85,0)</f>
        <v/>
      </c>
      <c r="T84" s="65" t="n"/>
      <c r="U84" s="65" t="n"/>
      <c r="V84" s="65" t="n"/>
      <c r="W84" s="84">
        <f>Premissas!C13</f>
        <v/>
      </c>
      <c r="X84" s="65" t="n"/>
      <c r="Y84" s="65" t="n"/>
      <c r="Z84" s="65" t="n"/>
      <c r="AA84" s="85">
        <f>S84-W84</f>
        <v/>
      </c>
      <c r="AB84" s="65" t="n"/>
      <c r="AC84" s="65" t="n"/>
      <c r="AD84" s="65" t="n"/>
      <c r="AE84" s="70">
        <f>MAX(0,W84*$N$85-N84)</f>
        <v/>
      </c>
      <c r="AF84" s="65" t="n"/>
      <c r="AG84" s="65" t="n"/>
      <c r="AH84" s="65" t="n"/>
      <c r="AI84" s="65" t="n"/>
      <c r="AJ84" s="65" t="n"/>
      <c r="AK84" s="68" t="n"/>
      <c r="AL84" s="8" t="n"/>
    </row>
    <row r="85" ht="20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6" t="inlineStr">
        <is>
          <t>TOTAL</t>
        </is>
      </c>
      <c r="J85" s="87" t="n"/>
      <c r="K85" s="87" t="n"/>
      <c r="L85" s="87" t="n"/>
      <c r="M85" s="87" t="n"/>
      <c r="N85" s="88">
        <f>SUM(N80:N84)</f>
        <v/>
      </c>
      <c r="O85" s="87" t="n"/>
      <c r="P85" s="87" t="n"/>
      <c r="Q85" s="87" t="n"/>
      <c r="R85" s="87" t="n"/>
      <c r="S85" s="89">
        <f>SUM(S80:S84)</f>
        <v/>
      </c>
      <c r="T85" s="87" t="n"/>
      <c r="U85" s="87" t="n"/>
      <c r="V85" s="87" t="n"/>
      <c r="W85" s="89">
        <f>SUM(W80:W84)</f>
        <v/>
      </c>
      <c r="X85" s="87" t="n"/>
      <c r="Y85" s="87" t="n"/>
      <c r="Z85" s="87" t="n"/>
      <c r="AA85" s="90" t="n"/>
      <c r="AB85" s="87" t="n"/>
      <c r="AC85" s="87" t="n"/>
      <c r="AD85" s="87" t="n"/>
      <c r="AE85" s="91">
        <f>SUM(AE80:AE84)</f>
        <v/>
      </c>
      <c r="AF85" s="87" t="n"/>
      <c r="AG85" s="87" t="n"/>
      <c r="AH85" s="87" t="n"/>
      <c r="AI85" s="87" t="n"/>
      <c r="AJ85" s="87" t="n"/>
      <c r="AK85" s="92" t="n"/>
      <c r="AL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</row>
  </sheetData>
  <mergeCells count="173">
    <mergeCell ref="AF54:AH54"/>
    <mergeCell ref="AA80:AD80"/>
    <mergeCell ref="S45:V45"/>
    <mergeCell ref="I51"/>
    <mergeCell ref="AC6:AF6"/>
    <mergeCell ref="I80:M80"/>
    <mergeCell ref="AE83:AK83"/>
    <mergeCell ref="AH7:AK7"/>
    <mergeCell ref="S54"/>
    <mergeCell ref="AA79:AD79"/>
    <mergeCell ref="AI54:AK54"/>
    <mergeCell ref="S79:V79"/>
    <mergeCell ref="O51:Q51"/>
    <mergeCell ref="AC50:AK50"/>
    <mergeCell ref="J53:K53"/>
    <mergeCell ref="S56"/>
    <mergeCell ref="O56:Q56"/>
    <mergeCell ref="AC45:AF45"/>
    <mergeCell ref="AA81:AD81"/>
    <mergeCell ref="AI56:AK56"/>
    <mergeCell ref="S81:V81"/>
    <mergeCell ref="V53:X53"/>
    <mergeCell ref="AC47:AF47"/>
    <mergeCell ref="T51:U51"/>
    <mergeCell ref="S7:V7"/>
    <mergeCell ref="N46:Q46"/>
    <mergeCell ref="I79:M79"/>
    <mergeCell ref="A2:AL2"/>
    <mergeCell ref="AC8:AF8"/>
    <mergeCell ref="I82:M82"/>
    <mergeCell ref="T56:U56"/>
    <mergeCell ref="I5:AK5"/>
    <mergeCell ref="X6:AA6"/>
    <mergeCell ref="N80:R80"/>
    <mergeCell ref="AH6:AK6"/>
    <mergeCell ref="S53"/>
    <mergeCell ref="AH46:AK46"/>
    <mergeCell ref="AA84:AD84"/>
    <mergeCell ref="S83:V83"/>
    <mergeCell ref="B14:G14"/>
    <mergeCell ref="B23:G23"/>
    <mergeCell ref="AD51:AE51"/>
    <mergeCell ref="S55"/>
    <mergeCell ref="B13:G13"/>
    <mergeCell ref="AH45:AK45"/>
    <mergeCell ref="AI55:AK55"/>
    <mergeCell ref="L51:N51"/>
    <mergeCell ref="AC51"/>
    <mergeCell ref="S85:V85"/>
    <mergeCell ref="T53:U53"/>
    <mergeCell ref="N81:R81"/>
    <mergeCell ref="V54:X54"/>
    <mergeCell ref="AB1:AF1"/>
    <mergeCell ref="AH47:AK47"/>
    <mergeCell ref="S47:V47"/>
    <mergeCell ref="T55:U55"/>
    <mergeCell ref="I6:L6"/>
    <mergeCell ref="O52:Q52"/>
    <mergeCell ref="I46:L46"/>
    <mergeCell ref="AE85:AK85"/>
    <mergeCell ref="S46:V46"/>
    <mergeCell ref="L52:N52"/>
    <mergeCell ref="X8:AA8"/>
    <mergeCell ref="AF52:AH52"/>
    <mergeCell ref="W80:Z80"/>
    <mergeCell ref="AH8:AK8"/>
    <mergeCell ref="N82:R82"/>
    <mergeCell ref="S50:AA50"/>
    <mergeCell ref="I7:L7"/>
    <mergeCell ref="V55:X55"/>
    <mergeCell ref="Y56:AA56"/>
    <mergeCell ref="B25:G25"/>
    <mergeCell ref="I53"/>
    <mergeCell ref="V52:X52"/>
    <mergeCell ref="J51:K51"/>
    <mergeCell ref="I55"/>
    <mergeCell ref="B3:AK3"/>
    <mergeCell ref="I52"/>
    <mergeCell ref="X45:AA45"/>
    <mergeCell ref="AD56:AE56"/>
    <mergeCell ref="AE84:AK84"/>
    <mergeCell ref="AA83:AD83"/>
    <mergeCell ref="N6:Q6"/>
    <mergeCell ref="W82:Z82"/>
    <mergeCell ref="L55:N55"/>
    <mergeCell ref="AI51:AK51"/>
    <mergeCell ref="AF55:AH55"/>
    <mergeCell ref="AA85:AD85"/>
    <mergeCell ref="X46:AA46"/>
    <mergeCell ref="V51:X51"/>
    <mergeCell ref="AC52"/>
    <mergeCell ref="AF51:AH51"/>
    <mergeCell ref="L54:N54"/>
    <mergeCell ref="T54:U54"/>
    <mergeCell ref="AE79:AK79"/>
    <mergeCell ref="I85:M85"/>
    <mergeCell ref="AA82:AD82"/>
    <mergeCell ref="D10:G10"/>
    <mergeCell ref="N7:Q7"/>
    <mergeCell ref="B15:G15"/>
    <mergeCell ref="AE81:AK81"/>
    <mergeCell ref="I45:L45"/>
    <mergeCell ref="F8:G8"/>
    <mergeCell ref="B24:G24"/>
    <mergeCell ref="W84:Z84"/>
    <mergeCell ref="L56:N56"/>
    <mergeCell ref="I54"/>
    <mergeCell ref="I50:Q50"/>
    <mergeCell ref="I47:L47"/>
    <mergeCell ref="B16:G16"/>
    <mergeCell ref="I56"/>
    <mergeCell ref="O53:Q53"/>
    <mergeCell ref="W79:Z79"/>
    <mergeCell ref="AD53:AE53"/>
    <mergeCell ref="N8:Q8"/>
    <mergeCell ref="AI53:AK53"/>
    <mergeCell ref="L53:N53"/>
    <mergeCell ref="Q1:Z1"/>
    <mergeCell ref="B18:G18"/>
    <mergeCell ref="AC54"/>
    <mergeCell ref="AF53:AH53"/>
    <mergeCell ref="W81:Z81"/>
    <mergeCell ref="J52:K52"/>
    <mergeCell ref="S6:V6"/>
    <mergeCell ref="N83:R83"/>
    <mergeCell ref="AD55:AE55"/>
    <mergeCell ref="AD52:AE52"/>
    <mergeCell ref="Y51:AA51"/>
    <mergeCell ref="S80:V80"/>
    <mergeCell ref="AC46:AF46"/>
    <mergeCell ref="I8:L8"/>
    <mergeCell ref="I81:M81"/>
    <mergeCell ref="O54:Q54"/>
    <mergeCell ref="AC56"/>
    <mergeCell ref="B17:G17"/>
    <mergeCell ref="N85:R85"/>
    <mergeCell ref="B19:G19"/>
    <mergeCell ref="AE80:AK80"/>
    <mergeCell ref="N45:Q45"/>
    <mergeCell ref="O55:Q55"/>
    <mergeCell ref="S51"/>
    <mergeCell ref="Y52:AA52"/>
    <mergeCell ref="AC7:AF7"/>
    <mergeCell ref="N47:Q47"/>
    <mergeCell ref="B8:C8"/>
    <mergeCell ref="J55:K55"/>
    <mergeCell ref="B20:G20"/>
    <mergeCell ref="S52"/>
    <mergeCell ref="W83:Z83"/>
    <mergeCell ref="J54:K54"/>
    <mergeCell ref="S8:V8"/>
    <mergeCell ref="AI52:AK52"/>
    <mergeCell ref="AD54:AE54"/>
    <mergeCell ref="X7:AA7"/>
    <mergeCell ref="Y53:AA53"/>
    <mergeCell ref="S82:V82"/>
    <mergeCell ref="V56:X56"/>
    <mergeCell ref="AC53"/>
    <mergeCell ref="AF56:AH56"/>
    <mergeCell ref="N84:R84"/>
    <mergeCell ref="I83:M83"/>
    <mergeCell ref="W85:Z85"/>
    <mergeCell ref="J56:K56"/>
    <mergeCell ref="D8:E8"/>
    <mergeCell ref="X47:AA47"/>
    <mergeCell ref="Y55:AA55"/>
    <mergeCell ref="T52:U52"/>
    <mergeCell ref="AC55"/>
    <mergeCell ref="AE82:AK82"/>
    <mergeCell ref="Y54:AA54"/>
    <mergeCell ref="I84:M84"/>
    <mergeCell ref="N79:R79"/>
    <mergeCell ref="S84:V84"/>
  </mergeCells>
  <conditionalFormatting sqref="Q1">
    <cfRule type="expression" priority="1" dxfId="0">
      <formula>LEFT(Q1,1)="⚠"</formula>
    </cfRule>
    <cfRule type="expression" priority="2" dxfId="1">
      <formula>LEFT(Q1,1)="●"</formula>
    </cfRule>
  </conditionalFormatting>
  <conditionalFormatting sqref="B24">
    <cfRule type="dataBar" priority="3">
      <dataBar showValue="0">
        <cfvo type="num" val="0"/>
        <cfvo type="num" val="1"/>
        <color rgb="00C9A43A"/>
      </dataBar>
    </cfRule>
  </conditionalFormatting>
  <conditionalFormatting sqref="S8">
    <cfRule type="cellIs" priority="4" operator="lessThan" dxfId="2">
      <formula>0</formula>
    </cfRule>
    <cfRule type="cellIs" priority="5" operator="greaterThan" dxfId="3">
      <formula>0</formula>
    </cfRule>
  </conditionalFormatting>
  <conditionalFormatting sqref="AH8">
    <cfRule type="cellIs" priority="6" operator="lessThan" dxfId="2">
      <formula>0</formula>
    </cfRule>
    <cfRule type="cellIs" priority="7" operator="greaterThan" dxfId="3">
      <formula>0</formula>
    </cfRule>
  </conditionalFormatting>
  <conditionalFormatting sqref="S7">
    <cfRule type="cellIs" priority="8" operator="lessThan" dxfId="4">
      <formula>0</formula>
    </cfRule>
    <cfRule type="cellIs" priority="9" operator="greaterThan" dxfId="5">
      <formula>0</formula>
    </cfRule>
  </conditionalFormatting>
  <conditionalFormatting sqref="AA80:AA84">
    <cfRule type="cellIs" priority="10" operator="lessThan" dxfId="2">
      <formula>0</formula>
    </cfRule>
    <cfRule type="cellIs" priority="11" operator="greaterThan" dxfId="3">
      <formula>0</formula>
    </cfRule>
  </conditionalFormatting>
  <conditionalFormatting sqref="V52:AA56">
    <cfRule type="cellIs" priority="12" operator="lessThan" dxfId="6">
      <formula>0</formula>
    </cfRule>
    <cfRule type="cellIs" priority="13" operator="greaterThan" dxfId="7">
      <formula>0</formula>
    </cfRule>
  </conditionalFormatting>
  <conditionalFormatting sqref="AF52:AK56">
    <cfRule type="cellIs" priority="14" operator="lessThan" dxfId="6">
      <formula>0</formula>
    </cfRule>
    <cfRule type="cellIs" priority="15" operator="greaterThan" dxfId="7">
      <formula>0</formula>
    </cfRule>
  </conditionalFormatting>
  <dataValidations count="1">
    <dataValidation sqref="D10" showDropDown="0" showInputMessage="0" showErrorMessage="0" allowBlank="0" type="list">
      <formula1>"Todos,AÇÃO,FII"</formula1>
    </dataValidation>
  </dataValidations>
  <hyperlinks>
    <hyperlink xmlns:r="http://schemas.openxmlformats.org/officeDocument/2006/relationships" ref="Q1" r:id="rId1"/>
    <hyperlink xmlns:r="http://schemas.openxmlformats.org/officeDocument/2006/relationships" ref="AB1" r:id="rId2"/>
    <hyperlink xmlns:r="http://schemas.openxmlformats.org/officeDocument/2006/relationships" ref="I5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</hyperlinks>
  <pageMargins left="0.75" right="0.75" top="1" bottom="1" header="0.5" footer="0.5"/>
  <pageSetup orientation="landscape" fitToHeight="0" fitToWidth="1"/>
  <rowBreaks count="1" manualBreakCount="1">
    <brk id="43" min="0" max="16383" man="1"/>
  </rowBreaks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0" customWidth="1" min="3" max="3"/>
    <col width="12" customWidth="1" min="4" max="4"/>
    <col width="15" customWidth="1" min="5" max="5"/>
    <col width="11" customWidth="1" min="6" max="6"/>
    <col width="15" customWidth="1" min="7" max="7"/>
    <col width="15" customWidth="1" min="8" max="8"/>
    <col width="11" customWidth="1" min="9" max="9"/>
    <col width="14" customWidth="1" min="10" max="10"/>
    <col width="13" customWidth="1" min="11" max="11"/>
    <col width="14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0" customWidth="1" min="18" max="18"/>
    <col width="15" customWidth="1" min="19" max="19"/>
    <col width="13" customWidth="1" min="20" max="20"/>
    <col width="13" customWidth="1" min="21" max="21"/>
    <col width="13" customWidth="1" min="22" max="22"/>
    <col width="10" customWidth="1" min="23" max="23"/>
    <col width="11" customWidth="1" min="24" max="24"/>
    <col width="11" customWidth="1" min="25" max="25"/>
    <col width="14" customWidth="1" min="26" max="26"/>
    <col width="12" customWidth="1" min="27" max="27"/>
    <col width="22" customWidth="1" min="28" max="28"/>
    <col hidden="1" width="8" customWidth="1" min="29" max="29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Carteira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Cada ação/FII em uma linha só: posição, proventos, peso e meta de renda — calculado, não digite aqui.</t>
        </is>
      </c>
    </row>
    <row r="4" ht="32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Qtd atual</t>
        </is>
      </c>
      <c r="D4" s="94" t="inlineStr">
        <is>
          <t>Preço médio (R$)</t>
        </is>
      </c>
      <c r="E4" s="94" t="inlineStr">
        <is>
          <t>Valor investido (R$)</t>
        </is>
      </c>
      <c r="F4" s="94" t="inlineStr">
        <is>
          <t>Cotação (R$)</t>
        </is>
      </c>
      <c r="G4" s="94" t="inlineStr">
        <is>
          <t>Posição atual (R$)</t>
        </is>
      </c>
      <c r="H4" s="94" t="inlineStr">
        <is>
          <t>Lucro / prejuízo (R$)</t>
        </is>
      </c>
      <c r="I4" s="94" t="inlineStr">
        <is>
          <t>Valorização</t>
        </is>
      </c>
      <c r="J4" s="94" t="inlineStr">
        <is>
          <t>Proventos recebidos (R$)</t>
        </is>
      </c>
      <c r="K4" s="94" t="inlineStr">
        <is>
          <t>Proventos 12m (R$)</t>
        </is>
      </c>
      <c r="L4" s="94" t="inlineStr">
        <is>
          <t>Retorno total (R$)</t>
        </is>
      </c>
      <c r="M4" s="94" t="inlineStr">
        <is>
          <t>Retorno total %</t>
        </is>
      </c>
      <c r="N4" s="94" t="inlineStr">
        <is>
          <t>Yield on cost</t>
        </is>
      </c>
      <c r="O4" s="94" t="inlineStr">
        <is>
          <t>DY atual</t>
        </is>
      </c>
      <c r="P4" s="94" t="inlineStr">
        <is>
          <t>Peso atual</t>
        </is>
      </c>
      <c r="Q4" s="94" t="inlineStr">
        <is>
          <t>Peso ideal</t>
        </is>
      </c>
      <c r="R4" s="94" t="inlineStr">
        <is>
          <t>Desvio do peso</t>
        </is>
      </c>
      <c r="S4" s="94" t="inlineStr">
        <is>
          <t>Aporte p/ peso ideal (R$)</t>
        </is>
      </c>
      <c r="T4" s="94" t="inlineStr">
        <is>
          <t>Provento 12m por cota (R$)</t>
        </is>
      </c>
      <c r="U4" s="94" t="inlineStr">
        <is>
          <t>Provento mensal por cota (R$)</t>
        </is>
      </c>
      <c r="V4" s="94" t="inlineStr">
        <is>
          <t>Renda mensal (R$)</t>
        </is>
      </c>
      <c r="W4" s="94" t="inlineStr">
        <is>
          <t>% da meta</t>
        </is>
      </c>
      <c r="X4" s="94" t="inlineStr">
        <is>
          <t>Cotas p/ meta</t>
        </is>
      </c>
      <c r="Y4" s="94" t="inlineStr">
        <is>
          <t>Cotas faltantes</t>
        </is>
      </c>
      <c r="Z4" s="94" t="inlineStr">
        <is>
          <t>Aporte p/ meta (R$)</t>
        </is>
      </c>
      <c r="AA4" s="94" t="inlineStr">
        <is>
          <t>Meses p/ meta</t>
        </is>
      </c>
      <c r="AB4" s="94" t="inlineStr">
        <is>
          <t>Segmento</t>
        </is>
      </c>
      <c r="AC4" s="94" t="inlineStr">
        <is>
          <t>No filtro</t>
        </is>
      </c>
    </row>
    <row r="5">
      <c r="A5" s="95">
        <f>IF(Ativos!A5="","",Ativos!A5)</f>
        <v/>
      </c>
      <c r="B5" s="95">
        <f>IF(Ativos!B5="","",Ativos!B5)</f>
        <v/>
      </c>
      <c r="C5" s="96">
        <f>SUMIFS('Lançamentos'!$D$5:$D$5000,'Lançamentos'!$B$5:$B$5000,A5,'Lançamentos'!$C$5:$C$5000,"COMPRA")-SUMIFS('Lançamentos'!$D$5:$D$5000,'Lançamentos'!$B$5:$B$5000,A5,'Lançamentos'!$C$5:$C$5000,"VENDA")</f>
        <v/>
      </c>
      <c r="D5" s="97">
        <f>IFERROR(SUMIFS('Lançamentos'!$G$5:$G$5000,'Lançamentos'!$B$5:$B$5000,A5,'Lançamentos'!$C$5:$C$5000,"COMPRA")/SUMIFS('Lançamentos'!$D$5:$D$5000,'Lançamentos'!$B$5:$B$5000,A5,'Lançamentos'!$C$5:$C$5000,"COMPRA"),0)</f>
        <v/>
      </c>
      <c r="E5" s="97">
        <f>C5*D5</f>
        <v/>
      </c>
      <c r="F5" s="98">
        <f>N(Ativos!D5)</f>
        <v/>
      </c>
      <c r="G5" s="97">
        <f>C5*F5</f>
        <v/>
      </c>
      <c r="H5" s="97">
        <f>G5-E5</f>
        <v/>
      </c>
      <c r="I5" s="99">
        <f>IF(E5&gt;0,H5/E5,0)</f>
        <v/>
      </c>
      <c r="J5" s="97">
        <f>SUMIFS(Proventos!$F$5:$F$5000,Proventos!$B$5:$B$5000,A5)</f>
        <v/>
      </c>
      <c r="K5" s="97">
        <f>SUMIFS(Proventos!$F$5:$F$5000,Proventos!$B$5:$B$5000,A5,Proventos!$A$5:$A$5000,"&gt;="&amp;(TODAY()-365))</f>
        <v/>
      </c>
      <c r="L5" s="97">
        <f>H5+J5</f>
        <v/>
      </c>
      <c r="M5" s="99">
        <f>IF(E5&gt;0,L5/E5,0)</f>
        <v/>
      </c>
      <c r="N5" s="99">
        <f>IF(D5&gt;0,T5/D5,0)</f>
        <v/>
      </c>
      <c r="O5" s="99">
        <f>IF(F5&gt;0,T5/F5,0)</f>
        <v/>
      </c>
      <c r="P5" s="99">
        <f>IF($G$36&gt;0,G5/$G$36,0)</f>
        <v/>
      </c>
      <c r="Q5" s="100">
        <f>N(Ativos!F5)</f>
        <v/>
      </c>
      <c r="R5" s="99">
        <f>P5-Q5</f>
        <v/>
      </c>
      <c r="S5" s="97">
        <f>MAX(0,Q5*$G$36-G5)</f>
        <v/>
      </c>
      <c r="T5" s="98">
        <f>N(Ativos!E5)</f>
        <v/>
      </c>
      <c r="U5" s="101">
        <f>T5/12</f>
        <v/>
      </c>
      <c r="V5" s="97">
        <f>C5*U5</f>
        <v/>
      </c>
      <c r="W5" s="99">
        <f>IF(META_MENSAL&gt;0,MIN(1,V5/META_MENSAL),0)</f>
        <v/>
      </c>
      <c r="X5" s="96">
        <f>IF(U5&gt;0,ROUNDUP(META_MENSAL/U5,0),0)</f>
        <v/>
      </c>
      <c r="Y5" s="96">
        <f>MAX(0,X5-C5)</f>
        <v/>
      </c>
      <c r="Z5" s="102">
        <f>Y5*F5</f>
        <v/>
      </c>
      <c r="AA5" s="103">
        <f>IF(APORTE_MENSAL&gt;0,ROUNDUP(Z5/APORTE_MENSAL,0),0)</f>
        <v/>
      </c>
      <c r="AB5" s="95">
        <f>IF(Ativos!C5="","",Ativos!C5)</f>
        <v/>
      </c>
      <c r="AC5" s="104">
        <f>IF(A5="",0,IF(OR(FILTRO_TIPO="Todos",B5=FILTRO_TIPO),1,0))</f>
        <v/>
      </c>
    </row>
    <row r="6">
      <c r="A6" s="105">
        <f>IF(Ativos!A6="","",Ativos!A6)</f>
        <v/>
      </c>
      <c r="B6" s="105">
        <f>IF(Ativos!B6="","",Ativos!B6)</f>
        <v/>
      </c>
      <c r="C6" s="106">
        <f>SUMIFS('Lançamentos'!$D$5:$D$5000,'Lançamentos'!$B$5:$B$5000,A6,'Lançamentos'!$C$5:$C$5000,"COMPRA")-SUMIFS('Lançamentos'!$D$5:$D$5000,'Lançamentos'!$B$5:$B$5000,A6,'Lançamentos'!$C$5:$C$5000,"VENDA")</f>
        <v/>
      </c>
      <c r="D6" s="107">
        <f>IFERROR(SUMIFS('Lançamentos'!$G$5:$G$5000,'Lançamentos'!$B$5:$B$5000,A6,'Lançamentos'!$C$5:$C$5000,"COMPRA")/SUMIFS('Lançamentos'!$D$5:$D$5000,'Lançamentos'!$B$5:$B$5000,A6,'Lançamentos'!$C$5:$C$5000,"COMPRA"),0)</f>
        <v/>
      </c>
      <c r="E6" s="107">
        <f>C6*D6</f>
        <v/>
      </c>
      <c r="F6" s="108">
        <f>N(Ativos!D6)</f>
        <v/>
      </c>
      <c r="G6" s="107">
        <f>C6*F6</f>
        <v/>
      </c>
      <c r="H6" s="107">
        <f>G6-E6</f>
        <v/>
      </c>
      <c r="I6" s="109">
        <f>IF(E6&gt;0,H6/E6,0)</f>
        <v/>
      </c>
      <c r="J6" s="107">
        <f>SUMIFS(Proventos!$F$5:$F$5000,Proventos!$B$5:$B$5000,A6)</f>
        <v/>
      </c>
      <c r="K6" s="107">
        <f>SUMIFS(Proventos!$F$5:$F$5000,Proventos!$B$5:$B$5000,A6,Proventos!$A$5:$A$5000,"&gt;="&amp;(TODAY()-365))</f>
        <v/>
      </c>
      <c r="L6" s="107">
        <f>H6+J6</f>
        <v/>
      </c>
      <c r="M6" s="109">
        <f>IF(E6&gt;0,L6/E6,0)</f>
        <v/>
      </c>
      <c r="N6" s="109">
        <f>IF(D6&gt;0,T6/D6,0)</f>
        <v/>
      </c>
      <c r="O6" s="109">
        <f>IF(F6&gt;0,T6/F6,0)</f>
        <v/>
      </c>
      <c r="P6" s="109">
        <f>IF($G$36&gt;0,G6/$G$36,0)</f>
        <v/>
      </c>
      <c r="Q6" s="110">
        <f>N(Ativos!F6)</f>
        <v/>
      </c>
      <c r="R6" s="109">
        <f>P6-Q6</f>
        <v/>
      </c>
      <c r="S6" s="107">
        <f>MAX(0,Q6*$G$36-G6)</f>
        <v/>
      </c>
      <c r="T6" s="108">
        <f>N(Ativos!E6)</f>
        <v/>
      </c>
      <c r="U6" s="111">
        <f>T6/12</f>
        <v/>
      </c>
      <c r="V6" s="107">
        <f>C6*U6</f>
        <v/>
      </c>
      <c r="W6" s="109">
        <f>IF(META_MENSAL&gt;0,MIN(1,V6/META_MENSAL),0)</f>
        <v/>
      </c>
      <c r="X6" s="106">
        <f>IF(U6&gt;0,ROUNDUP(META_MENSAL/U6,0),0)</f>
        <v/>
      </c>
      <c r="Y6" s="106">
        <f>MAX(0,X6-C6)</f>
        <v/>
      </c>
      <c r="Z6" s="112">
        <f>Y6*F6</f>
        <v/>
      </c>
      <c r="AA6" s="113">
        <f>IF(APORTE_MENSAL&gt;0,ROUNDUP(Z6/APORTE_MENSAL,0),0)</f>
        <v/>
      </c>
      <c r="AB6" s="105">
        <f>IF(Ativos!C6="","",Ativos!C6)</f>
        <v/>
      </c>
      <c r="AC6" s="114">
        <f>IF(A6="",0,IF(OR(FILTRO_TIPO="Todos",B6=FILTRO_TIPO),1,0))</f>
        <v/>
      </c>
    </row>
    <row r="7">
      <c r="A7" s="95">
        <f>IF(Ativos!A7="","",Ativos!A7)</f>
        <v/>
      </c>
      <c r="B7" s="95">
        <f>IF(Ativos!B7="","",Ativos!B7)</f>
        <v/>
      </c>
      <c r="C7" s="96">
        <f>SUMIFS('Lançamentos'!$D$5:$D$5000,'Lançamentos'!$B$5:$B$5000,A7,'Lançamentos'!$C$5:$C$5000,"COMPRA")-SUMIFS('Lançamentos'!$D$5:$D$5000,'Lançamentos'!$B$5:$B$5000,A7,'Lançamentos'!$C$5:$C$5000,"VENDA")</f>
        <v/>
      </c>
      <c r="D7" s="97">
        <f>IFERROR(SUMIFS('Lançamentos'!$G$5:$G$5000,'Lançamentos'!$B$5:$B$5000,A7,'Lançamentos'!$C$5:$C$5000,"COMPRA")/SUMIFS('Lançamentos'!$D$5:$D$5000,'Lançamentos'!$B$5:$B$5000,A7,'Lançamentos'!$C$5:$C$5000,"COMPRA"),0)</f>
        <v/>
      </c>
      <c r="E7" s="97">
        <f>C7*D7</f>
        <v/>
      </c>
      <c r="F7" s="98">
        <f>N(Ativos!D7)</f>
        <v/>
      </c>
      <c r="G7" s="97">
        <f>C7*F7</f>
        <v/>
      </c>
      <c r="H7" s="97">
        <f>G7-E7</f>
        <v/>
      </c>
      <c r="I7" s="99">
        <f>IF(E7&gt;0,H7/E7,0)</f>
        <v/>
      </c>
      <c r="J7" s="97">
        <f>SUMIFS(Proventos!$F$5:$F$5000,Proventos!$B$5:$B$5000,A7)</f>
        <v/>
      </c>
      <c r="K7" s="97">
        <f>SUMIFS(Proventos!$F$5:$F$5000,Proventos!$B$5:$B$5000,A7,Proventos!$A$5:$A$5000,"&gt;="&amp;(TODAY()-365))</f>
        <v/>
      </c>
      <c r="L7" s="97">
        <f>H7+J7</f>
        <v/>
      </c>
      <c r="M7" s="99">
        <f>IF(E7&gt;0,L7/E7,0)</f>
        <v/>
      </c>
      <c r="N7" s="99">
        <f>IF(D7&gt;0,T7/D7,0)</f>
        <v/>
      </c>
      <c r="O7" s="99">
        <f>IF(F7&gt;0,T7/F7,0)</f>
        <v/>
      </c>
      <c r="P7" s="99">
        <f>IF($G$36&gt;0,G7/$G$36,0)</f>
        <v/>
      </c>
      <c r="Q7" s="100">
        <f>N(Ativos!F7)</f>
        <v/>
      </c>
      <c r="R7" s="99">
        <f>P7-Q7</f>
        <v/>
      </c>
      <c r="S7" s="97">
        <f>MAX(0,Q7*$G$36-G7)</f>
        <v/>
      </c>
      <c r="T7" s="98">
        <f>N(Ativos!E7)</f>
        <v/>
      </c>
      <c r="U7" s="101">
        <f>T7/12</f>
        <v/>
      </c>
      <c r="V7" s="97">
        <f>C7*U7</f>
        <v/>
      </c>
      <c r="W7" s="99">
        <f>IF(META_MENSAL&gt;0,MIN(1,V7/META_MENSAL),0)</f>
        <v/>
      </c>
      <c r="X7" s="96">
        <f>IF(U7&gt;0,ROUNDUP(META_MENSAL/U7,0),0)</f>
        <v/>
      </c>
      <c r="Y7" s="96">
        <f>MAX(0,X7-C7)</f>
        <v/>
      </c>
      <c r="Z7" s="102">
        <f>Y7*F7</f>
        <v/>
      </c>
      <c r="AA7" s="103">
        <f>IF(APORTE_MENSAL&gt;0,ROUNDUP(Z7/APORTE_MENSAL,0),0)</f>
        <v/>
      </c>
      <c r="AB7" s="95">
        <f>IF(Ativos!C7="","",Ativos!C7)</f>
        <v/>
      </c>
      <c r="AC7" s="104">
        <f>IF(A7="",0,IF(OR(FILTRO_TIPO="Todos",B7=FILTRO_TIPO),1,0))</f>
        <v/>
      </c>
    </row>
    <row r="8">
      <c r="A8" s="105">
        <f>IF(Ativos!A8="","",Ativos!A8)</f>
        <v/>
      </c>
      <c r="B8" s="105">
        <f>IF(Ativos!B8="","",Ativos!B8)</f>
        <v/>
      </c>
      <c r="C8" s="106">
        <f>SUMIFS('Lançamentos'!$D$5:$D$5000,'Lançamentos'!$B$5:$B$5000,A8,'Lançamentos'!$C$5:$C$5000,"COMPRA")-SUMIFS('Lançamentos'!$D$5:$D$5000,'Lançamentos'!$B$5:$B$5000,A8,'Lançamentos'!$C$5:$C$5000,"VENDA")</f>
        <v/>
      </c>
      <c r="D8" s="107">
        <f>IFERROR(SUMIFS('Lançamentos'!$G$5:$G$5000,'Lançamentos'!$B$5:$B$5000,A8,'Lançamentos'!$C$5:$C$5000,"COMPRA")/SUMIFS('Lançamentos'!$D$5:$D$5000,'Lançamentos'!$B$5:$B$5000,A8,'Lançamentos'!$C$5:$C$5000,"COMPRA"),0)</f>
        <v/>
      </c>
      <c r="E8" s="107">
        <f>C8*D8</f>
        <v/>
      </c>
      <c r="F8" s="108">
        <f>N(Ativos!D8)</f>
        <v/>
      </c>
      <c r="G8" s="107">
        <f>C8*F8</f>
        <v/>
      </c>
      <c r="H8" s="107">
        <f>G8-E8</f>
        <v/>
      </c>
      <c r="I8" s="109">
        <f>IF(E8&gt;0,H8/E8,0)</f>
        <v/>
      </c>
      <c r="J8" s="107">
        <f>SUMIFS(Proventos!$F$5:$F$5000,Proventos!$B$5:$B$5000,A8)</f>
        <v/>
      </c>
      <c r="K8" s="107">
        <f>SUMIFS(Proventos!$F$5:$F$5000,Proventos!$B$5:$B$5000,A8,Proventos!$A$5:$A$5000,"&gt;="&amp;(TODAY()-365))</f>
        <v/>
      </c>
      <c r="L8" s="107">
        <f>H8+J8</f>
        <v/>
      </c>
      <c r="M8" s="109">
        <f>IF(E8&gt;0,L8/E8,0)</f>
        <v/>
      </c>
      <c r="N8" s="109">
        <f>IF(D8&gt;0,T8/D8,0)</f>
        <v/>
      </c>
      <c r="O8" s="109">
        <f>IF(F8&gt;0,T8/F8,0)</f>
        <v/>
      </c>
      <c r="P8" s="109">
        <f>IF($G$36&gt;0,G8/$G$36,0)</f>
        <v/>
      </c>
      <c r="Q8" s="110">
        <f>N(Ativos!F8)</f>
        <v/>
      </c>
      <c r="R8" s="109">
        <f>P8-Q8</f>
        <v/>
      </c>
      <c r="S8" s="107">
        <f>MAX(0,Q8*$G$36-G8)</f>
        <v/>
      </c>
      <c r="T8" s="108">
        <f>N(Ativos!E8)</f>
        <v/>
      </c>
      <c r="U8" s="111">
        <f>T8/12</f>
        <v/>
      </c>
      <c r="V8" s="107">
        <f>C8*U8</f>
        <v/>
      </c>
      <c r="W8" s="109">
        <f>IF(META_MENSAL&gt;0,MIN(1,V8/META_MENSAL),0)</f>
        <v/>
      </c>
      <c r="X8" s="106">
        <f>IF(U8&gt;0,ROUNDUP(META_MENSAL/U8,0),0)</f>
        <v/>
      </c>
      <c r="Y8" s="106">
        <f>MAX(0,X8-C8)</f>
        <v/>
      </c>
      <c r="Z8" s="112">
        <f>Y8*F8</f>
        <v/>
      </c>
      <c r="AA8" s="113">
        <f>IF(APORTE_MENSAL&gt;0,ROUNDUP(Z8/APORTE_MENSAL,0),0)</f>
        <v/>
      </c>
      <c r="AB8" s="105">
        <f>IF(Ativos!C8="","",Ativos!C8)</f>
        <v/>
      </c>
      <c r="AC8" s="114">
        <f>IF(A8="",0,IF(OR(FILTRO_TIPO="Todos",B8=FILTRO_TIPO),1,0))</f>
        <v/>
      </c>
    </row>
    <row r="9">
      <c r="A9" s="95">
        <f>IF(Ativos!A9="","",Ativos!A9)</f>
        <v/>
      </c>
      <c r="B9" s="95">
        <f>IF(Ativos!B9="","",Ativos!B9)</f>
        <v/>
      </c>
      <c r="C9" s="96">
        <f>SUMIFS('Lançamentos'!$D$5:$D$5000,'Lançamentos'!$B$5:$B$5000,A9,'Lançamentos'!$C$5:$C$5000,"COMPRA")-SUMIFS('Lançamentos'!$D$5:$D$5000,'Lançamentos'!$B$5:$B$5000,A9,'Lançamentos'!$C$5:$C$5000,"VENDA")</f>
        <v/>
      </c>
      <c r="D9" s="97">
        <f>IFERROR(SUMIFS('Lançamentos'!$G$5:$G$5000,'Lançamentos'!$B$5:$B$5000,A9,'Lançamentos'!$C$5:$C$5000,"COMPRA")/SUMIFS('Lançamentos'!$D$5:$D$5000,'Lançamentos'!$B$5:$B$5000,A9,'Lançamentos'!$C$5:$C$5000,"COMPRA"),0)</f>
        <v/>
      </c>
      <c r="E9" s="97">
        <f>C9*D9</f>
        <v/>
      </c>
      <c r="F9" s="98">
        <f>N(Ativos!D9)</f>
        <v/>
      </c>
      <c r="G9" s="97">
        <f>C9*F9</f>
        <v/>
      </c>
      <c r="H9" s="97">
        <f>G9-E9</f>
        <v/>
      </c>
      <c r="I9" s="99">
        <f>IF(E9&gt;0,H9/E9,0)</f>
        <v/>
      </c>
      <c r="J9" s="97">
        <f>SUMIFS(Proventos!$F$5:$F$5000,Proventos!$B$5:$B$5000,A9)</f>
        <v/>
      </c>
      <c r="K9" s="97">
        <f>SUMIFS(Proventos!$F$5:$F$5000,Proventos!$B$5:$B$5000,A9,Proventos!$A$5:$A$5000,"&gt;="&amp;(TODAY()-365))</f>
        <v/>
      </c>
      <c r="L9" s="97">
        <f>H9+J9</f>
        <v/>
      </c>
      <c r="M9" s="99">
        <f>IF(E9&gt;0,L9/E9,0)</f>
        <v/>
      </c>
      <c r="N9" s="99">
        <f>IF(D9&gt;0,T9/D9,0)</f>
        <v/>
      </c>
      <c r="O9" s="99">
        <f>IF(F9&gt;0,T9/F9,0)</f>
        <v/>
      </c>
      <c r="P9" s="99">
        <f>IF($G$36&gt;0,G9/$G$36,0)</f>
        <v/>
      </c>
      <c r="Q9" s="100">
        <f>N(Ativos!F9)</f>
        <v/>
      </c>
      <c r="R9" s="99">
        <f>P9-Q9</f>
        <v/>
      </c>
      <c r="S9" s="97">
        <f>MAX(0,Q9*$G$36-G9)</f>
        <v/>
      </c>
      <c r="T9" s="98">
        <f>N(Ativos!E9)</f>
        <v/>
      </c>
      <c r="U9" s="101">
        <f>T9/12</f>
        <v/>
      </c>
      <c r="V9" s="97">
        <f>C9*U9</f>
        <v/>
      </c>
      <c r="W9" s="99">
        <f>IF(META_MENSAL&gt;0,MIN(1,V9/META_MENSAL),0)</f>
        <v/>
      </c>
      <c r="X9" s="96">
        <f>IF(U9&gt;0,ROUNDUP(META_MENSAL/U9,0),0)</f>
        <v/>
      </c>
      <c r="Y9" s="96">
        <f>MAX(0,X9-C9)</f>
        <v/>
      </c>
      <c r="Z9" s="102">
        <f>Y9*F9</f>
        <v/>
      </c>
      <c r="AA9" s="103">
        <f>IF(APORTE_MENSAL&gt;0,ROUNDUP(Z9/APORTE_MENSAL,0),0)</f>
        <v/>
      </c>
      <c r="AB9" s="95">
        <f>IF(Ativos!C9="","",Ativos!C9)</f>
        <v/>
      </c>
      <c r="AC9" s="104">
        <f>IF(A9="",0,IF(OR(FILTRO_TIPO="Todos",B9=FILTRO_TIPO),1,0))</f>
        <v/>
      </c>
    </row>
    <row r="10">
      <c r="A10" s="105">
        <f>IF(Ativos!A10="","",Ativos!A10)</f>
        <v/>
      </c>
      <c r="B10" s="105">
        <f>IF(Ativos!B10="","",Ativos!B10)</f>
        <v/>
      </c>
      <c r="C10" s="106">
        <f>SUMIFS('Lançamentos'!$D$5:$D$5000,'Lançamentos'!$B$5:$B$5000,A10,'Lançamentos'!$C$5:$C$5000,"COMPRA")-SUMIFS('Lançamentos'!$D$5:$D$5000,'Lançamentos'!$B$5:$B$5000,A10,'Lançamentos'!$C$5:$C$5000,"VENDA")</f>
        <v/>
      </c>
      <c r="D10" s="107">
        <f>IFERROR(SUMIFS('Lançamentos'!$G$5:$G$5000,'Lançamentos'!$B$5:$B$5000,A10,'Lançamentos'!$C$5:$C$5000,"COMPRA")/SUMIFS('Lançamentos'!$D$5:$D$5000,'Lançamentos'!$B$5:$B$5000,A10,'Lançamentos'!$C$5:$C$5000,"COMPRA"),0)</f>
        <v/>
      </c>
      <c r="E10" s="107">
        <f>C10*D10</f>
        <v/>
      </c>
      <c r="F10" s="108">
        <f>N(Ativos!D10)</f>
        <v/>
      </c>
      <c r="G10" s="107">
        <f>C10*F10</f>
        <v/>
      </c>
      <c r="H10" s="107">
        <f>G10-E10</f>
        <v/>
      </c>
      <c r="I10" s="109">
        <f>IF(E10&gt;0,H10/E10,0)</f>
        <v/>
      </c>
      <c r="J10" s="107">
        <f>SUMIFS(Proventos!$F$5:$F$5000,Proventos!$B$5:$B$5000,A10)</f>
        <v/>
      </c>
      <c r="K10" s="107">
        <f>SUMIFS(Proventos!$F$5:$F$5000,Proventos!$B$5:$B$5000,A10,Proventos!$A$5:$A$5000,"&gt;="&amp;(TODAY()-365))</f>
        <v/>
      </c>
      <c r="L10" s="107">
        <f>H10+J10</f>
        <v/>
      </c>
      <c r="M10" s="109">
        <f>IF(E10&gt;0,L10/E10,0)</f>
        <v/>
      </c>
      <c r="N10" s="109">
        <f>IF(D10&gt;0,T10/D10,0)</f>
        <v/>
      </c>
      <c r="O10" s="109">
        <f>IF(F10&gt;0,T10/F10,0)</f>
        <v/>
      </c>
      <c r="P10" s="109">
        <f>IF($G$36&gt;0,G10/$G$36,0)</f>
        <v/>
      </c>
      <c r="Q10" s="110">
        <f>N(Ativos!F10)</f>
        <v/>
      </c>
      <c r="R10" s="109">
        <f>P10-Q10</f>
        <v/>
      </c>
      <c r="S10" s="107">
        <f>MAX(0,Q10*$G$36-G10)</f>
        <v/>
      </c>
      <c r="T10" s="108">
        <f>N(Ativos!E10)</f>
        <v/>
      </c>
      <c r="U10" s="111">
        <f>T10/12</f>
        <v/>
      </c>
      <c r="V10" s="107">
        <f>C10*U10</f>
        <v/>
      </c>
      <c r="W10" s="109">
        <f>IF(META_MENSAL&gt;0,MIN(1,V10/META_MENSAL),0)</f>
        <v/>
      </c>
      <c r="X10" s="106">
        <f>IF(U10&gt;0,ROUNDUP(META_MENSAL/U10,0),0)</f>
        <v/>
      </c>
      <c r="Y10" s="106">
        <f>MAX(0,X10-C10)</f>
        <v/>
      </c>
      <c r="Z10" s="112">
        <f>Y10*F10</f>
        <v/>
      </c>
      <c r="AA10" s="113">
        <f>IF(APORTE_MENSAL&gt;0,ROUNDUP(Z10/APORTE_MENSAL,0),0)</f>
        <v/>
      </c>
      <c r="AB10" s="105">
        <f>IF(Ativos!C10="","",Ativos!C10)</f>
        <v/>
      </c>
      <c r="AC10" s="114">
        <f>IF(A10="",0,IF(OR(FILTRO_TIPO="Todos",B10=FILTRO_TIPO),1,0))</f>
        <v/>
      </c>
    </row>
    <row r="11">
      <c r="A11" s="95">
        <f>IF(Ativos!A11="","",Ativos!A11)</f>
        <v/>
      </c>
      <c r="B11" s="95">
        <f>IF(Ativos!B11="","",Ativos!B11)</f>
        <v/>
      </c>
      <c r="C11" s="96">
        <f>SUMIFS('Lançamentos'!$D$5:$D$5000,'Lançamentos'!$B$5:$B$5000,A11,'Lançamentos'!$C$5:$C$5000,"COMPRA")-SUMIFS('Lançamentos'!$D$5:$D$5000,'Lançamentos'!$B$5:$B$5000,A11,'Lançamentos'!$C$5:$C$5000,"VENDA")</f>
        <v/>
      </c>
      <c r="D11" s="97">
        <f>IFERROR(SUMIFS('Lançamentos'!$G$5:$G$5000,'Lançamentos'!$B$5:$B$5000,A11,'Lançamentos'!$C$5:$C$5000,"COMPRA")/SUMIFS('Lançamentos'!$D$5:$D$5000,'Lançamentos'!$B$5:$B$5000,A11,'Lançamentos'!$C$5:$C$5000,"COMPRA"),0)</f>
        <v/>
      </c>
      <c r="E11" s="97">
        <f>C11*D11</f>
        <v/>
      </c>
      <c r="F11" s="98">
        <f>N(Ativos!D11)</f>
        <v/>
      </c>
      <c r="G11" s="97">
        <f>C11*F11</f>
        <v/>
      </c>
      <c r="H11" s="97">
        <f>G11-E11</f>
        <v/>
      </c>
      <c r="I11" s="99">
        <f>IF(E11&gt;0,H11/E11,0)</f>
        <v/>
      </c>
      <c r="J11" s="97">
        <f>SUMIFS(Proventos!$F$5:$F$5000,Proventos!$B$5:$B$5000,A11)</f>
        <v/>
      </c>
      <c r="K11" s="97">
        <f>SUMIFS(Proventos!$F$5:$F$5000,Proventos!$B$5:$B$5000,A11,Proventos!$A$5:$A$5000,"&gt;="&amp;(TODAY()-365))</f>
        <v/>
      </c>
      <c r="L11" s="97">
        <f>H11+J11</f>
        <v/>
      </c>
      <c r="M11" s="99">
        <f>IF(E11&gt;0,L11/E11,0)</f>
        <v/>
      </c>
      <c r="N11" s="99">
        <f>IF(D11&gt;0,T11/D11,0)</f>
        <v/>
      </c>
      <c r="O11" s="99">
        <f>IF(F11&gt;0,T11/F11,0)</f>
        <v/>
      </c>
      <c r="P11" s="99">
        <f>IF($G$36&gt;0,G11/$G$36,0)</f>
        <v/>
      </c>
      <c r="Q11" s="100">
        <f>N(Ativos!F11)</f>
        <v/>
      </c>
      <c r="R11" s="99">
        <f>P11-Q11</f>
        <v/>
      </c>
      <c r="S11" s="97">
        <f>MAX(0,Q11*$G$36-G11)</f>
        <v/>
      </c>
      <c r="T11" s="98">
        <f>N(Ativos!E11)</f>
        <v/>
      </c>
      <c r="U11" s="101">
        <f>T11/12</f>
        <v/>
      </c>
      <c r="V11" s="97">
        <f>C11*U11</f>
        <v/>
      </c>
      <c r="W11" s="99">
        <f>IF(META_MENSAL&gt;0,MIN(1,V11/META_MENSAL),0)</f>
        <v/>
      </c>
      <c r="X11" s="96">
        <f>IF(U11&gt;0,ROUNDUP(META_MENSAL/U11,0),0)</f>
        <v/>
      </c>
      <c r="Y11" s="96">
        <f>MAX(0,X11-C11)</f>
        <v/>
      </c>
      <c r="Z11" s="102">
        <f>Y11*F11</f>
        <v/>
      </c>
      <c r="AA11" s="103">
        <f>IF(APORTE_MENSAL&gt;0,ROUNDUP(Z11/APORTE_MENSAL,0),0)</f>
        <v/>
      </c>
      <c r="AB11" s="95">
        <f>IF(Ativos!C11="","",Ativos!C11)</f>
        <v/>
      </c>
      <c r="AC11" s="104">
        <f>IF(A11="",0,IF(OR(FILTRO_TIPO="Todos",B11=FILTRO_TIPO),1,0))</f>
        <v/>
      </c>
    </row>
    <row r="12">
      <c r="A12" s="105">
        <f>IF(Ativos!A12="","",Ativos!A12)</f>
        <v/>
      </c>
      <c r="B12" s="105">
        <f>IF(Ativos!B12="","",Ativos!B12)</f>
        <v/>
      </c>
      <c r="C12" s="106">
        <f>SUMIFS('Lançamentos'!$D$5:$D$5000,'Lançamentos'!$B$5:$B$5000,A12,'Lançamentos'!$C$5:$C$5000,"COMPRA")-SUMIFS('Lançamentos'!$D$5:$D$5000,'Lançamentos'!$B$5:$B$5000,A12,'Lançamentos'!$C$5:$C$5000,"VENDA")</f>
        <v/>
      </c>
      <c r="D12" s="107">
        <f>IFERROR(SUMIFS('Lançamentos'!$G$5:$G$5000,'Lançamentos'!$B$5:$B$5000,A12,'Lançamentos'!$C$5:$C$5000,"COMPRA")/SUMIFS('Lançamentos'!$D$5:$D$5000,'Lançamentos'!$B$5:$B$5000,A12,'Lançamentos'!$C$5:$C$5000,"COMPRA"),0)</f>
        <v/>
      </c>
      <c r="E12" s="107">
        <f>C12*D12</f>
        <v/>
      </c>
      <c r="F12" s="108">
        <f>N(Ativos!D12)</f>
        <v/>
      </c>
      <c r="G12" s="107">
        <f>C12*F12</f>
        <v/>
      </c>
      <c r="H12" s="107">
        <f>G12-E12</f>
        <v/>
      </c>
      <c r="I12" s="109">
        <f>IF(E12&gt;0,H12/E12,0)</f>
        <v/>
      </c>
      <c r="J12" s="107">
        <f>SUMIFS(Proventos!$F$5:$F$5000,Proventos!$B$5:$B$5000,A12)</f>
        <v/>
      </c>
      <c r="K12" s="107">
        <f>SUMIFS(Proventos!$F$5:$F$5000,Proventos!$B$5:$B$5000,A12,Proventos!$A$5:$A$5000,"&gt;="&amp;(TODAY()-365))</f>
        <v/>
      </c>
      <c r="L12" s="107">
        <f>H12+J12</f>
        <v/>
      </c>
      <c r="M12" s="109">
        <f>IF(E12&gt;0,L12/E12,0)</f>
        <v/>
      </c>
      <c r="N12" s="109">
        <f>IF(D12&gt;0,T12/D12,0)</f>
        <v/>
      </c>
      <c r="O12" s="109">
        <f>IF(F12&gt;0,T12/F12,0)</f>
        <v/>
      </c>
      <c r="P12" s="109">
        <f>IF($G$36&gt;0,G12/$G$36,0)</f>
        <v/>
      </c>
      <c r="Q12" s="110">
        <f>N(Ativos!F12)</f>
        <v/>
      </c>
      <c r="R12" s="109">
        <f>P12-Q12</f>
        <v/>
      </c>
      <c r="S12" s="107">
        <f>MAX(0,Q12*$G$36-G12)</f>
        <v/>
      </c>
      <c r="T12" s="108">
        <f>N(Ativos!E12)</f>
        <v/>
      </c>
      <c r="U12" s="111">
        <f>T12/12</f>
        <v/>
      </c>
      <c r="V12" s="107">
        <f>C12*U12</f>
        <v/>
      </c>
      <c r="W12" s="109">
        <f>IF(META_MENSAL&gt;0,MIN(1,V12/META_MENSAL),0)</f>
        <v/>
      </c>
      <c r="X12" s="106">
        <f>IF(U12&gt;0,ROUNDUP(META_MENSAL/U12,0),0)</f>
        <v/>
      </c>
      <c r="Y12" s="106">
        <f>MAX(0,X12-C12)</f>
        <v/>
      </c>
      <c r="Z12" s="112">
        <f>Y12*F12</f>
        <v/>
      </c>
      <c r="AA12" s="113">
        <f>IF(APORTE_MENSAL&gt;0,ROUNDUP(Z12/APORTE_MENSAL,0),0)</f>
        <v/>
      </c>
      <c r="AB12" s="105">
        <f>IF(Ativos!C12="","",Ativos!C12)</f>
        <v/>
      </c>
      <c r="AC12" s="114">
        <f>IF(A12="",0,IF(OR(FILTRO_TIPO="Todos",B12=FILTRO_TIPO),1,0))</f>
        <v/>
      </c>
    </row>
    <row r="13">
      <c r="A13" s="95">
        <f>IF(Ativos!A13="","",Ativos!A13)</f>
        <v/>
      </c>
      <c r="B13" s="95">
        <f>IF(Ativos!B13="","",Ativos!B13)</f>
        <v/>
      </c>
      <c r="C13" s="96">
        <f>SUMIFS('Lançamentos'!$D$5:$D$5000,'Lançamentos'!$B$5:$B$5000,A13,'Lançamentos'!$C$5:$C$5000,"COMPRA")-SUMIFS('Lançamentos'!$D$5:$D$5000,'Lançamentos'!$B$5:$B$5000,A13,'Lançamentos'!$C$5:$C$5000,"VENDA")</f>
        <v/>
      </c>
      <c r="D13" s="97">
        <f>IFERROR(SUMIFS('Lançamentos'!$G$5:$G$5000,'Lançamentos'!$B$5:$B$5000,A13,'Lançamentos'!$C$5:$C$5000,"COMPRA")/SUMIFS('Lançamentos'!$D$5:$D$5000,'Lançamentos'!$B$5:$B$5000,A13,'Lançamentos'!$C$5:$C$5000,"COMPRA"),0)</f>
        <v/>
      </c>
      <c r="E13" s="97">
        <f>C13*D13</f>
        <v/>
      </c>
      <c r="F13" s="98">
        <f>N(Ativos!D13)</f>
        <v/>
      </c>
      <c r="G13" s="97">
        <f>C13*F13</f>
        <v/>
      </c>
      <c r="H13" s="97">
        <f>G13-E13</f>
        <v/>
      </c>
      <c r="I13" s="99">
        <f>IF(E13&gt;0,H13/E13,0)</f>
        <v/>
      </c>
      <c r="J13" s="97">
        <f>SUMIFS(Proventos!$F$5:$F$5000,Proventos!$B$5:$B$5000,A13)</f>
        <v/>
      </c>
      <c r="K13" s="97">
        <f>SUMIFS(Proventos!$F$5:$F$5000,Proventos!$B$5:$B$5000,A13,Proventos!$A$5:$A$5000,"&gt;="&amp;(TODAY()-365))</f>
        <v/>
      </c>
      <c r="L13" s="97">
        <f>H13+J13</f>
        <v/>
      </c>
      <c r="M13" s="99">
        <f>IF(E13&gt;0,L13/E13,0)</f>
        <v/>
      </c>
      <c r="N13" s="99">
        <f>IF(D13&gt;0,T13/D13,0)</f>
        <v/>
      </c>
      <c r="O13" s="99">
        <f>IF(F13&gt;0,T13/F13,0)</f>
        <v/>
      </c>
      <c r="P13" s="99">
        <f>IF($G$36&gt;0,G13/$G$36,0)</f>
        <v/>
      </c>
      <c r="Q13" s="100">
        <f>N(Ativos!F13)</f>
        <v/>
      </c>
      <c r="R13" s="99">
        <f>P13-Q13</f>
        <v/>
      </c>
      <c r="S13" s="97">
        <f>MAX(0,Q13*$G$36-G13)</f>
        <v/>
      </c>
      <c r="T13" s="98">
        <f>N(Ativos!E13)</f>
        <v/>
      </c>
      <c r="U13" s="101">
        <f>T13/12</f>
        <v/>
      </c>
      <c r="V13" s="97">
        <f>C13*U13</f>
        <v/>
      </c>
      <c r="W13" s="99">
        <f>IF(META_MENSAL&gt;0,MIN(1,V13/META_MENSAL),0)</f>
        <v/>
      </c>
      <c r="X13" s="96">
        <f>IF(U13&gt;0,ROUNDUP(META_MENSAL/U13,0),0)</f>
        <v/>
      </c>
      <c r="Y13" s="96">
        <f>MAX(0,X13-C13)</f>
        <v/>
      </c>
      <c r="Z13" s="102">
        <f>Y13*F13</f>
        <v/>
      </c>
      <c r="AA13" s="103">
        <f>IF(APORTE_MENSAL&gt;0,ROUNDUP(Z13/APORTE_MENSAL,0),0)</f>
        <v/>
      </c>
      <c r="AB13" s="95">
        <f>IF(Ativos!C13="","",Ativos!C13)</f>
        <v/>
      </c>
      <c r="AC13" s="104">
        <f>IF(A13="",0,IF(OR(FILTRO_TIPO="Todos",B13=FILTRO_TIPO),1,0))</f>
        <v/>
      </c>
    </row>
    <row r="14">
      <c r="A14" s="105">
        <f>IF(Ativos!A14="","",Ativos!A14)</f>
        <v/>
      </c>
      <c r="B14" s="105">
        <f>IF(Ativos!B14="","",Ativos!B14)</f>
        <v/>
      </c>
      <c r="C14" s="106">
        <f>SUMIFS('Lançamentos'!$D$5:$D$5000,'Lançamentos'!$B$5:$B$5000,A14,'Lançamentos'!$C$5:$C$5000,"COMPRA")-SUMIFS('Lançamentos'!$D$5:$D$5000,'Lançamentos'!$B$5:$B$5000,A14,'Lançamentos'!$C$5:$C$5000,"VENDA")</f>
        <v/>
      </c>
      <c r="D14" s="107">
        <f>IFERROR(SUMIFS('Lançamentos'!$G$5:$G$5000,'Lançamentos'!$B$5:$B$5000,A14,'Lançamentos'!$C$5:$C$5000,"COMPRA")/SUMIFS('Lançamentos'!$D$5:$D$5000,'Lançamentos'!$B$5:$B$5000,A14,'Lançamentos'!$C$5:$C$5000,"COMPRA"),0)</f>
        <v/>
      </c>
      <c r="E14" s="107">
        <f>C14*D14</f>
        <v/>
      </c>
      <c r="F14" s="108">
        <f>N(Ativos!D14)</f>
        <v/>
      </c>
      <c r="G14" s="107">
        <f>C14*F14</f>
        <v/>
      </c>
      <c r="H14" s="107">
        <f>G14-E14</f>
        <v/>
      </c>
      <c r="I14" s="109">
        <f>IF(E14&gt;0,H14/E14,0)</f>
        <v/>
      </c>
      <c r="J14" s="107">
        <f>SUMIFS(Proventos!$F$5:$F$5000,Proventos!$B$5:$B$5000,A14)</f>
        <v/>
      </c>
      <c r="K14" s="107">
        <f>SUMIFS(Proventos!$F$5:$F$5000,Proventos!$B$5:$B$5000,A14,Proventos!$A$5:$A$5000,"&gt;="&amp;(TODAY()-365))</f>
        <v/>
      </c>
      <c r="L14" s="107">
        <f>H14+J14</f>
        <v/>
      </c>
      <c r="M14" s="109">
        <f>IF(E14&gt;0,L14/E14,0)</f>
        <v/>
      </c>
      <c r="N14" s="109">
        <f>IF(D14&gt;0,T14/D14,0)</f>
        <v/>
      </c>
      <c r="O14" s="109">
        <f>IF(F14&gt;0,T14/F14,0)</f>
        <v/>
      </c>
      <c r="P14" s="109">
        <f>IF($G$36&gt;0,G14/$G$36,0)</f>
        <v/>
      </c>
      <c r="Q14" s="110">
        <f>N(Ativos!F14)</f>
        <v/>
      </c>
      <c r="R14" s="109">
        <f>P14-Q14</f>
        <v/>
      </c>
      <c r="S14" s="107">
        <f>MAX(0,Q14*$G$36-G14)</f>
        <v/>
      </c>
      <c r="T14" s="108">
        <f>N(Ativos!E14)</f>
        <v/>
      </c>
      <c r="U14" s="111">
        <f>T14/12</f>
        <v/>
      </c>
      <c r="V14" s="107">
        <f>C14*U14</f>
        <v/>
      </c>
      <c r="W14" s="109">
        <f>IF(META_MENSAL&gt;0,MIN(1,V14/META_MENSAL),0)</f>
        <v/>
      </c>
      <c r="X14" s="106">
        <f>IF(U14&gt;0,ROUNDUP(META_MENSAL/U14,0),0)</f>
        <v/>
      </c>
      <c r="Y14" s="106">
        <f>MAX(0,X14-C14)</f>
        <v/>
      </c>
      <c r="Z14" s="112">
        <f>Y14*F14</f>
        <v/>
      </c>
      <c r="AA14" s="113">
        <f>IF(APORTE_MENSAL&gt;0,ROUNDUP(Z14/APORTE_MENSAL,0),0)</f>
        <v/>
      </c>
      <c r="AB14" s="105">
        <f>IF(Ativos!C14="","",Ativos!C14)</f>
        <v/>
      </c>
      <c r="AC14" s="114">
        <f>IF(A14="",0,IF(OR(FILTRO_TIPO="Todos",B14=FILTRO_TIPO),1,0))</f>
        <v/>
      </c>
    </row>
    <row r="15">
      <c r="A15" s="95">
        <f>IF(Ativos!A15="","",Ativos!A15)</f>
        <v/>
      </c>
      <c r="B15" s="95">
        <f>IF(Ativos!B15="","",Ativos!B15)</f>
        <v/>
      </c>
      <c r="C15" s="96">
        <f>SUMIFS('Lançamentos'!$D$5:$D$5000,'Lançamentos'!$B$5:$B$5000,A15,'Lançamentos'!$C$5:$C$5000,"COMPRA")-SUMIFS('Lançamentos'!$D$5:$D$5000,'Lançamentos'!$B$5:$B$5000,A15,'Lançamentos'!$C$5:$C$5000,"VENDA")</f>
        <v/>
      </c>
      <c r="D15" s="97">
        <f>IFERROR(SUMIFS('Lançamentos'!$G$5:$G$5000,'Lançamentos'!$B$5:$B$5000,A15,'Lançamentos'!$C$5:$C$5000,"COMPRA")/SUMIFS('Lançamentos'!$D$5:$D$5000,'Lançamentos'!$B$5:$B$5000,A15,'Lançamentos'!$C$5:$C$5000,"COMPRA"),0)</f>
        <v/>
      </c>
      <c r="E15" s="97">
        <f>C15*D15</f>
        <v/>
      </c>
      <c r="F15" s="98">
        <f>N(Ativos!D15)</f>
        <v/>
      </c>
      <c r="G15" s="97">
        <f>C15*F15</f>
        <v/>
      </c>
      <c r="H15" s="97">
        <f>G15-E15</f>
        <v/>
      </c>
      <c r="I15" s="99">
        <f>IF(E15&gt;0,H15/E15,0)</f>
        <v/>
      </c>
      <c r="J15" s="97">
        <f>SUMIFS(Proventos!$F$5:$F$5000,Proventos!$B$5:$B$5000,A15)</f>
        <v/>
      </c>
      <c r="K15" s="97">
        <f>SUMIFS(Proventos!$F$5:$F$5000,Proventos!$B$5:$B$5000,A15,Proventos!$A$5:$A$5000,"&gt;="&amp;(TODAY()-365))</f>
        <v/>
      </c>
      <c r="L15" s="97">
        <f>H15+J15</f>
        <v/>
      </c>
      <c r="M15" s="99">
        <f>IF(E15&gt;0,L15/E15,0)</f>
        <v/>
      </c>
      <c r="N15" s="99">
        <f>IF(D15&gt;0,T15/D15,0)</f>
        <v/>
      </c>
      <c r="O15" s="99">
        <f>IF(F15&gt;0,T15/F15,0)</f>
        <v/>
      </c>
      <c r="P15" s="99">
        <f>IF($G$36&gt;0,G15/$G$36,0)</f>
        <v/>
      </c>
      <c r="Q15" s="100">
        <f>N(Ativos!F15)</f>
        <v/>
      </c>
      <c r="R15" s="99">
        <f>P15-Q15</f>
        <v/>
      </c>
      <c r="S15" s="97">
        <f>MAX(0,Q15*$G$36-G15)</f>
        <v/>
      </c>
      <c r="T15" s="98">
        <f>N(Ativos!E15)</f>
        <v/>
      </c>
      <c r="U15" s="101">
        <f>T15/12</f>
        <v/>
      </c>
      <c r="V15" s="97">
        <f>C15*U15</f>
        <v/>
      </c>
      <c r="W15" s="99">
        <f>IF(META_MENSAL&gt;0,MIN(1,V15/META_MENSAL),0)</f>
        <v/>
      </c>
      <c r="X15" s="96">
        <f>IF(U15&gt;0,ROUNDUP(META_MENSAL/U15,0),0)</f>
        <v/>
      </c>
      <c r="Y15" s="96">
        <f>MAX(0,X15-C15)</f>
        <v/>
      </c>
      <c r="Z15" s="102">
        <f>Y15*F15</f>
        <v/>
      </c>
      <c r="AA15" s="103">
        <f>IF(APORTE_MENSAL&gt;0,ROUNDUP(Z15/APORTE_MENSAL,0),0)</f>
        <v/>
      </c>
      <c r="AB15" s="95">
        <f>IF(Ativos!C15="","",Ativos!C15)</f>
        <v/>
      </c>
      <c r="AC15" s="104">
        <f>IF(A15="",0,IF(OR(FILTRO_TIPO="Todos",B15=FILTRO_TIPO),1,0))</f>
        <v/>
      </c>
    </row>
    <row r="16">
      <c r="A16" s="105">
        <f>IF(Ativos!A16="","",Ativos!A16)</f>
        <v/>
      </c>
      <c r="B16" s="105">
        <f>IF(Ativos!B16="","",Ativos!B16)</f>
        <v/>
      </c>
      <c r="C16" s="106">
        <f>SUMIFS('Lançamentos'!$D$5:$D$5000,'Lançamentos'!$B$5:$B$5000,A16,'Lançamentos'!$C$5:$C$5000,"COMPRA")-SUMIFS('Lançamentos'!$D$5:$D$5000,'Lançamentos'!$B$5:$B$5000,A16,'Lançamentos'!$C$5:$C$5000,"VENDA")</f>
        <v/>
      </c>
      <c r="D16" s="107">
        <f>IFERROR(SUMIFS('Lançamentos'!$G$5:$G$5000,'Lançamentos'!$B$5:$B$5000,A16,'Lançamentos'!$C$5:$C$5000,"COMPRA")/SUMIFS('Lançamentos'!$D$5:$D$5000,'Lançamentos'!$B$5:$B$5000,A16,'Lançamentos'!$C$5:$C$5000,"COMPRA"),0)</f>
        <v/>
      </c>
      <c r="E16" s="107">
        <f>C16*D16</f>
        <v/>
      </c>
      <c r="F16" s="108">
        <f>N(Ativos!D16)</f>
        <v/>
      </c>
      <c r="G16" s="107">
        <f>C16*F16</f>
        <v/>
      </c>
      <c r="H16" s="107">
        <f>G16-E16</f>
        <v/>
      </c>
      <c r="I16" s="109">
        <f>IF(E16&gt;0,H16/E16,0)</f>
        <v/>
      </c>
      <c r="J16" s="107">
        <f>SUMIFS(Proventos!$F$5:$F$5000,Proventos!$B$5:$B$5000,A16)</f>
        <v/>
      </c>
      <c r="K16" s="107">
        <f>SUMIFS(Proventos!$F$5:$F$5000,Proventos!$B$5:$B$5000,A16,Proventos!$A$5:$A$5000,"&gt;="&amp;(TODAY()-365))</f>
        <v/>
      </c>
      <c r="L16" s="107">
        <f>H16+J16</f>
        <v/>
      </c>
      <c r="M16" s="109">
        <f>IF(E16&gt;0,L16/E16,0)</f>
        <v/>
      </c>
      <c r="N16" s="109">
        <f>IF(D16&gt;0,T16/D16,0)</f>
        <v/>
      </c>
      <c r="O16" s="109">
        <f>IF(F16&gt;0,T16/F16,0)</f>
        <v/>
      </c>
      <c r="P16" s="109">
        <f>IF($G$36&gt;0,G16/$G$36,0)</f>
        <v/>
      </c>
      <c r="Q16" s="110">
        <f>N(Ativos!F16)</f>
        <v/>
      </c>
      <c r="R16" s="109">
        <f>P16-Q16</f>
        <v/>
      </c>
      <c r="S16" s="107">
        <f>MAX(0,Q16*$G$36-G16)</f>
        <v/>
      </c>
      <c r="T16" s="108">
        <f>N(Ativos!E16)</f>
        <v/>
      </c>
      <c r="U16" s="111">
        <f>T16/12</f>
        <v/>
      </c>
      <c r="V16" s="107">
        <f>C16*U16</f>
        <v/>
      </c>
      <c r="W16" s="109">
        <f>IF(META_MENSAL&gt;0,MIN(1,V16/META_MENSAL),0)</f>
        <v/>
      </c>
      <c r="X16" s="106">
        <f>IF(U16&gt;0,ROUNDUP(META_MENSAL/U16,0),0)</f>
        <v/>
      </c>
      <c r="Y16" s="106">
        <f>MAX(0,X16-C16)</f>
        <v/>
      </c>
      <c r="Z16" s="112">
        <f>Y16*F16</f>
        <v/>
      </c>
      <c r="AA16" s="113">
        <f>IF(APORTE_MENSAL&gt;0,ROUNDUP(Z16/APORTE_MENSAL,0),0)</f>
        <v/>
      </c>
      <c r="AB16" s="105">
        <f>IF(Ativos!C16="","",Ativos!C16)</f>
        <v/>
      </c>
      <c r="AC16" s="114">
        <f>IF(A16="",0,IF(OR(FILTRO_TIPO="Todos",B16=FILTRO_TIPO),1,0))</f>
        <v/>
      </c>
    </row>
    <row r="17">
      <c r="A17" s="95">
        <f>IF(Ativos!A17="","",Ativos!A17)</f>
        <v/>
      </c>
      <c r="B17" s="95">
        <f>IF(Ativos!B17="","",Ativos!B17)</f>
        <v/>
      </c>
      <c r="C17" s="96">
        <f>SUMIFS('Lançamentos'!$D$5:$D$5000,'Lançamentos'!$B$5:$B$5000,A17,'Lançamentos'!$C$5:$C$5000,"COMPRA")-SUMIFS('Lançamentos'!$D$5:$D$5000,'Lançamentos'!$B$5:$B$5000,A17,'Lançamentos'!$C$5:$C$5000,"VENDA")</f>
        <v/>
      </c>
      <c r="D17" s="97">
        <f>IFERROR(SUMIFS('Lançamentos'!$G$5:$G$5000,'Lançamentos'!$B$5:$B$5000,A17,'Lançamentos'!$C$5:$C$5000,"COMPRA")/SUMIFS('Lançamentos'!$D$5:$D$5000,'Lançamentos'!$B$5:$B$5000,A17,'Lançamentos'!$C$5:$C$5000,"COMPRA"),0)</f>
        <v/>
      </c>
      <c r="E17" s="97">
        <f>C17*D17</f>
        <v/>
      </c>
      <c r="F17" s="98">
        <f>N(Ativos!D17)</f>
        <v/>
      </c>
      <c r="G17" s="97">
        <f>C17*F17</f>
        <v/>
      </c>
      <c r="H17" s="97">
        <f>G17-E17</f>
        <v/>
      </c>
      <c r="I17" s="99">
        <f>IF(E17&gt;0,H17/E17,0)</f>
        <v/>
      </c>
      <c r="J17" s="97">
        <f>SUMIFS(Proventos!$F$5:$F$5000,Proventos!$B$5:$B$5000,A17)</f>
        <v/>
      </c>
      <c r="K17" s="97">
        <f>SUMIFS(Proventos!$F$5:$F$5000,Proventos!$B$5:$B$5000,A17,Proventos!$A$5:$A$5000,"&gt;="&amp;(TODAY()-365))</f>
        <v/>
      </c>
      <c r="L17" s="97">
        <f>H17+J17</f>
        <v/>
      </c>
      <c r="M17" s="99">
        <f>IF(E17&gt;0,L17/E17,0)</f>
        <v/>
      </c>
      <c r="N17" s="99">
        <f>IF(D17&gt;0,T17/D17,0)</f>
        <v/>
      </c>
      <c r="O17" s="99">
        <f>IF(F17&gt;0,T17/F17,0)</f>
        <v/>
      </c>
      <c r="P17" s="99">
        <f>IF($G$36&gt;0,G17/$G$36,0)</f>
        <v/>
      </c>
      <c r="Q17" s="100">
        <f>N(Ativos!F17)</f>
        <v/>
      </c>
      <c r="R17" s="99">
        <f>P17-Q17</f>
        <v/>
      </c>
      <c r="S17" s="97">
        <f>MAX(0,Q17*$G$36-G17)</f>
        <v/>
      </c>
      <c r="T17" s="98">
        <f>N(Ativos!E17)</f>
        <v/>
      </c>
      <c r="U17" s="101">
        <f>T17/12</f>
        <v/>
      </c>
      <c r="V17" s="97">
        <f>C17*U17</f>
        <v/>
      </c>
      <c r="W17" s="99">
        <f>IF(META_MENSAL&gt;0,MIN(1,V17/META_MENSAL),0)</f>
        <v/>
      </c>
      <c r="X17" s="96">
        <f>IF(U17&gt;0,ROUNDUP(META_MENSAL/U17,0),0)</f>
        <v/>
      </c>
      <c r="Y17" s="96">
        <f>MAX(0,X17-C17)</f>
        <v/>
      </c>
      <c r="Z17" s="102">
        <f>Y17*F17</f>
        <v/>
      </c>
      <c r="AA17" s="103">
        <f>IF(APORTE_MENSAL&gt;0,ROUNDUP(Z17/APORTE_MENSAL,0),0)</f>
        <v/>
      </c>
      <c r="AB17" s="95">
        <f>IF(Ativos!C17="","",Ativos!C17)</f>
        <v/>
      </c>
      <c r="AC17" s="104">
        <f>IF(A17="",0,IF(OR(FILTRO_TIPO="Todos",B17=FILTRO_TIPO),1,0))</f>
        <v/>
      </c>
    </row>
    <row r="18">
      <c r="A18" s="105">
        <f>IF(Ativos!A18="","",Ativos!A18)</f>
        <v/>
      </c>
      <c r="B18" s="105">
        <f>IF(Ativos!B18="","",Ativos!B18)</f>
        <v/>
      </c>
      <c r="C18" s="106">
        <f>SUMIFS('Lançamentos'!$D$5:$D$5000,'Lançamentos'!$B$5:$B$5000,A18,'Lançamentos'!$C$5:$C$5000,"COMPRA")-SUMIFS('Lançamentos'!$D$5:$D$5000,'Lançamentos'!$B$5:$B$5000,A18,'Lançamentos'!$C$5:$C$5000,"VENDA")</f>
        <v/>
      </c>
      <c r="D18" s="107">
        <f>IFERROR(SUMIFS('Lançamentos'!$G$5:$G$5000,'Lançamentos'!$B$5:$B$5000,A18,'Lançamentos'!$C$5:$C$5000,"COMPRA")/SUMIFS('Lançamentos'!$D$5:$D$5000,'Lançamentos'!$B$5:$B$5000,A18,'Lançamentos'!$C$5:$C$5000,"COMPRA"),0)</f>
        <v/>
      </c>
      <c r="E18" s="107">
        <f>C18*D18</f>
        <v/>
      </c>
      <c r="F18" s="108">
        <f>N(Ativos!D18)</f>
        <v/>
      </c>
      <c r="G18" s="107">
        <f>C18*F18</f>
        <v/>
      </c>
      <c r="H18" s="107">
        <f>G18-E18</f>
        <v/>
      </c>
      <c r="I18" s="109">
        <f>IF(E18&gt;0,H18/E18,0)</f>
        <v/>
      </c>
      <c r="J18" s="107">
        <f>SUMIFS(Proventos!$F$5:$F$5000,Proventos!$B$5:$B$5000,A18)</f>
        <v/>
      </c>
      <c r="K18" s="107">
        <f>SUMIFS(Proventos!$F$5:$F$5000,Proventos!$B$5:$B$5000,A18,Proventos!$A$5:$A$5000,"&gt;="&amp;(TODAY()-365))</f>
        <v/>
      </c>
      <c r="L18" s="107">
        <f>H18+J18</f>
        <v/>
      </c>
      <c r="M18" s="109">
        <f>IF(E18&gt;0,L18/E18,0)</f>
        <v/>
      </c>
      <c r="N18" s="109">
        <f>IF(D18&gt;0,T18/D18,0)</f>
        <v/>
      </c>
      <c r="O18" s="109">
        <f>IF(F18&gt;0,T18/F18,0)</f>
        <v/>
      </c>
      <c r="P18" s="109">
        <f>IF($G$36&gt;0,G18/$G$36,0)</f>
        <v/>
      </c>
      <c r="Q18" s="110">
        <f>N(Ativos!F18)</f>
        <v/>
      </c>
      <c r="R18" s="109">
        <f>P18-Q18</f>
        <v/>
      </c>
      <c r="S18" s="107">
        <f>MAX(0,Q18*$G$36-G18)</f>
        <v/>
      </c>
      <c r="T18" s="108">
        <f>N(Ativos!E18)</f>
        <v/>
      </c>
      <c r="U18" s="111">
        <f>T18/12</f>
        <v/>
      </c>
      <c r="V18" s="107">
        <f>C18*U18</f>
        <v/>
      </c>
      <c r="W18" s="109">
        <f>IF(META_MENSAL&gt;0,MIN(1,V18/META_MENSAL),0)</f>
        <v/>
      </c>
      <c r="X18" s="106">
        <f>IF(U18&gt;0,ROUNDUP(META_MENSAL/U18,0),0)</f>
        <v/>
      </c>
      <c r="Y18" s="106">
        <f>MAX(0,X18-C18)</f>
        <v/>
      </c>
      <c r="Z18" s="112">
        <f>Y18*F18</f>
        <v/>
      </c>
      <c r="AA18" s="113">
        <f>IF(APORTE_MENSAL&gt;0,ROUNDUP(Z18/APORTE_MENSAL,0),0)</f>
        <v/>
      </c>
      <c r="AB18" s="105">
        <f>IF(Ativos!C18="","",Ativos!C18)</f>
        <v/>
      </c>
      <c r="AC18" s="114">
        <f>IF(A18="",0,IF(OR(FILTRO_TIPO="Todos",B18=FILTRO_TIPO),1,0))</f>
        <v/>
      </c>
    </row>
    <row r="19">
      <c r="A19" s="95">
        <f>IF(Ativos!A19="","",Ativos!A19)</f>
        <v/>
      </c>
      <c r="B19" s="95">
        <f>IF(Ativos!B19="","",Ativos!B19)</f>
        <v/>
      </c>
      <c r="C19" s="96">
        <f>SUMIFS('Lançamentos'!$D$5:$D$5000,'Lançamentos'!$B$5:$B$5000,A19,'Lançamentos'!$C$5:$C$5000,"COMPRA")-SUMIFS('Lançamentos'!$D$5:$D$5000,'Lançamentos'!$B$5:$B$5000,A19,'Lançamentos'!$C$5:$C$5000,"VENDA")</f>
        <v/>
      </c>
      <c r="D19" s="97">
        <f>IFERROR(SUMIFS('Lançamentos'!$G$5:$G$5000,'Lançamentos'!$B$5:$B$5000,A19,'Lançamentos'!$C$5:$C$5000,"COMPRA")/SUMIFS('Lançamentos'!$D$5:$D$5000,'Lançamentos'!$B$5:$B$5000,A19,'Lançamentos'!$C$5:$C$5000,"COMPRA"),0)</f>
        <v/>
      </c>
      <c r="E19" s="97">
        <f>C19*D19</f>
        <v/>
      </c>
      <c r="F19" s="98">
        <f>N(Ativos!D19)</f>
        <v/>
      </c>
      <c r="G19" s="97">
        <f>C19*F19</f>
        <v/>
      </c>
      <c r="H19" s="97">
        <f>G19-E19</f>
        <v/>
      </c>
      <c r="I19" s="99">
        <f>IF(E19&gt;0,H19/E19,0)</f>
        <v/>
      </c>
      <c r="J19" s="97">
        <f>SUMIFS(Proventos!$F$5:$F$5000,Proventos!$B$5:$B$5000,A19)</f>
        <v/>
      </c>
      <c r="K19" s="97">
        <f>SUMIFS(Proventos!$F$5:$F$5000,Proventos!$B$5:$B$5000,A19,Proventos!$A$5:$A$5000,"&gt;="&amp;(TODAY()-365))</f>
        <v/>
      </c>
      <c r="L19" s="97">
        <f>H19+J19</f>
        <v/>
      </c>
      <c r="M19" s="99">
        <f>IF(E19&gt;0,L19/E19,0)</f>
        <v/>
      </c>
      <c r="N19" s="99">
        <f>IF(D19&gt;0,T19/D19,0)</f>
        <v/>
      </c>
      <c r="O19" s="99">
        <f>IF(F19&gt;0,T19/F19,0)</f>
        <v/>
      </c>
      <c r="P19" s="99">
        <f>IF($G$36&gt;0,G19/$G$36,0)</f>
        <v/>
      </c>
      <c r="Q19" s="100">
        <f>N(Ativos!F19)</f>
        <v/>
      </c>
      <c r="R19" s="99">
        <f>P19-Q19</f>
        <v/>
      </c>
      <c r="S19" s="97">
        <f>MAX(0,Q19*$G$36-G19)</f>
        <v/>
      </c>
      <c r="T19" s="98">
        <f>N(Ativos!E19)</f>
        <v/>
      </c>
      <c r="U19" s="101">
        <f>T19/12</f>
        <v/>
      </c>
      <c r="V19" s="97">
        <f>C19*U19</f>
        <v/>
      </c>
      <c r="W19" s="99">
        <f>IF(META_MENSAL&gt;0,MIN(1,V19/META_MENSAL),0)</f>
        <v/>
      </c>
      <c r="X19" s="96">
        <f>IF(U19&gt;0,ROUNDUP(META_MENSAL/U19,0),0)</f>
        <v/>
      </c>
      <c r="Y19" s="96">
        <f>MAX(0,X19-C19)</f>
        <v/>
      </c>
      <c r="Z19" s="102">
        <f>Y19*F19</f>
        <v/>
      </c>
      <c r="AA19" s="103">
        <f>IF(APORTE_MENSAL&gt;0,ROUNDUP(Z19/APORTE_MENSAL,0),0)</f>
        <v/>
      </c>
      <c r="AB19" s="95">
        <f>IF(Ativos!C19="","",Ativos!C19)</f>
        <v/>
      </c>
      <c r="AC19" s="104">
        <f>IF(A19="",0,IF(OR(FILTRO_TIPO="Todos",B19=FILTRO_TIPO),1,0))</f>
        <v/>
      </c>
    </row>
    <row r="20">
      <c r="A20" s="105">
        <f>IF(Ativos!A20="","",Ativos!A20)</f>
        <v/>
      </c>
      <c r="B20" s="105">
        <f>IF(Ativos!B20="","",Ativos!B20)</f>
        <v/>
      </c>
      <c r="C20" s="106">
        <f>SUMIFS('Lançamentos'!$D$5:$D$5000,'Lançamentos'!$B$5:$B$5000,A20,'Lançamentos'!$C$5:$C$5000,"COMPRA")-SUMIFS('Lançamentos'!$D$5:$D$5000,'Lançamentos'!$B$5:$B$5000,A20,'Lançamentos'!$C$5:$C$5000,"VENDA")</f>
        <v/>
      </c>
      <c r="D20" s="107">
        <f>IFERROR(SUMIFS('Lançamentos'!$G$5:$G$5000,'Lançamentos'!$B$5:$B$5000,A20,'Lançamentos'!$C$5:$C$5000,"COMPRA")/SUMIFS('Lançamentos'!$D$5:$D$5000,'Lançamentos'!$B$5:$B$5000,A20,'Lançamentos'!$C$5:$C$5000,"COMPRA"),0)</f>
        <v/>
      </c>
      <c r="E20" s="107">
        <f>C20*D20</f>
        <v/>
      </c>
      <c r="F20" s="108">
        <f>N(Ativos!D20)</f>
        <v/>
      </c>
      <c r="G20" s="107">
        <f>C20*F20</f>
        <v/>
      </c>
      <c r="H20" s="107">
        <f>G20-E20</f>
        <v/>
      </c>
      <c r="I20" s="109">
        <f>IF(E20&gt;0,H20/E20,0)</f>
        <v/>
      </c>
      <c r="J20" s="107">
        <f>SUMIFS(Proventos!$F$5:$F$5000,Proventos!$B$5:$B$5000,A20)</f>
        <v/>
      </c>
      <c r="K20" s="107">
        <f>SUMIFS(Proventos!$F$5:$F$5000,Proventos!$B$5:$B$5000,A20,Proventos!$A$5:$A$5000,"&gt;="&amp;(TODAY()-365))</f>
        <v/>
      </c>
      <c r="L20" s="107">
        <f>H20+J20</f>
        <v/>
      </c>
      <c r="M20" s="109">
        <f>IF(E20&gt;0,L20/E20,0)</f>
        <v/>
      </c>
      <c r="N20" s="109">
        <f>IF(D20&gt;0,T20/D20,0)</f>
        <v/>
      </c>
      <c r="O20" s="109">
        <f>IF(F20&gt;0,T20/F20,0)</f>
        <v/>
      </c>
      <c r="P20" s="109">
        <f>IF($G$36&gt;0,G20/$G$36,0)</f>
        <v/>
      </c>
      <c r="Q20" s="110">
        <f>N(Ativos!F20)</f>
        <v/>
      </c>
      <c r="R20" s="109">
        <f>P20-Q20</f>
        <v/>
      </c>
      <c r="S20" s="107">
        <f>MAX(0,Q20*$G$36-G20)</f>
        <v/>
      </c>
      <c r="T20" s="108">
        <f>N(Ativos!E20)</f>
        <v/>
      </c>
      <c r="U20" s="111">
        <f>T20/12</f>
        <v/>
      </c>
      <c r="V20" s="107">
        <f>C20*U20</f>
        <v/>
      </c>
      <c r="W20" s="109">
        <f>IF(META_MENSAL&gt;0,MIN(1,V20/META_MENSAL),0)</f>
        <v/>
      </c>
      <c r="X20" s="106">
        <f>IF(U20&gt;0,ROUNDUP(META_MENSAL/U20,0),0)</f>
        <v/>
      </c>
      <c r="Y20" s="106">
        <f>MAX(0,X20-C20)</f>
        <v/>
      </c>
      <c r="Z20" s="112">
        <f>Y20*F20</f>
        <v/>
      </c>
      <c r="AA20" s="113">
        <f>IF(APORTE_MENSAL&gt;0,ROUNDUP(Z20/APORTE_MENSAL,0),0)</f>
        <v/>
      </c>
      <c r="AB20" s="105">
        <f>IF(Ativos!C20="","",Ativos!C20)</f>
        <v/>
      </c>
      <c r="AC20" s="114">
        <f>IF(A20="",0,IF(OR(FILTRO_TIPO="Todos",B20=FILTRO_TIPO),1,0))</f>
        <v/>
      </c>
    </row>
    <row r="21">
      <c r="A21" s="95">
        <f>IF(Ativos!A21="","",Ativos!A21)</f>
        <v/>
      </c>
      <c r="B21" s="95">
        <f>IF(Ativos!B21="","",Ativos!B21)</f>
        <v/>
      </c>
      <c r="C21" s="96">
        <f>SUMIFS('Lançamentos'!$D$5:$D$5000,'Lançamentos'!$B$5:$B$5000,A21,'Lançamentos'!$C$5:$C$5000,"COMPRA")-SUMIFS('Lançamentos'!$D$5:$D$5000,'Lançamentos'!$B$5:$B$5000,A21,'Lançamentos'!$C$5:$C$5000,"VENDA")</f>
        <v/>
      </c>
      <c r="D21" s="97">
        <f>IFERROR(SUMIFS('Lançamentos'!$G$5:$G$5000,'Lançamentos'!$B$5:$B$5000,A21,'Lançamentos'!$C$5:$C$5000,"COMPRA")/SUMIFS('Lançamentos'!$D$5:$D$5000,'Lançamentos'!$B$5:$B$5000,A21,'Lançamentos'!$C$5:$C$5000,"COMPRA"),0)</f>
        <v/>
      </c>
      <c r="E21" s="97">
        <f>C21*D21</f>
        <v/>
      </c>
      <c r="F21" s="98">
        <f>N(Ativos!D21)</f>
        <v/>
      </c>
      <c r="G21" s="97">
        <f>C21*F21</f>
        <v/>
      </c>
      <c r="H21" s="97">
        <f>G21-E21</f>
        <v/>
      </c>
      <c r="I21" s="99">
        <f>IF(E21&gt;0,H21/E21,0)</f>
        <v/>
      </c>
      <c r="J21" s="97">
        <f>SUMIFS(Proventos!$F$5:$F$5000,Proventos!$B$5:$B$5000,A21)</f>
        <v/>
      </c>
      <c r="K21" s="97">
        <f>SUMIFS(Proventos!$F$5:$F$5000,Proventos!$B$5:$B$5000,A21,Proventos!$A$5:$A$5000,"&gt;="&amp;(TODAY()-365))</f>
        <v/>
      </c>
      <c r="L21" s="97">
        <f>H21+J21</f>
        <v/>
      </c>
      <c r="M21" s="99">
        <f>IF(E21&gt;0,L21/E21,0)</f>
        <v/>
      </c>
      <c r="N21" s="99">
        <f>IF(D21&gt;0,T21/D21,0)</f>
        <v/>
      </c>
      <c r="O21" s="99">
        <f>IF(F21&gt;0,T21/F21,0)</f>
        <v/>
      </c>
      <c r="P21" s="99">
        <f>IF($G$36&gt;0,G21/$G$36,0)</f>
        <v/>
      </c>
      <c r="Q21" s="100">
        <f>N(Ativos!F21)</f>
        <v/>
      </c>
      <c r="R21" s="99">
        <f>P21-Q21</f>
        <v/>
      </c>
      <c r="S21" s="97">
        <f>MAX(0,Q21*$G$36-G21)</f>
        <v/>
      </c>
      <c r="T21" s="98">
        <f>N(Ativos!E21)</f>
        <v/>
      </c>
      <c r="U21" s="101">
        <f>T21/12</f>
        <v/>
      </c>
      <c r="V21" s="97">
        <f>C21*U21</f>
        <v/>
      </c>
      <c r="W21" s="99">
        <f>IF(META_MENSAL&gt;0,MIN(1,V21/META_MENSAL),0)</f>
        <v/>
      </c>
      <c r="X21" s="96">
        <f>IF(U21&gt;0,ROUNDUP(META_MENSAL/U21,0),0)</f>
        <v/>
      </c>
      <c r="Y21" s="96">
        <f>MAX(0,X21-C21)</f>
        <v/>
      </c>
      <c r="Z21" s="102">
        <f>Y21*F21</f>
        <v/>
      </c>
      <c r="AA21" s="103">
        <f>IF(APORTE_MENSAL&gt;0,ROUNDUP(Z21/APORTE_MENSAL,0),0)</f>
        <v/>
      </c>
      <c r="AB21" s="95">
        <f>IF(Ativos!C21="","",Ativos!C21)</f>
        <v/>
      </c>
      <c r="AC21" s="104">
        <f>IF(A21="",0,IF(OR(FILTRO_TIPO="Todos",B21=FILTRO_TIPO),1,0))</f>
        <v/>
      </c>
    </row>
    <row r="22">
      <c r="A22" s="105">
        <f>IF(Ativos!A22="","",Ativos!A22)</f>
        <v/>
      </c>
      <c r="B22" s="105">
        <f>IF(Ativos!B22="","",Ativos!B22)</f>
        <v/>
      </c>
      <c r="C22" s="106">
        <f>SUMIFS('Lançamentos'!$D$5:$D$5000,'Lançamentos'!$B$5:$B$5000,A22,'Lançamentos'!$C$5:$C$5000,"COMPRA")-SUMIFS('Lançamentos'!$D$5:$D$5000,'Lançamentos'!$B$5:$B$5000,A22,'Lançamentos'!$C$5:$C$5000,"VENDA")</f>
        <v/>
      </c>
      <c r="D22" s="107">
        <f>IFERROR(SUMIFS('Lançamentos'!$G$5:$G$5000,'Lançamentos'!$B$5:$B$5000,A22,'Lançamentos'!$C$5:$C$5000,"COMPRA")/SUMIFS('Lançamentos'!$D$5:$D$5000,'Lançamentos'!$B$5:$B$5000,A22,'Lançamentos'!$C$5:$C$5000,"COMPRA"),0)</f>
        <v/>
      </c>
      <c r="E22" s="107">
        <f>C22*D22</f>
        <v/>
      </c>
      <c r="F22" s="108">
        <f>N(Ativos!D22)</f>
        <v/>
      </c>
      <c r="G22" s="107">
        <f>C22*F22</f>
        <v/>
      </c>
      <c r="H22" s="107">
        <f>G22-E22</f>
        <v/>
      </c>
      <c r="I22" s="109">
        <f>IF(E22&gt;0,H22/E22,0)</f>
        <v/>
      </c>
      <c r="J22" s="107">
        <f>SUMIFS(Proventos!$F$5:$F$5000,Proventos!$B$5:$B$5000,A22)</f>
        <v/>
      </c>
      <c r="K22" s="107">
        <f>SUMIFS(Proventos!$F$5:$F$5000,Proventos!$B$5:$B$5000,A22,Proventos!$A$5:$A$5000,"&gt;="&amp;(TODAY()-365))</f>
        <v/>
      </c>
      <c r="L22" s="107">
        <f>H22+J22</f>
        <v/>
      </c>
      <c r="M22" s="109">
        <f>IF(E22&gt;0,L22/E22,0)</f>
        <v/>
      </c>
      <c r="N22" s="109">
        <f>IF(D22&gt;0,T22/D22,0)</f>
        <v/>
      </c>
      <c r="O22" s="109">
        <f>IF(F22&gt;0,T22/F22,0)</f>
        <v/>
      </c>
      <c r="P22" s="109">
        <f>IF($G$36&gt;0,G22/$G$36,0)</f>
        <v/>
      </c>
      <c r="Q22" s="110">
        <f>N(Ativos!F22)</f>
        <v/>
      </c>
      <c r="R22" s="109">
        <f>P22-Q22</f>
        <v/>
      </c>
      <c r="S22" s="107">
        <f>MAX(0,Q22*$G$36-G22)</f>
        <v/>
      </c>
      <c r="T22" s="108">
        <f>N(Ativos!E22)</f>
        <v/>
      </c>
      <c r="U22" s="111">
        <f>T22/12</f>
        <v/>
      </c>
      <c r="V22" s="107">
        <f>C22*U22</f>
        <v/>
      </c>
      <c r="W22" s="109">
        <f>IF(META_MENSAL&gt;0,MIN(1,V22/META_MENSAL),0)</f>
        <v/>
      </c>
      <c r="X22" s="106">
        <f>IF(U22&gt;0,ROUNDUP(META_MENSAL/U22,0),0)</f>
        <v/>
      </c>
      <c r="Y22" s="106">
        <f>MAX(0,X22-C22)</f>
        <v/>
      </c>
      <c r="Z22" s="112">
        <f>Y22*F22</f>
        <v/>
      </c>
      <c r="AA22" s="113">
        <f>IF(APORTE_MENSAL&gt;0,ROUNDUP(Z22/APORTE_MENSAL,0),0)</f>
        <v/>
      </c>
      <c r="AB22" s="105">
        <f>IF(Ativos!C22="","",Ativos!C22)</f>
        <v/>
      </c>
      <c r="AC22" s="114">
        <f>IF(A22="",0,IF(OR(FILTRO_TIPO="Todos",B22=FILTRO_TIPO),1,0))</f>
        <v/>
      </c>
    </row>
    <row r="23">
      <c r="A23" s="95">
        <f>IF(Ativos!A23="","",Ativos!A23)</f>
        <v/>
      </c>
      <c r="B23" s="95">
        <f>IF(Ativos!B23="","",Ativos!B23)</f>
        <v/>
      </c>
      <c r="C23" s="96">
        <f>SUMIFS('Lançamentos'!$D$5:$D$5000,'Lançamentos'!$B$5:$B$5000,A23,'Lançamentos'!$C$5:$C$5000,"COMPRA")-SUMIFS('Lançamentos'!$D$5:$D$5000,'Lançamentos'!$B$5:$B$5000,A23,'Lançamentos'!$C$5:$C$5000,"VENDA")</f>
        <v/>
      </c>
      <c r="D23" s="97">
        <f>IFERROR(SUMIFS('Lançamentos'!$G$5:$G$5000,'Lançamentos'!$B$5:$B$5000,A23,'Lançamentos'!$C$5:$C$5000,"COMPRA")/SUMIFS('Lançamentos'!$D$5:$D$5000,'Lançamentos'!$B$5:$B$5000,A23,'Lançamentos'!$C$5:$C$5000,"COMPRA"),0)</f>
        <v/>
      </c>
      <c r="E23" s="97">
        <f>C23*D23</f>
        <v/>
      </c>
      <c r="F23" s="98">
        <f>N(Ativos!D23)</f>
        <v/>
      </c>
      <c r="G23" s="97">
        <f>C23*F23</f>
        <v/>
      </c>
      <c r="H23" s="97">
        <f>G23-E23</f>
        <v/>
      </c>
      <c r="I23" s="99">
        <f>IF(E23&gt;0,H23/E23,0)</f>
        <v/>
      </c>
      <c r="J23" s="97">
        <f>SUMIFS(Proventos!$F$5:$F$5000,Proventos!$B$5:$B$5000,A23)</f>
        <v/>
      </c>
      <c r="K23" s="97">
        <f>SUMIFS(Proventos!$F$5:$F$5000,Proventos!$B$5:$B$5000,A23,Proventos!$A$5:$A$5000,"&gt;="&amp;(TODAY()-365))</f>
        <v/>
      </c>
      <c r="L23" s="97">
        <f>H23+J23</f>
        <v/>
      </c>
      <c r="M23" s="99">
        <f>IF(E23&gt;0,L23/E23,0)</f>
        <v/>
      </c>
      <c r="N23" s="99">
        <f>IF(D23&gt;0,T23/D23,0)</f>
        <v/>
      </c>
      <c r="O23" s="99">
        <f>IF(F23&gt;0,T23/F23,0)</f>
        <v/>
      </c>
      <c r="P23" s="99">
        <f>IF($G$36&gt;0,G23/$G$36,0)</f>
        <v/>
      </c>
      <c r="Q23" s="100">
        <f>N(Ativos!F23)</f>
        <v/>
      </c>
      <c r="R23" s="99">
        <f>P23-Q23</f>
        <v/>
      </c>
      <c r="S23" s="97">
        <f>MAX(0,Q23*$G$36-G23)</f>
        <v/>
      </c>
      <c r="T23" s="98">
        <f>N(Ativos!E23)</f>
        <v/>
      </c>
      <c r="U23" s="101">
        <f>T23/12</f>
        <v/>
      </c>
      <c r="V23" s="97">
        <f>C23*U23</f>
        <v/>
      </c>
      <c r="W23" s="99">
        <f>IF(META_MENSAL&gt;0,MIN(1,V23/META_MENSAL),0)</f>
        <v/>
      </c>
      <c r="X23" s="96">
        <f>IF(U23&gt;0,ROUNDUP(META_MENSAL/U23,0),0)</f>
        <v/>
      </c>
      <c r="Y23" s="96">
        <f>MAX(0,X23-C23)</f>
        <v/>
      </c>
      <c r="Z23" s="102">
        <f>Y23*F23</f>
        <v/>
      </c>
      <c r="AA23" s="103">
        <f>IF(APORTE_MENSAL&gt;0,ROUNDUP(Z23/APORTE_MENSAL,0),0)</f>
        <v/>
      </c>
      <c r="AB23" s="95">
        <f>IF(Ativos!C23="","",Ativos!C23)</f>
        <v/>
      </c>
      <c r="AC23" s="104">
        <f>IF(A23="",0,IF(OR(FILTRO_TIPO="Todos",B23=FILTRO_TIPO),1,0))</f>
        <v/>
      </c>
    </row>
    <row r="24">
      <c r="A24" s="105">
        <f>IF(Ativos!A24="","",Ativos!A24)</f>
        <v/>
      </c>
      <c r="B24" s="105">
        <f>IF(Ativos!B24="","",Ativos!B24)</f>
        <v/>
      </c>
      <c r="C24" s="106">
        <f>SUMIFS('Lançamentos'!$D$5:$D$5000,'Lançamentos'!$B$5:$B$5000,A24,'Lançamentos'!$C$5:$C$5000,"COMPRA")-SUMIFS('Lançamentos'!$D$5:$D$5000,'Lançamentos'!$B$5:$B$5000,A24,'Lançamentos'!$C$5:$C$5000,"VENDA")</f>
        <v/>
      </c>
      <c r="D24" s="107">
        <f>IFERROR(SUMIFS('Lançamentos'!$G$5:$G$5000,'Lançamentos'!$B$5:$B$5000,A24,'Lançamentos'!$C$5:$C$5000,"COMPRA")/SUMIFS('Lançamentos'!$D$5:$D$5000,'Lançamentos'!$B$5:$B$5000,A24,'Lançamentos'!$C$5:$C$5000,"COMPRA"),0)</f>
        <v/>
      </c>
      <c r="E24" s="107">
        <f>C24*D24</f>
        <v/>
      </c>
      <c r="F24" s="108">
        <f>N(Ativos!D24)</f>
        <v/>
      </c>
      <c r="G24" s="107">
        <f>C24*F24</f>
        <v/>
      </c>
      <c r="H24" s="107">
        <f>G24-E24</f>
        <v/>
      </c>
      <c r="I24" s="109">
        <f>IF(E24&gt;0,H24/E24,0)</f>
        <v/>
      </c>
      <c r="J24" s="107">
        <f>SUMIFS(Proventos!$F$5:$F$5000,Proventos!$B$5:$B$5000,A24)</f>
        <v/>
      </c>
      <c r="K24" s="107">
        <f>SUMIFS(Proventos!$F$5:$F$5000,Proventos!$B$5:$B$5000,A24,Proventos!$A$5:$A$5000,"&gt;="&amp;(TODAY()-365))</f>
        <v/>
      </c>
      <c r="L24" s="107">
        <f>H24+J24</f>
        <v/>
      </c>
      <c r="M24" s="109">
        <f>IF(E24&gt;0,L24/E24,0)</f>
        <v/>
      </c>
      <c r="N24" s="109">
        <f>IF(D24&gt;0,T24/D24,0)</f>
        <v/>
      </c>
      <c r="O24" s="109">
        <f>IF(F24&gt;0,T24/F24,0)</f>
        <v/>
      </c>
      <c r="P24" s="109">
        <f>IF($G$36&gt;0,G24/$G$36,0)</f>
        <v/>
      </c>
      <c r="Q24" s="110">
        <f>N(Ativos!F24)</f>
        <v/>
      </c>
      <c r="R24" s="109">
        <f>P24-Q24</f>
        <v/>
      </c>
      <c r="S24" s="107">
        <f>MAX(0,Q24*$G$36-G24)</f>
        <v/>
      </c>
      <c r="T24" s="108">
        <f>N(Ativos!E24)</f>
        <v/>
      </c>
      <c r="U24" s="111">
        <f>T24/12</f>
        <v/>
      </c>
      <c r="V24" s="107">
        <f>C24*U24</f>
        <v/>
      </c>
      <c r="W24" s="109">
        <f>IF(META_MENSAL&gt;0,MIN(1,V24/META_MENSAL),0)</f>
        <v/>
      </c>
      <c r="X24" s="106">
        <f>IF(U24&gt;0,ROUNDUP(META_MENSAL/U24,0),0)</f>
        <v/>
      </c>
      <c r="Y24" s="106">
        <f>MAX(0,X24-C24)</f>
        <v/>
      </c>
      <c r="Z24" s="112">
        <f>Y24*F24</f>
        <v/>
      </c>
      <c r="AA24" s="113">
        <f>IF(APORTE_MENSAL&gt;0,ROUNDUP(Z24/APORTE_MENSAL,0),0)</f>
        <v/>
      </c>
      <c r="AB24" s="105">
        <f>IF(Ativos!C24="","",Ativos!C24)</f>
        <v/>
      </c>
      <c r="AC24" s="114">
        <f>IF(A24="",0,IF(OR(FILTRO_TIPO="Todos",B24=FILTRO_TIPO),1,0))</f>
        <v/>
      </c>
    </row>
    <row r="25">
      <c r="A25" s="95">
        <f>IF(Ativos!A25="","",Ativos!A25)</f>
        <v/>
      </c>
      <c r="B25" s="95">
        <f>IF(Ativos!B25="","",Ativos!B25)</f>
        <v/>
      </c>
      <c r="C25" s="96">
        <f>SUMIFS('Lançamentos'!$D$5:$D$5000,'Lançamentos'!$B$5:$B$5000,A25,'Lançamentos'!$C$5:$C$5000,"COMPRA")-SUMIFS('Lançamentos'!$D$5:$D$5000,'Lançamentos'!$B$5:$B$5000,A25,'Lançamentos'!$C$5:$C$5000,"VENDA")</f>
        <v/>
      </c>
      <c r="D25" s="97">
        <f>IFERROR(SUMIFS('Lançamentos'!$G$5:$G$5000,'Lançamentos'!$B$5:$B$5000,A25,'Lançamentos'!$C$5:$C$5000,"COMPRA")/SUMIFS('Lançamentos'!$D$5:$D$5000,'Lançamentos'!$B$5:$B$5000,A25,'Lançamentos'!$C$5:$C$5000,"COMPRA"),0)</f>
        <v/>
      </c>
      <c r="E25" s="97">
        <f>C25*D25</f>
        <v/>
      </c>
      <c r="F25" s="98">
        <f>N(Ativos!D25)</f>
        <v/>
      </c>
      <c r="G25" s="97">
        <f>C25*F25</f>
        <v/>
      </c>
      <c r="H25" s="97">
        <f>G25-E25</f>
        <v/>
      </c>
      <c r="I25" s="99">
        <f>IF(E25&gt;0,H25/E25,0)</f>
        <v/>
      </c>
      <c r="J25" s="97">
        <f>SUMIFS(Proventos!$F$5:$F$5000,Proventos!$B$5:$B$5000,A25)</f>
        <v/>
      </c>
      <c r="K25" s="97">
        <f>SUMIFS(Proventos!$F$5:$F$5000,Proventos!$B$5:$B$5000,A25,Proventos!$A$5:$A$5000,"&gt;="&amp;(TODAY()-365))</f>
        <v/>
      </c>
      <c r="L25" s="97">
        <f>H25+J25</f>
        <v/>
      </c>
      <c r="M25" s="99">
        <f>IF(E25&gt;0,L25/E25,0)</f>
        <v/>
      </c>
      <c r="N25" s="99">
        <f>IF(D25&gt;0,T25/D25,0)</f>
        <v/>
      </c>
      <c r="O25" s="99">
        <f>IF(F25&gt;0,T25/F25,0)</f>
        <v/>
      </c>
      <c r="P25" s="99">
        <f>IF($G$36&gt;0,G25/$G$36,0)</f>
        <v/>
      </c>
      <c r="Q25" s="100">
        <f>N(Ativos!F25)</f>
        <v/>
      </c>
      <c r="R25" s="99">
        <f>P25-Q25</f>
        <v/>
      </c>
      <c r="S25" s="97">
        <f>MAX(0,Q25*$G$36-G25)</f>
        <v/>
      </c>
      <c r="T25" s="98">
        <f>N(Ativos!E25)</f>
        <v/>
      </c>
      <c r="U25" s="101">
        <f>T25/12</f>
        <v/>
      </c>
      <c r="V25" s="97">
        <f>C25*U25</f>
        <v/>
      </c>
      <c r="W25" s="99">
        <f>IF(META_MENSAL&gt;0,MIN(1,V25/META_MENSAL),0)</f>
        <v/>
      </c>
      <c r="X25" s="96">
        <f>IF(U25&gt;0,ROUNDUP(META_MENSAL/U25,0),0)</f>
        <v/>
      </c>
      <c r="Y25" s="96">
        <f>MAX(0,X25-C25)</f>
        <v/>
      </c>
      <c r="Z25" s="102">
        <f>Y25*F25</f>
        <v/>
      </c>
      <c r="AA25" s="103">
        <f>IF(APORTE_MENSAL&gt;0,ROUNDUP(Z25/APORTE_MENSAL,0),0)</f>
        <v/>
      </c>
      <c r="AB25" s="95">
        <f>IF(Ativos!C25="","",Ativos!C25)</f>
        <v/>
      </c>
      <c r="AC25" s="104">
        <f>IF(A25="",0,IF(OR(FILTRO_TIPO="Todos",B25=FILTRO_TIPO),1,0))</f>
        <v/>
      </c>
    </row>
    <row r="26">
      <c r="A26" s="105">
        <f>IF(Ativos!A26="","",Ativos!A26)</f>
        <v/>
      </c>
      <c r="B26" s="105">
        <f>IF(Ativos!B26="","",Ativos!B26)</f>
        <v/>
      </c>
      <c r="C26" s="106">
        <f>SUMIFS('Lançamentos'!$D$5:$D$5000,'Lançamentos'!$B$5:$B$5000,A26,'Lançamentos'!$C$5:$C$5000,"COMPRA")-SUMIFS('Lançamentos'!$D$5:$D$5000,'Lançamentos'!$B$5:$B$5000,A26,'Lançamentos'!$C$5:$C$5000,"VENDA")</f>
        <v/>
      </c>
      <c r="D26" s="107">
        <f>IFERROR(SUMIFS('Lançamentos'!$G$5:$G$5000,'Lançamentos'!$B$5:$B$5000,A26,'Lançamentos'!$C$5:$C$5000,"COMPRA")/SUMIFS('Lançamentos'!$D$5:$D$5000,'Lançamentos'!$B$5:$B$5000,A26,'Lançamentos'!$C$5:$C$5000,"COMPRA"),0)</f>
        <v/>
      </c>
      <c r="E26" s="107">
        <f>C26*D26</f>
        <v/>
      </c>
      <c r="F26" s="108">
        <f>N(Ativos!D26)</f>
        <v/>
      </c>
      <c r="G26" s="107">
        <f>C26*F26</f>
        <v/>
      </c>
      <c r="H26" s="107">
        <f>G26-E26</f>
        <v/>
      </c>
      <c r="I26" s="109">
        <f>IF(E26&gt;0,H26/E26,0)</f>
        <v/>
      </c>
      <c r="J26" s="107">
        <f>SUMIFS(Proventos!$F$5:$F$5000,Proventos!$B$5:$B$5000,A26)</f>
        <v/>
      </c>
      <c r="K26" s="107">
        <f>SUMIFS(Proventos!$F$5:$F$5000,Proventos!$B$5:$B$5000,A26,Proventos!$A$5:$A$5000,"&gt;="&amp;(TODAY()-365))</f>
        <v/>
      </c>
      <c r="L26" s="107">
        <f>H26+J26</f>
        <v/>
      </c>
      <c r="M26" s="109">
        <f>IF(E26&gt;0,L26/E26,0)</f>
        <v/>
      </c>
      <c r="N26" s="109">
        <f>IF(D26&gt;0,T26/D26,0)</f>
        <v/>
      </c>
      <c r="O26" s="109">
        <f>IF(F26&gt;0,T26/F26,0)</f>
        <v/>
      </c>
      <c r="P26" s="109">
        <f>IF($G$36&gt;0,G26/$G$36,0)</f>
        <v/>
      </c>
      <c r="Q26" s="110">
        <f>N(Ativos!F26)</f>
        <v/>
      </c>
      <c r="R26" s="109">
        <f>P26-Q26</f>
        <v/>
      </c>
      <c r="S26" s="107">
        <f>MAX(0,Q26*$G$36-G26)</f>
        <v/>
      </c>
      <c r="T26" s="108">
        <f>N(Ativos!E26)</f>
        <v/>
      </c>
      <c r="U26" s="111">
        <f>T26/12</f>
        <v/>
      </c>
      <c r="V26" s="107">
        <f>C26*U26</f>
        <v/>
      </c>
      <c r="W26" s="109">
        <f>IF(META_MENSAL&gt;0,MIN(1,V26/META_MENSAL),0)</f>
        <v/>
      </c>
      <c r="X26" s="106">
        <f>IF(U26&gt;0,ROUNDUP(META_MENSAL/U26,0),0)</f>
        <v/>
      </c>
      <c r="Y26" s="106">
        <f>MAX(0,X26-C26)</f>
        <v/>
      </c>
      <c r="Z26" s="112">
        <f>Y26*F26</f>
        <v/>
      </c>
      <c r="AA26" s="113">
        <f>IF(APORTE_MENSAL&gt;0,ROUNDUP(Z26/APORTE_MENSAL,0),0)</f>
        <v/>
      </c>
      <c r="AB26" s="105">
        <f>IF(Ativos!C26="","",Ativos!C26)</f>
        <v/>
      </c>
      <c r="AC26" s="114">
        <f>IF(A26="",0,IF(OR(FILTRO_TIPO="Todos",B26=FILTRO_TIPO),1,0))</f>
        <v/>
      </c>
    </row>
    <row r="27">
      <c r="A27" s="95">
        <f>IF(Ativos!A27="","",Ativos!A27)</f>
        <v/>
      </c>
      <c r="B27" s="95">
        <f>IF(Ativos!B27="","",Ativos!B27)</f>
        <v/>
      </c>
      <c r="C27" s="96">
        <f>SUMIFS('Lançamentos'!$D$5:$D$5000,'Lançamentos'!$B$5:$B$5000,A27,'Lançamentos'!$C$5:$C$5000,"COMPRA")-SUMIFS('Lançamentos'!$D$5:$D$5000,'Lançamentos'!$B$5:$B$5000,A27,'Lançamentos'!$C$5:$C$5000,"VENDA")</f>
        <v/>
      </c>
      <c r="D27" s="97">
        <f>IFERROR(SUMIFS('Lançamentos'!$G$5:$G$5000,'Lançamentos'!$B$5:$B$5000,A27,'Lançamentos'!$C$5:$C$5000,"COMPRA")/SUMIFS('Lançamentos'!$D$5:$D$5000,'Lançamentos'!$B$5:$B$5000,A27,'Lançamentos'!$C$5:$C$5000,"COMPRA"),0)</f>
        <v/>
      </c>
      <c r="E27" s="97">
        <f>C27*D27</f>
        <v/>
      </c>
      <c r="F27" s="98">
        <f>N(Ativos!D27)</f>
        <v/>
      </c>
      <c r="G27" s="97">
        <f>C27*F27</f>
        <v/>
      </c>
      <c r="H27" s="97">
        <f>G27-E27</f>
        <v/>
      </c>
      <c r="I27" s="99">
        <f>IF(E27&gt;0,H27/E27,0)</f>
        <v/>
      </c>
      <c r="J27" s="97">
        <f>SUMIFS(Proventos!$F$5:$F$5000,Proventos!$B$5:$B$5000,A27)</f>
        <v/>
      </c>
      <c r="K27" s="97">
        <f>SUMIFS(Proventos!$F$5:$F$5000,Proventos!$B$5:$B$5000,A27,Proventos!$A$5:$A$5000,"&gt;="&amp;(TODAY()-365))</f>
        <v/>
      </c>
      <c r="L27" s="97">
        <f>H27+J27</f>
        <v/>
      </c>
      <c r="M27" s="99">
        <f>IF(E27&gt;0,L27/E27,0)</f>
        <v/>
      </c>
      <c r="N27" s="99">
        <f>IF(D27&gt;0,T27/D27,0)</f>
        <v/>
      </c>
      <c r="O27" s="99">
        <f>IF(F27&gt;0,T27/F27,0)</f>
        <v/>
      </c>
      <c r="P27" s="99">
        <f>IF($G$36&gt;0,G27/$G$36,0)</f>
        <v/>
      </c>
      <c r="Q27" s="100">
        <f>N(Ativos!F27)</f>
        <v/>
      </c>
      <c r="R27" s="99">
        <f>P27-Q27</f>
        <v/>
      </c>
      <c r="S27" s="97">
        <f>MAX(0,Q27*$G$36-G27)</f>
        <v/>
      </c>
      <c r="T27" s="98">
        <f>N(Ativos!E27)</f>
        <v/>
      </c>
      <c r="U27" s="101">
        <f>T27/12</f>
        <v/>
      </c>
      <c r="V27" s="97">
        <f>C27*U27</f>
        <v/>
      </c>
      <c r="W27" s="99">
        <f>IF(META_MENSAL&gt;0,MIN(1,V27/META_MENSAL),0)</f>
        <v/>
      </c>
      <c r="X27" s="96">
        <f>IF(U27&gt;0,ROUNDUP(META_MENSAL/U27,0),0)</f>
        <v/>
      </c>
      <c r="Y27" s="96">
        <f>MAX(0,X27-C27)</f>
        <v/>
      </c>
      <c r="Z27" s="102">
        <f>Y27*F27</f>
        <v/>
      </c>
      <c r="AA27" s="103">
        <f>IF(APORTE_MENSAL&gt;0,ROUNDUP(Z27/APORTE_MENSAL,0),0)</f>
        <v/>
      </c>
      <c r="AB27" s="95">
        <f>IF(Ativos!C27="","",Ativos!C27)</f>
        <v/>
      </c>
      <c r="AC27" s="104">
        <f>IF(A27="",0,IF(OR(FILTRO_TIPO="Todos",B27=FILTRO_TIPO),1,0))</f>
        <v/>
      </c>
    </row>
    <row r="28">
      <c r="A28" s="105">
        <f>IF(Ativos!A28="","",Ativos!A28)</f>
        <v/>
      </c>
      <c r="B28" s="105">
        <f>IF(Ativos!B28="","",Ativos!B28)</f>
        <v/>
      </c>
      <c r="C28" s="106">
        <f>SUMIFS('Lançamentos'!$D$5:$D$5000,'Lançamentos'!$B$5:$B$5000,A28,'Lançamentos'!$C$5:$C$5000,"COMPRA")-SUMIFS('Lançamentos'!$D$5:$D$5000,'Lançamentos'!$B$5:$B$5000,A28,'Lançamentos'!$C$5:$C$5000,"VENDA")</f>
        <v/>
      </c>
      <c r="D28" s="107">
        <f>IFERROR(SUMIFS('Lançamentos'!$G$5:$G$5000,'Lançamentos'!$B$5:$B$5000,A28,'Lançamentos'!$C$5:$C$5000,"COMPRA")/SUMIFS('Lançamentos'!$D$5:$D$5000,'Lançamentos'!$B$5:$B$5000,A28,'Lançamentos'!$C$5:$C$5000,"COMPRA"),0)</f>
        <v/>
      </c>
      <c r="E28" s="107">
        <f>C28*D28</f>
        <v/>
      </c>
      <c r="F28" s="108">
        <f>N(Ativos!D28)</f>
        <v/>
      </c>
      <c r="G28" s="107">
        <f>C28*F28</f>
        <v/>
      </c>
      <c r="H28" s="107">
        <f>G28-E28</f>
        <v/>
      </c>
      <c r="I28" s="109">
        <f>IF(E28&gt;0,H28/E28,0)</f>
        <v/>
      </c>
      <c r="J28" s="107">
        <f>SUMIFS(Proventos!$F$5:$F$5000,Proventos!$B$5:$B$5000,A28)</f>
        <v/>
      </c>
      <c r="K28" s="107">
        <f>SUMIFS(Proventos!$F$5:$F$5000,Proventos!$B$5:$B$5000,A28,Proventos!$A$5:$A$5000,"&gt;="&amp;(TODAY()-365))</f>
        <v/>
      </c>
      <c r="L28" s="107">
        <f>H28+J28</f>
        <v/>
      </c>
      <c r="M28" s="109">
        <f>IF(E28&gt;0,L28/E28,0)</f>
        <v/>
      </c>
      <c r="N28" s="109">
        <f>IF(D28&gt;0,T28/D28,0)</f>
        <v/>
      </c>
      <c r="O28" s="109">
        <f>IF(F28&gt;0,T28/F28,0)</f>
        <v/>
      </c>
      <c r="P28" s="109">
        <f>IF($G$36&gt;0,G28/$G$36,0)</f>
        <v/>
      </c>
      <c r="Q28" s="110">
        <f>N(Ativos!F28)</f>
        <v/>
      </c>
      <c r="R28" s="109">
        <f>P28-Q28</f>
        <v/>
      </c>
      <c r="S28" s="107">
        <f>MAX(0,Q28*$G$36-G28)</f>
        <v/>
      </c>
      <c r="T28" s="108">
        <f>N(Ativos!E28)</f>
        <v/>
      </c>
      <c r="U28" s="111">
        <f>T28/12</f>
        <v/>
      </c>
      <c r="V28" s="107">
        <f>C28*U28</f>
        <v/>
      </c>
      <c r="W28" s="109">
        <f>IF(META_MENSAL&gt;0,MIN(1,V28/META_MENSAL),0)</f>
        <v/>
      </c>
      <c r="X28" s="106">
        <f>IF(U28&gt;0,ROUNDUP(META_MENSAL/U28,0),0)</f>
        <v/>
      </c>
      <c r="Y28" s="106">
        <f>MAX(0,X28-C28)</f>
        <v/>
      </c>
      <c r="Z28" s="112">
        <f>Y28*F28</f>
        <v/>
      </c>
      <c r="AA28" s="113">
        <f>IF(APORTE_MENSAL&gt;0,ROUNDUP(Z28/APORTE_MENSAL,0),0)</f>
        <v/>
      </c>
      <c r="AB28" s="105">
        <f>IF(Ativos!C28="","",Ativos!C28)</f>
        <v/>
      </c>
      <c r="AC28" s="114">
        <f>IF(A28="",0,IF(OR(FILTRO_TIPO="Todos",B28=FILTRO_TIPO),1,0))</f>
        <v/>
      </c>
    </row>
    <row r="29">
      <c r="A29" s="95">
        <f>IF(Ativos!A29="","",Ativos!A29)</f>
        <v/>
      </c>
      <c r="B29" s="95">
        <f>IF(Ativos!B29="","",Ativos!B29)</f>
        <v/>
      </c>
      <c r="C29" s="96">
        <f>SUMIFS('Lançamentos'!$D$5:$D$5000,'Lançamentos'!$B$5:$B$5000,A29,'Lançamentos'!$C$5:$C$5000,"COMPRA")-SUMIFS('Lançamentos'!$D$5:$D$5000,'Lançamentos'!$B$5:$B$5000,A29,'Lançamentos'!$C$5:$C$5000,"VENDA")</f>
        <v/>
      </c>
      <c r="D29" s="97">
        <f>IFERROR(SUMIFS('Lançamentos'!$G$5:$G$5000,'Lançamentos'!$B$5:$B$5000,A29,'Lançamentos'!$C$5:$C$5000,"COMPRA")/SUMIFS('Lançamentos'!$D$5:$D$5000,'Lançamentos'!$B$5:$B$5000,A29,'Lançamentos'!$C$5:$C$5000,"COMPRA"),0)</f>
        <v/>
      </c>
      <c r="E29" s="97">
        <f>C29*D29</f>
        <v/>
      </c>
      <c r="F29" s="98">
        <f>N(Ativos!D29)</f>
        <v/>
      </c>
      <c r="G29" s="97">
        <f>C29*F29</f>
        <v/>
      </c>
      <c r="H29" s="97">
        <f>G29-E29</f>
        <v/>
      </c>
      <c r="I29" s="99">
        <f>IF(E29&gt;0,H29/E29,0)</f>
        <v/>
      </c>
      <c r="J29" s="97">
        <f>SUMIFS(Proventos!$F$5:$F$5000,Proventos!$B$5:$B$5000,A29)</f>
        <v/>
      </c>
      <c r="K29" s="97">
        <f>SUMIFS(Proventos!$F$5:$F$5000,Proventos!$B$5:$B$5000,A29,Proventos!$A$5:$A$5000,"&gt;="&amp;(TODAY()-365))</f>
        <v/>
      </c>
      <c r="L29" s="97">
        <f>H29+J29</f>
        <v/>
      </c>
      <c r="M29" s="99">
        <f>IF(E29&gt;0,L29/E29,0)</f>
        <v/>
      </c>
      <c r="N29" s="99">
        <f>IF(D29&gt;0,T29/D29,0)</f>
        <v/>
      </c>
      <c r="O29" s="99">
        <f>IF(F29&gt;0,T29/F29,0)</f>
        <v/>
      </c>
      <c r="P29" s="99">
        <f>IF($G$36&gt;0,G29/$G$36,0)</f>
        <v/>
      </c>
      <c r="Q29" s="100">
        <f>N(Ativos!F29)</f>
        <v/>
      </c>
      <c r="R29" s="99">
        <f>P29-Q29</f>
        <v/>
      </c>
      <c r="S29" s="97">
        <f>MAX(0,Q29*$G$36-G29)</f>
        <v/>
      </c>
      <c r="T29" s="98">
        <f>N(Ativos!E29)</f>
        <v/>
      </c>
      <c r="U29" s="101">
        <f>T29/12</f>
        <v/>
      </c>
      <c r="V29" s="97">
        <f>C29*U29</f>
        <v/>
      </c>
      <c r="W29" s="99">
        <f>IF(META_MENSAL&gt;0,MIN(1,V29/META_MENSAL),0)</f>
        <v/>
      </c>
      <c r="X29" s="96">
        <f>IF(U29&gt;0,ROUNDUP(META_MENSAL/U29,0),0)</f>
        <v/>
      </c>
      <c r="Y29" s="96">
        <f>MAX(0,X29-C29)</f>
        <v/>
      </c>
      <c r="Z29" s="102">
        <f>Y29*F29</f>
        <v/>
      </c>
      <c r="AA29" s="103">
        <f>IF(APORTE_MENSAL&gt;0,ROUNDUP(Z29/APORTE_MENSAL,0),0)</f>
        <v/>
      </c>
      <c r="AB29" s="95">
        <f>IF(Ativos!C29="","",Ativos!C29)</f>
        <v/>
      </c>
      <c r="AC29" s="104">
        <f>IF(A29="",0,IF(OR(FILTRO_TIPO="Todos",B29=FILTRO_TIPO),1,0))</f>
        <v/>
      </c>
    </row>
    <row r="30">
      <c r="A30" s="105">
        <f>IF(Ativos!A30="","",Ativos!A30)</f>
        <v/>
      </c>
      <c r="B30" s="105">
        <f>IF(Ativos!B30="","",Ativos!B30)</f>
        <v/>
      </c>
      <c r="C30" s="106">
        <f>SUMIFS('Lançamentos'!$D$5:$D$5000,'Lançamentos'!$B$5:$B$5000,A30,'Lançamentos'!$C$5:$C$5000,"COMPRA")-SUMIFS('Lançamentos'!$D$5:$D$5000,'Lançamentos'!$B$5:$B$5000,A30,'Lançamentos'!$C$5:$C$5000,"VENDA")</f>
        <v/>
      </c>
      <c r="D30" s="107">
        <f>IFERROR(SUMIFS('Lançamentos'!$G$5:$G$5000,'Lançamentos'!$B$5:$B$5000,A30,'Lançamentos'!$C$5:$C$5000,"COMPRA")/SUMIFS('Lançamentos'!$D$5:$D$5000,'Lançamentos'!$B$5:$B$5000,A30,'Lançamentos'!$C$5:$C$5000,"COMPRA"),0)</f>
        <v/>
      </c>
      <c r="E30" s="107">
        <f>C30*D30</f>
        <v/>
      </c>
      <c r="F30" s="108">
        <f>N(Ativos!D30)</f>
        <v/>
      </c>
      <c r="G30" s="107">
        <f>C30*F30</f>
        <v/>
      </c>
      <c r="H30" s="107">
        <f>G30-E30</f>
        <v/>
      </c>
      <c r="I30" s="109">
        <f>IF(E30&gt;0,H30/E30,0)</f>
        <v/>
      </c>
      <c r="J30" s="107">
        <f>SUMIFS(Proventos!$F$5:$F$5000,Proventos!$B$5:$B$5000,A30)</f>
        <v/>
      </c>
      <c r="K30" s="107">
        <f>SUMIFS(Proventos!$F$5:$F$5000,Proventos!$B$5:$B$5000,A30,Proventos!$A$5:$A$5000,"&gt;="&amp;(TODAY()-365))</f>
        <v/>
      </c>
      <c r="L30" s="107">
        <f>H30+J30</f>
        <v/>
      </c>
      <c r="M30" s="109">
        <f>IF(E30&gt;0,L30/E30,0)</f>
        <v/>
      </c>
      <c r="N30" s="109">
        <f>IF(D30&gt;0,T30/D30,0)</f>
        <v/>
      </c>
      <c r="O30" s="109">
        <f>IF(F30&gt;0,T30/F30,0)</f>
        <v/>
      </c>
      <c r="P30" s="109">
        <f>IF($G$36&gt;0,G30/$G$36,0)</f>
        <v/>
      </c>
      <c r="Q30" s="110">
        <f>N(Ativos!F30)</f>
        <v/>
      </c>
      <c r="R30" s="109">
        <f>P30-Q30</f>
        <v/>
      </c>
      <c r="S30" s="107">
        <f>MAX(0,Q30*$G$36-G30)</f>
        <v/>
      </c>
      <c r="T30" s="108">
        <f>N(Ativos!E30)</f>
        <v/>
      </c>
      <c r="U30" s="111">
        <f>T30/12</f>
        <v/>
      </c>
      <c r="V30" s="107">
        <f>C30*U30</f>
        <v/>
      </c>
      <c r="W30" s="109">
        <f>IF(META_MENSAL&gt;0,MIN(1,V30/META_MENSAL),0)</f>
        <v/>
      </c>
      <c r="X30" s="106">
        <f>IF(U30&gt;0,ROUNDUP(META_MENSAL/U30,0),0)</f>
        <v/>
      </c>
      <c r="Y30" s="106">
        <f>MAX(0,X30-C30)</f>
        <v/>
      </c>
      <c r="Z30" s="112">
        <f>Y30*F30</f>
        <v/>
      </c>
      <c r="AA30" s="113">
        <f>IF(APORTE_MENSAL&gt;0,ROUNDUP(Z30/APORTE_MENSAL,0),0)</f>
        <v/>
      </c>
      <c r="AB30" s="105">
        <f>IF(Ativos!C30="","",Ativos!C30)</f>
        <v/>
      </c>
      <c r="AC30" s="114">
        <f>IF(A30="",0,IF(OR(FILTRO_TIPO="Todos",B30=FILTRO_TIPO),1,0))</f>
        <v/>
      </c>
    </row>
    <row r="31">
      <c r="A31" s="95">
        <f>IF(Ativos!A31="","",Ativos!A31)</f>
        <v/>
      </c>
      <c r="B31" s="95">
        <f>IF(Ativos!B31="","",Ativos!B31)</f>
        <v/>
      </c>
      <c r="C31" s="96">
        <f>SUMIFS('Lançamentos'!$D$5:$D$5000,'Lançamentos'!$B$5:$B$5000,A31,'Lançamentos'!$C$5:$C$5000,"COMPRA")-SUMIFS('Lançamentos'!$D$5:$D$5000,'Lançamentos'!$B$5:$B$5000,A31,'Lançamentos'!$C$5:$C$5000,"VENDA")</f>
        <v/>
      </c>
      <c r="D31" s="97">
        <f>IFERROR(SUMIFS('Lançamentos'!$G$5:$G$5000,'Lançamentos'!$B$5:$B$5000,A31,'Lançamentos'!$C$5:$C$5000,"COMPRA")/SUMIFS('Lançamentos'!$D$5:$D$5000,'Lançamentos'!$B$5:$B$5000,A31,'Lançamentos'!$C$5:$C$5000,"COMPRA"),0)</f>
        <v/>
      </c>
      <c r="E31" s="97">
        <f>C31*D31</f>
        <v/>
      </c>
      <c r="F31" s="98">
        <f>N(Ativos!D31)</f>
        <v/>
      </c>
      <c r="G31" s="97">
        <f>C31*F31</f>
        <v/>
      </c>
      <c r="H31" s="97">
        <f>G31-E31</f>
        <v/>
      </c>
      <c r="I31" s="99">
        <f>IF(E31&gt;0,H31/E31,0)</f>
        <v/>
      </c>
      <c r="J31" s="97">
        <f>SUMIFS(Proventos!$F$5:$F$5000,Proventos!$B$5:$B$5000,A31)</f>
        <v/>
      </c>
      <c r="K31" s="97">
        <f>SUMIFS(Proventos!$F$5:$F$5000,Proventos!$B$5:$B$5000,A31,Proventos!$A$5:$A$5000,"&gt;="&amp;(TODAY()-365))</f>
        <v/>
      </c>
      <c r="L31" s="97">
        <f>H31+J31</f>
        <v/>
      </c>
      <c r="M31" s="99">
        <f>IF(E31&gt;0,L31/E31,0)</f>
        <v/>
      </c>
      <c r="N31" s="99">
        <f>IF(D31&gt;0,T31/D31,0)</f>
        <v/>
      </c>
      <c r="O31" s="99">
        <f>IF(F31&gt;0,T31/F31,0)</f>
        <v/>
      </c>
      <c r="P31" s="99">
        <f>IF($G$36&gt;0,G31/$G$36,0)</f>
        <v/>
      </c>
      <c r="Q31" s="100">
        <f>N(Ativos!F31)</f>
        <v/>
      </c>
      <c r="R31" s="99">
        <f>P31-Q31</f>
        <v/>
      </c>
      <c r="S31" s="97">
        <f>MAX(0,Q31*$G$36-G31)</f>
        <v/>
      </c>
      <c r="T31" s="98">
        <f>N(Ativos!E31)</f>
        <v/>
      </c>
      <c r="U31" s="101">
        <f>T31/12</f>
        <v/>
      </c>
      <c r="V31" s="97">
        <f>C31*U31</f>
        <v/>
      </c>
      <c r="W31" s="99">
        <f>IF(META_MENSAL&gt;0,MIN(1,V31/META_MENSAL),0)</f>
        <v/>
      </c>
      <c r="X31" s="96">
        <f>IF(U31&gt;0,ROUNDUP(META_MENSAL/U31,0),0)</f>
        <v/>
      </c>
      <c r="Y31" s="96">
        <f>MAX(0,X31-C31)</f>
        <v/>
      </c>
      <c r="Z31" s="102">
        <f>Y31*F31</f>
        <v/>
      </c>
      <c r="AA31" s="103">
        <f>IF(APORTE_MENSAL&gt;0,ROUNDUP(Z31/APORTE_MENSAL,0),0)</f>
        <v/>
      </c>
      <c r="AB31" s="95">
        <f>IF(Ativos!C31="","",Ativos!C31)</f>
        <v/>
      </c>
      <c r="AC31" s="104">
        <f>IF(A31="",0,IF(OR(FILTRO_TIPO="Todos",B31=FILTRO_TIPO),1,0))</f>
        <v/>
      </c>
    </row>
    <row r="32">
      <c r="A32" s="105">
        <f>IF(Ativos!A32="","",Ativos!A32)</f>
        <v/>
      </c>
      <c r="B32" s="105">
        <f>IF(Ativos!B32="","",Ativos!B32)</f>
        <v/>
      </c>
      <c r="C32" s="106">
        <f>SUMIFS('Lançamentos'!$D$5:$D$5000,'Lançamentos'!$B$5:$B$5000,A32,'Lançamentos'!$C$5:$C$5000,"COMPRA")-SUMIFS('Lançamentos'!$D$5:$D$5000,'Lançamentos'!$B$5:$B$5000,A32,'Lançamentos'!$C$5:$C$5000,"VENDA")</f>
        <v/>
      </c>
      <c r="D32" s="107">
        <f>IFERROR(SUMIFS('Lançamentos'!$G$5:$G$5000,'Lançamentos'!$B$5:$B$5000,A32,'Lançamentos'!$C$5:$C$5000,"COMPRA")/SUMIFS('Lançamentos'!$D$5:$D$5000,'Lançamentos'!$B$5:$B$5000,A32,'Lançamentos'!$C$5:$C$5000,"COMPRA"),0)</f>
        <v/>
      </c>
      <c r="E32" s="107">
        <f>C32*D32</f>
        <v/>
      </c>
      <c r="F32" s="108">
        <f>N(Ativos!D32)</f>
        <v/>
      </c>
      <c r="G32" s="107">
        <f>C32*F32</f>
        <v/>
      </c>
      <c r="H32" s="107">
        <f>G32-E32</f>
        <v/>
      </c>
      <c r="I32" s="109">
        <f>IF(E32&gt;0,H32/E32,0)</f>
        <v/>
      </c>
      <c r="J32" s="107">
        <f>SUMIFS(Proventos!$F$5:$F$5000,Proventos!$B$5:$B$5000,A32)</f>
        <v/>
      </c>
      <c r="K32" s="107">
        <f>SUMIFS(Proventos!$F$5:$F$5000,Proventos!$B$5:$B$5000,A32,Proventos!$A$5:$A$5000,"&gt;="&amp;(TODAY()-365))</f>
        <v/>
      </c>
      <c r="L32" s="107">
        <f>H32+J32</f>
        <v/>
      </c>
      <c r="M32" s="109">
        <f>IF(E32&gt;0,L32/E32,0)</f>
        <v/>
      </c>
      <c r="N32" s="109">
        <f>IF(D32&gt;0,T32/D32,0)</f>
        <v/>
      </c>
      <c r="O32" s="109">
        <f>IF(F32&gt;0,T32/F32,0)</f>
        <v/>
      </c>
      <c r="P32" s="109">
        <f>IF($G$36&gt;0,G32/$G$36,0)</f>
        <v/>
      </c>
      <c r="Q32" s="110">
        <f>N(Ativos!F32)</f>
        <v/>
      </c>
      <c r="R32" s="109">
        <f>P32-Q32</f>
        <v/>
      </c>
      <c r="S32" s="107">
        <f>MAX(0,Q32*$G$36-G32)</f>
        <v/>
      </c>
      <c r="T32" s="108">
        <f>N(Ativos!E32)</f>
        <v/>
      </c>
      <c r="U32" s="111">
        <f>T32/12</f>
        <v/>
      </c>
      <c r="V32" s="107">
        <f>C32*U32</f>
        <v/>
      </c>
      <c r="W32" s="109">
        <f>IF(META_MENSAL&gt;0,MIN(1,V32/META_MENSAL),0)</f>
        <v/>
      </c>
      <c r="X32" s="106">
        <f>IF(U32&gt;0,ROUNDUP(META_MENSAL/U32,0),0)</f>
        <v/>
      </c>
      <c r="Y32" s="106">
        <f>MAX(0,X32-C32)</f>
        <v/>
      </c>
      <c r="Z32" s="112">
        <f>Y32*F32</f>
        <v/>
      </c>
      <c r="AA32" s="113">
        <f>IF(APORTE_MENSAL&gt;0,ROUNDUP(Z32/APORTE_MENSAL,0),0)</f>
        <v/>
      </c>
      <c r="AB32" s="105">
        <f>IF(Ativos!C32="","",Ativos!C32)</f>
        <v/>
      </c>
      <c r="AC32" s="114">
        <f>IF(A32="",0,IF(OR(FILTRO_TIPO="Todos",B32=FILTRO_TIPO),1,0))</f>
        <v/>
      </c>
    </row>
    <row r="33">
      <c r="A33" s="95">
        <f>IF(Ativos!A33="","",Ativos!A33)</f>
        <v/>
      </c>
      <c r="B33" s="95">
        <f>IF(Ativos!B33="","",Ativos!B33)</f>
        <v/>
      </c>
      <c r="C33" s="96">
        <f>SUMIFS('Lançamentos'!$D$5:$D$5000,'Lançamentos'!$B$5:$B$5000,A33,'Lançamentos'!$C$5:$C$5000,"COMPRA")-SUMIFS('Lançamentos'!$D$5:$D$5000,'Lançamentos'!$B$5:$B$5000,A33,'Lançamentos'!$C$5:$C$5000,"VENDA")</f>
        <v/>
      </c>
      <c r="D33" s="97">
        <f>IFERROR(SUMIFS('Lançamentos'!$G$5:$G$5000,'Lançamentos'!$B$5:$B$5000,A33,'Lançamentos'!$C$5:$C$5000,"COMPRA")/SUMIFS('Lançamentos'!$D$5:$D$5000,'Lançamentos'!$B$5:$B$5000,A33,'Lançamentos'!$C$5:$C$5000,"COMPRA"),0)</f>
        <v/>
      </c>
      <c r="E33" s="97">
        <f>C33*D33</f>
        <v/>
      </c>
      <c r="F33" s="98">
        <f>N(Ativos!D33)</f>
        <v/>
      </c>
      <c r="G33" s="97">
        <f>C33*F33</f>
        <v/>
      </c>
      <c r="H33" s="97">
        <f>G33-E33</f>
        <v/>
      </c>
      <c r="I33" s="99">
        <f>IF(E33&gt;0,H33/E33,0)</f>
        <v/>
      </c>
      <c r="J33" s="97">
        <f>SUMIFS(Proventos!$F$5:$F$5000,Proventos!$B$5:$B$5000,A33)</f>
        <v/>
      </c>
      <c r="K33" s="97">
        <f>SUMIFS(Proventos!$F$5:$F$5000,Proventos!$B$5:$B$5000,A33,Proventos!$A$5:$A$5000,"&gt;="&amp;(TODAY()-365))</f>
        <v/>
      </c>
      <c r="L33" s="97">
        <f>H33+J33</f>
        <v/>
      </c>
      <c r="M33" s="99">
        <f>IF(E33&gt;0,L33/E33,0)</f>
        <v/>
      </c>
      <c r="N33" s="99">
        <f>IF(D33&gt;0,T33/D33,0)</f>
        <v/>
      </c>
      <c r="O33" s="99">
        <f>IF(F33&gt;0,T33/F33,0)</f>
        <v/>
      </c>
      <c r="P33" s="99">
        <f>IF($G$36&gt;0,G33/$G$36,0)</f>
        <v/>
      </c>
      <c r="Q33" s="100">
        <f>N(Ativos!F33)</f>
        <v/>
      </c>
      <c r="R33" s="99">
        <f>P33-Q33</f>
        <v/>
      </c>
      <c r="S33" s="97">
        <f>MAX(0,Q33*$G$36-G33)</f>
        <v/>
      </c>
      <c r="T33" s="98">
        <f>N(Ativos!E33)</f>
        <v/>
      </c>
      <c r="U33" s="101">
        <f>T33/12</f>
        <v/>
      </c>
      <c r="V33" s="97">
        <f>C33*U33</f>
        <v/>
      </c>
      <c r="W33" s="99">
        <f>IF(META_MENSAL&gt;0,MIN(1,V33/META_MENSAL),0)</f>
        <v/>
      </c>
      <c r="X33" s="96">
        <f>IF(U33&gt;0,ROUNDUP(META_MENSAL/U33,0),0)</f>
        <v/>
      </c>
      <c r="Y33" s="96">
        <f>MAX(0,X33-C33)</f>
        <v/>
      </c>
      <c r="Z33" s="102">
        <f>Y33*F33</f>
        <v/>
      </c>
      <c r="AA33" s="103">
        <f>IF(APORTE_MENSAL&gt;0,ROUNDUP(Z33/APORTE_MENSAL,0),0)</f>
        <v/>
      </c>
      <c r="AB33" s="95">
        <f>IF(Ativos!C33="","",Ativos!C33)</f>
        <v/>
      </c>
      <c r="AC33" s="104">
        <f>IF(A33="",0,IF(OR(FILTRO_TIPO="Todos",B33=FILTRO_TIPO),1,0))</f>
        <v/>
      </c>
    </row>
    <row r="34">
      <c r="A34" s="105">
        <f>IF(Ativos!A34="","",Ativos!A34)</f>
        <v/>
      </c>
      <c r="B34" s="105">
        <f>IF(Ativos!B34="","",Ativos!B34)</f>
        <v/>
      </c>
      <c r="C34" s="106">
        <f>SUMIFS('Lançamentos'!$D$5:$D$5000,'Lançamentos'!$B$5:$B$5000,A34,'Lançamentos'!$C$5:$C$5000,"COMPRA")-SUMIFS('Lançamentos'!$D$5:$D$5000,'Lançamentos'!$B$5:$B$5000,A34,'Lançamentos'!$C$5:$C$5000,"VENDA")</f>
        <v/>
      </c>
      <c r="D34" s="107">
        <f>IFERROR(SUMIFS('Lançamentos'!$G$5:$G$5000,'Lançamentos'!$B$5:$B$5000,A34,'Lançamentos'!$C$5:$C$5000,"COMPRA")/SUMIFS('Lançamentos'!$D$5:$D$5000,'Lançamentos'!$B$5:$B$5000,A34,'Lançamentos'!$C$5:$C$5000,"COMPRA"),0)</f>
        <v/>
      </c>
      <c r="E34" s="107">
        <f>C34*D34</f>
        <v/>
      </c>
      <c r="F34" s="108">
        <f>N(Ativos!D34)</f>
        <v/>
      </c>
      <c r="G34" s="107">
        <f>C34*F34</f>
        <v/>
      </c>
      <c r="H34" s="107">
        <f>G34-E34</f>
        <v/>
      </c>
      <c r="I34" s="109">
        <f>IF(E34&gt;0,H34/E34,0)</f>
        <v/>
      </c>
      <c r="J34" s="107">
        <f>SUMIFS(Proventos!$F$5:$F$5000,Proventos!$B$5:$B$5000,A34)</f>
        <v/>
      </c>
      <c r="K34" s="107">
        <f>SUMIFS(Proventos!$F$5:$F$5000,Proventos!$B$5:$B$5000,A34,Proventos!$A$5:$A$5000,"&gt;="&amp;(TODAY()-365))</f>
        <v/>
      </c>
      <c r="L34" s="107">
        <f>H34+J34</f>
        <v/>
      </c>
      <c r="M34" s="109">
        <f>IF(E34&gt;0,L34/E34,0)</f>
        <v/>
      </c>
      <c r="N34" s="109">
        <f>IF(D34&gt;0,T34/D34,0)</f>
        <v/>
      </c>
      <c r="O34" s="109">
        <f>IF(F34&gt;0,T34/F34,0)</f>
        <v/>
      </c>
      <c r="P34" s="109">
        <f>IF($G$36&gt;0,G34/$G$36,0)</f>
        <v/>
      </c>
      <c r="Q34" s="110">
        <f>N(Ativos!F34)</f>
        <v/>
      </c>
      <c r="R34" s="109">
        <f>P34-Q34</f>
        <v/>
      </c>
      <c r="S34" s="107">
        <f>MAX(0,Q34*$G$36-G34)</f>
        <v/>
      </c>
      <c r="T34" s="108">
        <f>N(Ativos!E34)</f>
        <v/>
      </c>
      <c r="U34" s="111">
        <f>T34/12</f>
        <v/>
      </c>
      <c r="V34" s="107">
        <f>C34*U34</f>
        <v/>
      </c>
      <c r="W34" s="109">
        <f>IF(META_MENSAL&gt;0,MIN(1,V34/META_MENSAL),0)</f>
        <v/>
      </c>
      <c r="X34" s="106">
        <f>IF(U34&gt;0,ROUNDUP(META_MENSAL/U34,0),0)</f>
        <v/>
      </c>
      <c r="Y34" s="106">
        <f>MAX(0,X34-C34)</f>
        <v/>
      </c>
      <c r="Z34" s="112">
        <f>Y34*F34</f>
        <v/>
      </c>
      <c r="AA34" s="113">
        <f>IF(APORTE_MENSAL&gt;0,ROUNDUP(Z34/APORTE_MENSAL,0),0)</f>
        <v/>
      </c>
      <c r="AB34" s="105">
        <f>IF(Ativos!C34="","",Ativos!C34)</f>
        <v/>
      </c>
      <c r="AC34" s="114">
        <f>IF(A34="",0,IF(OR(FILTRO_TIPO="Todos",B34=FILTRO_TIPO),1,0))</f>
        <v/>
      </c>
    </row>
    <row r="35">
      <c r="A35" s="95">
        <f>IF(Ativos!A35="","",Ativos!A35)</f>
        <v/>
      </c>
      <c r="B35" s="95">
        <f>IF(Ativos!B35="","",Ativos!B35)</f>
        <v/>
      </c>
      <c r="C35" s="96">
        <f>SUMIFS('Lançamentos'!$D$5:$D$5000,'Lançamentos'!$B$5:$B$5000,A35,'Lançamentos'!$C$5:$C$5000,"COMPRA")-SUMIFS('Lançamentos'!$D$5:$D$5000,'Lançamentos'!$B$5:$B$5000,A35,'Lançamentos'!$C$5:$C$5000,"VENDA")</f>
        <v/>
      </c>
      <c r="D35" s="97">
        <f>IFERROR(SUMIFS('Lançamentos'!$G$5:$G$5000,'Lançamentos'!$B$5:$B$5000,A35,'Lançamentos'!$C$5:$C$5000,"COMPRA")/SUMIFS('Lançamentos'!$D$5:$D$5000,'Lançamentos'!$B$5:$B$5000,A35,'Lançamentos'!$C$5:$C$5000,"COMPRA"),0)</f>
        <v/>
      </c>
      <c r="E35" s="97">
        <f>C35*D35</f>
        <v/>
      </c>
      <c r="F35" s="98">
        <f>N(Ativos!D35)</f>
        <v/>
      </c>
      <c r="G35" s="97">
        <f>C35*F35</f>
        <v/>
      </c>
      <c r="H35" s="97">
        <f>G35-E35</f>
        <v/>
      </c>
      <c r="I35" s="99">
        <f>IF(E35&gt;0,H35/E35,0)</f>
        <v/>
      </c>
      <c r="J35" s="97">
        <f>SUMIFS(Proventos!$F$5:$F$5000,Proventos!$B$5:$B$5000,A35)</f>
        <v/>
      </c>
      <c r="K35" s="97">
        <f>SUMIFS(Proventos!$F$5:$F$5000,Proventos!$B$5:$B$5000,A35,Proventos!$A$5:$A$5000,"&gt;="&amp;(TODAY()-365))</f>
        <v/>
      </c>
      <c r="L35" s="97">
        <f>H35+J35</f>
        <v/>
      </c>
      <c r="M35" s="99">
        <f>IF(E35&gt;0,L35/E35,0)</f>
        <v/>
      </c>
      <c r="N35" s="99">
        <f>IF(D35&gt;0,T35/D35,0)</f>
        <v/>
      </c>
      <c r="O35" s="99">
        <f>IF(F35&gt;0,T35/F35,0)</f>
        <v/>
      </c>
      <c r="P35" s="99">
        <f>IF($G$36&gt;0,G35/$G$36,0)</f>
        <v/>
      </c>
      <c r="Q35" s="100">
        <f>N(Ativos!F35)</f>
        <v/>
      </c>
      <c r="R35" s="99">
        <f>P35-Q35</f>
        <v/>
      </c>
      <c r="S35" s="97">
        <f>MAX(0,Q35*$G$36-G35)</f>
        <v/>
      </c>
      <c r="T35" s="98">
        <f>N(Ativos!E35)</f>
        <v/>
      </c>
      <c r="U35" s="101">
        <f>T35/12</f>
        <v/>
      </c>
      <c r="V35" s="97">
        <f>C35*U35</f>
        <v/>
      </c>
      <c r="W35" s="99">
        <f>IF(META_MENSAL&gt;0,MIN(1,V35/META_MENSAL),0)</f>
        <v/>
      </c>
      <c r="X35" s="96">
        <f>IF(U35&gt;0,ROUNDUP(META_MENSAL/U35,0),0)</f>
        <v/>
      </c>
      <c r="Y35" s="96">
        <f>MAX(0,X35-C35)</f>
        <v/>
      </c>
      <c r="Z35" s="102">
        <f>Y35*F35</f>
        <v/>
      </c>
      <c r="AA35" s="103">
        <f>IF(APORTE_MENSAL&gt;0,ROUNDUP(Z35/APORTE_MENSAL,0),0)</f>
        <v/>
      </c>
      <c r="AB35" s="95">
        <f>IF(Ativos!C35="","",Ativos!C35)</f>
        <v/>
      </c>
      <c r="AC35" s="104">
        <f>IF(A35="",0,IF(OR(FILTRO_TIPO="Todos",B35=FILTRO_TIPO),1,0))</f>
        <v/>
      </c>
    </row>
    <row r="36">
      <c r="A36" s="115" t="inlineStr">
        <is>
          <t>TOTAL</t>
        </is>
      </c>
      <c r="B36" s="115" t="n"/>
      <c r="C36" s="115" t="n"/>
      <c r="D36" s="115" t="n"/>
      <c r="E36" s="116">
        <f>SUM(E5:E35)</f>
        <v/>
      </c>
      <c r="F36" s="115" t="n"/>
      <c r="G36" s="116">
        <f>SUM(G5:G35)</f>
        <v/>
      </c>
      <c r="H36" s="116">
        <f>SUM(H5:H35)</f>
        <v/>
      </c>
      <c r="I36" s="117">
        <f>IF(E36&gt;0,H36/E36,0)</f>
        <v/>
      </c>
      <c r="J36" s="116">
        <f>SUM(J5:J35)</f>
        <v/>
      </c>
      <c r="K36" s="116">
        <f>SUM(K5:K35)</f>
        <v/>
      </c>
      <c r="L36" s="116">
        <f>SUM(L5:L35)</f>
        <v/>
      </c>
      <c r="M36" s="117">
        <f>IF(E36&gt;0,L36/E36,0)</f>
        <v/>
      </c>
      <c r="N36" s="117">
        <f>IF(E36&gt;0,SUMPRODUCT(C5:C35,T5:T35)/E36,0)</f>
        <v/>
      </c>
      <c r="O36" s="117">
        <f>IF(G36&gt;0,SUMPRODUCT(C5:C35,T5:T35)/G36,0)</f>
        <v/>
      </c>
      <c r="P36" s="117">
        <f>SUM(P5:P35)</f>
        <v/>
      </c>
      <c r="Q36" s="117">
        <f>SUM(Q5:Q35)</f>
        <v/>
      </c>
      <c r="R36" s="115" t="n"/>
      <c r="S36" s="116">
        <f>SUM(S5:S35)</f>
        <v/>
      </c>
      <c r="T36" s="115" t="n"/>
      <c r="U36" s="115" t="n"/>
      <c r="V36" s="116">
        <f>SUM(V5:V35)</f>
        <v/>
      </c>
      <c r="W36" s="117">
        <f>IFERROR(AVERAGEIF(A5:A35,"?*",W5:W35),0)</f>
        <v/>
      </c>
      <c r="X36" s="115">
        <f>COUNTIF(W5:W35,"&gt;=1")&amp;" de "&amp;COUNTIF(A5:A35,"?*")&amp;" na meta"</f>
        <v/>
      </c>
      <c r="Y36" s="118">
        <f>SUM(Y5:Y35)</f>
        <v/>
      </c>
      <c r="Z36" s="116">
        <f>SUM(Z5:Z35)</f>
        <v/>
      </c>
      <c r="AA36" s="119">
        <f>IF(APORTE_MENSAL&gt;0,ROUNDUP(Z36/APORTE_MENSAL,0),0)</f>
        <v/>
      </c>
      <c r="AB36" s="115" t="n"/>
      <c r="AC36" s="115" t="n"/>
    </row>
    <row r="38">
      <c r="A38" s="120" t="inlineStr">
        <is>
          <t>Subtotal ações</t>
        </is>
      </c>
      <c r="E38" s="116">
        <f>SUMIFS(E5:E35,$B$5:$B$35,"AÇÃO")</f>
        <v/>
      </c>
      <c r="G38" s="116">
        <f>SUMIFS(G5:G35,$B$5:$B$35,"AÇÃO")</f>
        <v/>
      </c>
      <c r="H38" s="116">
        <f>SUMIFS(H5:H35,$B$5:$B$35,"AÇÃO")</f>
        <v/>
      </c>
      <c r="I38" s="117">
        <f>IF(E38&gt;0,H38/E38,0)</f>
        <v/>
      </c>
      <c r="J38" s="116">
        <f>SUMIFS(J5:J35,$B$5:$B$35,"AÇÃO")</f>
        <v/>
      </c>
      <c r="L38" s="116">
        <f>SUMIFS(L5:L35,$B$5:$B$35,"AÇÃO")</f>
        <v/>
      </c>
      <c r="P38" s="117">
        <f>SUMIFS(P5:P35,$B$5:$B$35,"AÇÃO")</f>
        <v/>
      </c>
      <c r="V38" s="116">
        <f>SUMIFS(V5:V35,$B$5:$B$35,"AÇÃO")</f>
        <v/>
      </c>
    </row>
    <row r="39">
      <c r="A39" s="120" t="inlineStr">
        <is>
          <t>Subtotal FIIs</t>
        </is>
      </c>
      <c r="E39" s="116">
        <f>SUMIFS(E5:E35,$B$5:$B$35,"FII")</f>
        <v/>
      </c>
      <c r="G39" s="116">
        <f>SUMIFS(G5:G35,$B$5:$B$35,"FII")</f>
        <v/>
      </c>
      <c r="H39" s="116">
        <f>SUMIFS(H5:H35,$B$5:$B$35,"FII")</f>
        <v/>
      </c>
      <c r="I39" s="117">
        <f>IF(E39&gt;0,H39/E39,0)</f>
        <v/>
      </c>
      <c r="J39" s="116">
        <f>SUMIFS(J5:J35,$B$5:$B$35,"FII")</f>
        <v/>
      </c>
      <c r="L39" s="116">
        <f>SUMIFS(L5:L35,$B$5:$B$35,"FII")</f>
        <v/>
      </c>
      <c r="P39" s="117">
        <f>SUMIFS(P5:P35,$B$5:$B$35,"FII")</f>
        <v/>
      </c>
      <c r="V39" s="116">
        <f>SUMIFS(V5:V35,$B$5:$B$35,"FII")</f>
        <v/>
      </c>
    </row>
    <row r="41">
      <c r="A41" s="120" t="inlineStr">
        <is>
          <t>Como ler</t>
        </is>
      </c>
    </row>
    <row r="42">
      <c r="A42" s="121" t="inlineStr">
        <is>
          <t>• Linhas em cinza: ativos do catálogo que você ainda não tem (a mesma lista serve de catálogo e de carteira).</t>
        </is>
      </c>
    </row>
    <row r="43">
      <c r="A43" s="121" t="inlineStr">
        <is>
          <t>• Meta de renda: cotas p/ meta = meta mensal ÷ provento mensal por cota; aporte = cotas faltantes × cotação.</t>
        </is>
      </c>
    </row>
    <row r="44">
      <c r="A44" s="121" t="inlineStr">
        <is>
          <t>• Tipo, segmento, cotação, provento 12m e peso ideal vêm de dados/ativos.csv (aba Ativos, oculta).</t>
        </is>
      </c>
    </row>
  </sheetData>
  <mergeCells count="1">
    <mergeCell ref="A2:AC2"/>
  </mergeCells>
  <conditionalFormatting sqref="H5:I35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L5:M35">
    <cfRule type="cellIs" priority="3" operator="lessThan" dxfId="2">
      <formula>0</formula>
    </cfRule>
    <cfRule type="cellIs" priority="4" operator="greaterThan" dxfId="8">
      <formula>0</formula>
    </cfRule>
  </conditionalFormatting>
  <conditionalFormatting sqref="R5:R35">
    <cfRule type="cellIs" priority="5" operator="lessThan" dxfId="2">
      <formula>0</formula>
    </cfRule>
    <cfRule type="cellIs" priority="6" operator="greaterThan" dxfId="8">
      <formula>0</formula>
    </cfRule>
  </conditionalFormatting>
  <conditionalFormatting sqref="P5:P35">
    <cfRule type="dataBar" priority="7">
      <dataBar>
        <cfvo type="num" val="0"/>
        <cfvo type="max"/>
        <color rgb="005B8DB8"/>
      </dataBar>
    </cfRule>
  </conditionalFormatting>
  <conditionalFormatting sqref="W5:W35">
    <cfRule type="dataBar" priority="8">
      <dataBar>
        <cfvo type="num" val="0"/>
        <cfvo type="num" val="1"/>
        <color rgb="000D9488"/>
      </dataBar>
    </cfRule>
  </conditionalFormatting>
  <conditionalFormatting sqref="A5:AB35">
    <cfRule type="expression" priority="9" dxfId="9">
      <formula>$C5=0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3" customWidth="1" min="6" max="6"/>
    <col width="18" customWidth="1" min="7" max="7"/>
    <col width="14" customWidth="1" min="8" max="8"/>
    <col width="14" customWidth="1" min="9" max="9"/>
    <col width="14" customWidth="1" min="10" max="10"/>
    <col width="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Análises Dinâmicas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Consultas QUERY recalculadas automaticamente pelo Google Planilhas.</t>
        </is>
      </c>
    </row>
    <row r="5">
      <c r="A5" s="122" t="inlineStr">
        <is>
          <t>Carteira por tipo de ativo</t>
        </is>
      </c>
      <c r="G5" s="122" t="inlineStr">
        <is>
          <t>Posição por ativo</t>
        </is>
      </c>
    </row>
    <row r="7">
      <c r="A7">
        <f>IFERROR(QUERY(Carteira!A5:AB200,"select B, sum(E), sum(G), sum(H), sum(J) where C &gt; 0 group by B label B 'Tipo', sum(E) 'Investido', sum(G) 'Posição', sum(H) 'Lucro', sum(J) 'Proventos'",0),"Nenhuma ação ou FII na carteira ainda")</f>
        <v/>
      </c>
      <c r="G7">
        <f>IFERROR(QUERY(Carteira!A5:G200,"select A, G where C &gt; 0 order by G desc label A 'Ticker', G 'Posição'",0),"Sem posições")</f>
        <v/>
      </c>
    </row>
    <row r="20">
      <c r="A20" s="122" t="inlineStr">
        <is>
          <t>Proventos por ativo</t>
        </is>
      </c>
      <c r="G20" s="122" t="inlineStr">
        <is>
          <t>Lançamentos por ativo e operação</t>
        </is>
      </c>
    </row>
    <row r="22">
      <c r="A22">
        <f>IFERROR(QUERY(Proventos!A5:F5000,"select B, sum(F) where B is not null group by B order by sum(F) desc label B 'Ticker', sum(F) 'Proventos'",0),"Sem proventos registrados")</f>
        <v/>
      </c>
      <c r="G22">
        <f>IFERROR(QUERY('Lançamentos'!A5:G5000,"select B, sum(G) where B is not null group by B pivot C label B 'Ticker'",0),"Sem lançamentos")</f>
        <v/>
      </c>
    </row>
  </sheetData>
  <mergeCells count="1">
    <mergeCell ref="A2:Z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4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22" customWidth="1" min="3" max="3"/>
    <col width="12" customWidth="1" min="4" max="4"/>
    <col width="14" customWidth="1" min="5" max="5"/>
    <col width="14" customWidth="1" min="6" max="6"/>
    <col width="13" customWidth="1" min="7" max="7"/>
    <col width="12" customWidth="1" min="8" max="8"/>
    <col width="12" customWidth="1" min="9" max="9"/>
    <col width="16" customWidth="1" min="10" max="10"/>
    <col width="12" customWidth="1" min="11" max="11"/>
    <col width="14" customWidth="1" min="12" max="12"/>
    <col width="10" customWidth="1" min="13" max="13"/>
    <col width="12" customWidth="1" min="14" max="14"/>
    <col width="16" customWidth="1" min="15" max="15"/>
    <col width="14" customWidth="1" min="16" max="16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Meta de Renda por Ativo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Cada ação e cada FII deve pagar a meta mensal da aba Premissas — cotas e custo para chegar lá. Calculado, não digite aqui.</t>
        </is>
      </c>
    </row>
    <row r="4" ht="44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Segmento</t>
        </is>
      </c>
      <c r="D4" s="94" t="inlineStr">
        <is>
          <t>Cotação (R$)</t>
        </is>
      </c>
      <c r="E4" s="94" t="inlineStr">
        <is>
          <t>Provento 12m por cota (R$)</t>
        </is>
      </c>
      <c r="F4" s="94" t="inlineStr">
        <is>
          <t>Provento mensal por cota (R$)</t>
        </is>
      </c>
      <c r="G4" s="94" t="inlineStr">
        <is>
          <t>Rendimento mensal</t>
        </is>
      </c>
      <c r="H4" s="94" t="inlineStr">
        <is>
          <t>Meta mensal (R$)</t>
        </is>
      </c>
      <c r="I4" s="94" t="inlineStr">
        <is>
          <t>Cotas necessárias</t>
        </is>
      </c>
      <c r="J4" s="94" t="inlineStr">
        <is>
          <t>Custo total da meta (R$)</t>
        </is>
      </c>
      <c r="K4" s="94" t="inlineStr">
        <is>
          <t>Cotas que você tem</t>
        </is>
      </c>
      <c r="L4" s="94" t="inlineStr">
        <is>
          <t>Renda mensal atual (R$)</t>
        </is>
      </c>
      <c r="M4" s="94" t="inlineStr">
        <is>
          <t>% da meta</t>
        </is>
      </c>
      <c r="N4" s="94" t="inlineStr">
        <is>
          <t>Cotas faltantes</t>
        </is>
      </c>
      <c r="O4" s="94" t="inlineStr">
        <is>
          <t>Custo faltante (R$)</t>
        </is>
      </c>
      <c r="P4" s="94" t="inlineStr">
        <is>
          <t>Meses (aporte só neste ativo)</t>
        </is>
      </c>
    </row>
    <row r="5">
      <c r="A5" s="95">
        <f>Carteira!A5</f>
        <v/>
      </c>
      <c r="B5" s="95">
        <f>Carteira!B5</f>
        <v/>
      </c>
      <c r="C5" s="95">
        <f>Carteira!AB5</f>
        <v/>
      </c>
      <c r="D5" s="98">
        <f>Carteira!F5</f>
        <v/>
      </c>
      <c r="E5" s="123">
        <f>Carteira!T5</f>
        <v/>
      </c>
      <c r="F5" s="123">
        <f>Carteira!U5</f>
        <v/>
      </c>
      <c r="G5" s="124">
        <f>IF(D5&gt;0,F5/D5,0)</f>
        <v/>
      </c>
      <c r="H5" s="97">
        <f>IF(A5="","",META_MENSAL)</f>
        <v/>
      </c>
      <c r="I5" s="96">
        <f>IF(A5="","",IF(F5&gt;0,ROUNDUP(H5/F5,0),"sem proventos"))</f>
        <v/>
      </c>
      <c r="J5" s="102">
        <f>IF(ISNUMBER(I5),I5*D5,"")</f>
        <v/>
      </c>
      <c r="K5" s="125">
        <f>Carteira!C5</f>
        <v/>
      </c>
      <c r="L5" s="98">
        <f>Carteira!V5</f>
        <v/>
      </c>
      <c r="M5" s="99">
        <f>IF(N(H5)&gt;0,MIN(1,L5/H5),0)</f>
        <v/>
      </c>
      <c r="N5" s="96">
        <f>IF(ISNUMBER(I5),MAX(0,I5-K5),"")</f>
        <v/>
      </c>
      <c r="O5" s="102">
        <f>IF(ISNUMBER(N5),N5*D5,"")</f>
        <v/>
      </c>
      <c r="P5" s="103">
        <f>IF(AND(ISNUMBER(O5),APORTE_MENSAL&gt;0),ROUNDUP(O5/APORTE_MENSAL,0),"")</f>
        <v/>
      </c>
    </row>
    <row r="6">
      <c r="A6" s="105">
        <f>Carteira!A6</f>
        <v/>
      </c>
      <c r="B6" s="105">
        <f>Carteira!B6</f>
        <v/>
      </c>
      <c r="C6" s="105">
        <f>Carteira!AB6</f>
        <v/>
      </c>
      <c r="D6" s="108">
        <f>Carteira!F6</f>
        <v/>
      </c>
      <c r="E6" s="126">
        <f>Carteira!T6</f>
        <v/>
      </c>
      <c r="F6" s="126">
        <f>Carteira!U6</f>
        <v/>
      </c>
      <c r="G6" s="127">
        <f>IF(D6&gt;0,F6/D6,0)</f>
        <v/>
      </c>
      <c r="H6" s="107">
        <f>IF(A6="","",META_MENSAL)</f>
        <v/>
      </c>
      <c r="I6" s="106">
        <f>IF(A6="","",IF(F6&gt;0,ROUNDUP(H6/F6,0),"sem proventos"))</f>
        <v/>
      </c>
      <c r="J6" s="112">
        <f>IF(ISNUMBER(I6),I6*D6,"")</f>
        <v/>
      </c>
      <c r="K6" s="128">
        <f>Carteira!C6</f>
        <v/>
      </c>
      <c r="L6" s="108">
        <f>Carteira!V6</f>
        <v/>
      </c>
      <c r="M6" s="109">
        <f>IF(N(H6)&gt;0,MIN(1,L6/H6),0)</f>
        <v/>
      </c>
      <c r="N6" s="106">
        <f>IF(ISNUMBER(I6),MAX(0,I6-K6),"")</f>
        <v/>
      </c>
      <c r="O6" s="112">
        <f>IF(ISNUMBER(N6),N6*D6,"")</f>
        <v/>
      </c>
      <c r="P6" s="113">
        <f>IF(AND(ISNUMBER(O6),APORTE_MENSAL&gt;0),ROUNDUP(O6/APORTE_MENSAL,0),"")</f>
        <v/>
      </c>
    </row>
    <row r="7">
      <c r="A7" s="95">
        <f>Carteira!A7</f>
        <v/>
      </c>
      <c r="B7" s="95">
        <f>Carteira!B7</f>
        <v/>
      </c>
      <c r="C7" s="95">
        <f>Carteira!AB7</f>
        <v/>
      </c>
      <c r="D7" s="98">
        <f>Carteira!F7</f>
        <v/>
      </c>
      <c r="E7" s="123">
        <f>Carteira!T7</f>
        <v/>
      </c>
      <c r="F7" s="123">
        <f>Carteira!U7</f>
        <v/>
      </c>
      <c r="G7" s="124">
        <f>IF(D7&gt;0,F7/D7,0)</f>
        <v/>
      </c>
      <c r="H7" s="97">
        <f>IF(A7="","",META_MENSAL)</f>
        <v/>
      </c>
      <c r="I7" s="96">
        <f>IF(A7="","",IF(F7&gt;0,ROUNDUP(H7/F7,0),"sem proventos"))</f>
        <v/>
      </c>
      <c r="J7" s="102">
        <f>IF(ISNUMBER(I7),I7*D7,"")</f>
        <v/>
      </c>
      <c r="K7" s="125">
        <f>Carteira!C7</f>
        <v/>
      </c>
      <c r="L7" s="98">
        <f>Carteira!V7</f>
        <v/>
      </c>
      <c r="M7" s="99">
        <f>IF(N(H7)&gt;0,MIN(1,L7/H7),0)</f>
        <v/>
      </c>
      <c r="N7" s="96">
        <f>IF(ISNUMBER(I7),MAX(0,I7-K7),"")</f>
        <v/>
      </c>
      <c r="O7" s="102">
        <f>IF(ISNUMBER(N7),N7*D7,"")</f>
        <v/>
      </c>
      <c r="P7" s="103">
        <f>IF(AND(ISNUMBER(O7),APORTE_MENSAL&gt;0),ROUNDUP(O7/APORTE_MENSAL,0),"")</f>
        <v/>
      </c>
    </row>
    <row r="8">
      <c r="A8" s="105">
        <f>Carteira!A8</f>
        <v/>
      </c>
      <c r="B8" s="105">
        <f>Carteira!B8</f>
        <v/>
      </c>
      <c r="C8" s="105">
        <f>Carteira!AB8</f>
        <v/>
      </c>
      <c r="D8" s="108">
        <f>Carteira!F8</f>
        <v/>
      </c>
      <c r="E8" s="126">
        <f>Carteira!T8</f>
        <v/>
      </c>
      <c r="F8" s="126">
        <f>Carteira!U8</f>
        <v/>
      </c>
      <c r="G8" s="127">
        <f>IF(D8&gt;0,F8/D8,0)</f>
        <v/>
      </c>
      <c r="H8" s="107">
        <f>IF(A8="","",META_MENSAL)</f>
        <v/>
      </c>
      <c r="I8" s="106">
        <f>IF(A8="","",IF(F8&gt;0,ROUNDUP(H8/F8,0),"sem proventos"))</f>
        <v/>
      </c>
      <c r="J8" s="112">
        <f>IF(ISNUMBER(I8),I8*D8,"")</f>
        <v/>
      </c>
      <c r="K8" s="128">
        <f>Carteira!C8</f>
        <v/>
      </c>
      <c r="L8" s="108">
        <f>Carteira!V8</f>
        <v/>
      </c>
      <c r="M8" s="109">
        <f>IF(N(H8)&gt;0,MIN(1,L8/H8),0)</f>
        <v/>
      </c>
      <c r="N8" s="106">
        <f>IF(ISNUMBER(I8),MAX(0,I8-K8),"")</f>
        <v/>
      </c>
      <c r="O8" s="112">
        <f>IF(ISNUMBER(N8),N8*D8,"")</f>
        <v/>
      </c>
      <c r="P8" s="113">
        <f>IF(AND(ISNUMBER(O8),APORTE_MENSAL&gt;0),ROUNDUP(O8/APORTE_MENSAL,0),"")</f>
        <v/>
      </c>
    </row>
    <row r="9">
      <c r="A9" s="95">
        <f>Carteira!A9</f>
        <v/>
      </c>
      <c r="B9" s="95">
        <f>Carteira!B9</f>
        <v/>
      </c>
      <c r="C9" s="95">
        <f>Carteira!AB9</f>
        <v/>
      </c>
      <c r="D9" s="98">
        <f>Carteira!F9</f>
        <v/>
      </c>
      <c r="E9" s="123">
        <f>Carteira!T9</f>
        <v/>
      </c>
      <c r="F9" s="123">
        <f>Carteira!U9</f>
        <v/>
      </c>
      <c r="G9" s="124">
        <f>IF(D9&gt;0,F9/D9,0)</f>
        <v/>
      </c>
      <c r="H9" s="97">
        <f>IF(A9="","",META_MENSAL)</f>
        <v/>
      </c>
      <c r="I9" s="96">
        <f>IF(A9="","",IF(F9&gt;0,ROUNDUP(H9/F9,0),"sem proventos"))</f>
        <v/>
      </c>
      <c r="J9" s="102">
        <f>IF(ISNUMBER(I9),I9*D9,"")</f>
        <v/>
      </c>
      <c r="K9" s="125">
        <f>Carteira!C9</f>
        <v/>
      </c>
      <c r="L9" s="98">
        <f>Carteira!V9</f>
        <v/>
      </c>
      <c r="M9" s="99">
        <f>IF(N(H9)&gt;0,MIN(1,L9/H9),0)</f>
        <v/>
      </c>
      <c r="N9" s="96">
        <f>IF(ISNUMBER(I9),MAX(0,I9-K9),"")</f>
        <v/>
      </c>
      <c r="O9" s="102">
        <f>IF(ISNUMBER(N9),N9*D9,"")</f>
        <v/>
      </c>
      <c r="P9" s="103">
        <f>IF(AND(ISNUMBER(O9),APORTE_MENSAL&gt;0),ROUNDUP(O9/APORTE_MENSAL,0),"")</f>
        <v/>
      </c>
    </row>
    <row r="10">
      <c r="A10" s="105">
        <f>Carteira!A10</f>
        <v/>
      </c>
      <c r="B10" s="105">
        <f>Carteira!B10</f>
        <v/>
      </c>
      <c r="C10" s="105">
        <f>Carteira!AB10</f>
        <v/>
      </c>
      <c r="D10" s="108">
        <f>Carteira!F10</f>
        <v/>
      </c>
      <c r="E10" s="126">
        <f>Carteira!T10</f>
        <v/>
      </c>
      <c r="F10" s="126">
        <f>Carteira!U10</f>
        <v/>
      </c>
      <c r="G10" s="127">
        <f>IF(D10&gt;0,F10/D10,0)</f>
        <v/>
      </c>
      <c r="H10" s="107">
        <f>IF(A10="","",META_MENSAL)</f>
        <v/>
      </c>
      <c r="I10" s="106">
        <f>IF(A10="","",IF(F10&gt;0,ROUNDUP(H10/F10,0),"sem proventos"))</f>
        <v/>
      </c>
      <c r="J10" s="112">
        <f>IF(ISNUMBER(I10),I10*D10,"")</f>
        <v/>
      </c>
      <c r="K10" s="128">
        <f>Carteira!C10</f>
        <v/>
      </c>
      <c r="L10" s="108">
        <f>Carteira!V10</f>
        <v/>
      </c>
      <c r="M10" s="109">
        <f>IF(N(H10)&gt;0,MIN(1,L10/H10),0)</f>
        <v/>
      </c>
      <c r="N10" s="106">
        <f>IF(ISNUMBER(I10),MAX(0,I10-K10),"")</f>
        <v/>
      </c>
      <c r="O10" s="112">
        <f>IF(ISNUMBER(N10),N10*D10,"")</f>
        <v/>
      </c>
      <c r="P10" s="113">
        <f>IF(AND(ISNUMBER(O10),APORTE_MENSAL&gt;0),ROUNDUP(O10/APORTE_MENSAL,0),"")</f>
        <v/>
      </c>
    </row>
    <row r="11">
      <c r="A11" s="95">
        <f>Carteira!A11</f>
        <v/>
      </c>
      <c r="B11" s="95">
        <f>Carteira!B11</f>
        <v/>
      </c>
      <c r="C11" s="95">
        <f>Carteira!AB11</f>
        <v/>
      </c>
      <c r="D11" s="98">
        <f>Carteira!F11</f>
        <v/>
      </c>
      <c r="E11" s="123">
        <f>Carteira!T11</f>
        <v/>
      </c>
      <c r="F11" s="123">
        <f>Carteira!U11</f>
        <v/>
      </c>
      <c r="G11" s="124">
        <f>IF(D11&gt;0,F11/D11,0)</f>
        <v/>
      </c>
      <c r="H11" s="97">
        <f>IF(A11="","",META_MENSAL)</f>
        <v/>
      </c>
      <c r="I11" s="96">
        <f>IF(A11="","",IF(F11&gt;0,ROUNDUP(H11/F11,0),"sem proventos"))</f>
        <v/>
      </c>
      <c r="J11" s="102">
        <f>IF(ISNUMBER(I11),I11*D11,"")</f>
        <v/>
      </c>
      <c r="K11" s="125">
        <f>Carteira!C11</f>
        <v/>
      </c>
      <c r="L11" s="98">
        <f>Carteira!V11</f>
        <v/>
      </c>
      <c r="M11" s="99">
        <f>IF(N(H11)&gt;0,MIN(1,L11/H11),0)</f>
        <v/>
      </c>
      <c r="N11" s="96">
        <f>IF(ISNUMBER(I11),MAX(0,I11-K11),"")</f>
        <v/>
      </c>
      <c r="O11" s="102">
        <f>IF(ISNUMBER(N11),N11*D11,"")</f>
        <v/>
      </c>
      <c r="P11" s="103">
        <f>IF(AND(ISNUMBER(O11),APORTE_MENSAL&gt;0),ROUNDUP(O11/APORTE_MENSAL,0),"")</f>
        <v/>
      </c>
    </row>
    <row r="12">
      <c r="A12" s="105">
        <f>Carteira!A12</f>
        <v/>
      </c>
      <c r="B12" s="105">
        <f>Carteira!B12</f>
        <v/>
      </c>
      <c r="C12" s="105">
        <f>Carteira!AB12</f>
        <v/>
      </c>
      <c r="D12" s="108">
        <f>Carteira!F12</f>
        <v/>
      </c>
      <c r="E12" s="126">
        <f>Carteira!T12</f>
        <v/>
      </c>
      <c r="F12" s="126">
        <f>Carteira!U12</f>
        <v/>
      </c>
      <c r="G12" s="127">
        <f>IF(D12&gt;0,F12/D12,0)</f>
        <v/>
      </c>
      <c r="H12" s="107">
        <f>IF(A12="","",META_MENSAL)</f>
        <v/>
      </c>
      <c r="I12" s="106">
        <f>IF(A12="","",IF(F12&gt;0,ROUNDUP(H12/F12,0),"sem proventos"))</f>
        <v/>
      </c>
      <c r="J12" s="112">
        <f>IF(ISNUMBER(I12),I12*D12,"")</f>
        <v/>
      </c>
      <c r="K12" s="128">
        <f>Carteira!C12</f>
        <v/>
      </c>
      <c r="L12" s="108">
        <f>Carteira!V12</f>
        <v/>
      </c>
      <c r="M12" s="109">
        <f>IF(N(H12)&gt;0,MIN(1,L12/H12),0)</f>
        <v/>
      </c>
      <c r="N12" s="106">
        <f>IF(ISNUMBER(I12),MAX(0,I12-K12),"")</f>
        <v/>
      </c>
      <c r="O12" s="112">
        <f>IF(ISNUMBER(N12),N12*D12,"")</f>
        <v/>
      </c>
      <c r="P12" s="113">
        <f>IF(AND(ISNUMBER(O12),APORTE_MENSAL&gt;0),ROUNDUP(O12/APORTE_MENSAL,0),"")</f>
        <v/>
      </c>
    </row>
    <row r="13">
      <c r="A13" s="95">
        <f>Carteira!A13</f>
        <v/>
      </c>
      <c r="B13" s="95">
        <f>Carteira!B13</f>
        <v/>
      </c>
      <c r="C13" s="95">
        <f>Carteira!AB13</f>
        <v/>
      </c>
      <c r="D13" s="98">
        <f>Carteira!F13</f>
        <v/>
      </c>
      <c r="E13" s="123">
        <f>Carteira!T13</f>
        <v/>
      </c>
      <c r="F13" s="123">
        <f>Carteira!U13</f>
        <v/>
      </c>
      <c r="G13" s="124">
        <f>IF(D13&gt;0,F13/D13,0)</f>
        <v/>
      </c>
      <c r="H13" s="97">
        <f>IF(A13="","",META_MENSAL)</f>
        <v/>
      </c>
      <c r="I13" s="96">
        <f>IF(A13="","",IF(F13&gt;0,ROUNDUP(H13/F13,0),"sem proventos"))</f>
        <v/>
      </c>
      <c r="J13" s="102">
        <f>IF(ISNUMBER(I13),I13*D13,"")</f>
        <v/>
      </c>
      <c r="K13" s="125">
        <f>Carteira!C13</f>
        <v/>
      </c>
      <c r="L13" s="98">
        <f>Carteira!V13</f>
        <v/>
      </c>
      <c r="M13" s="99">
        <f>IF(N(H13)&gt;0,MIN(1,L13/H13),0)</f>
        <v/>
      </c>
      <c r="N13" s="96">
        <f>IF(ISNUMBER(I13),MAX(0,I13-K13),"")</f>
        <v/>
      </c>
      <c r="O13" s="102">
        <f>IF(ISNUMBER(N13),N13*D13,"")</f>
        <v/>
      </c>
      <c r="P13" s="103">
        <f>IF(AND(ISNUMBER(O13),APORTE_MENSAL&gt;0),ROUNDUP(O13/APORTE_MENSAL,0),"")</f>
        <v/>
      </c>
    </row>
    <row r="14">
      <c r="A14" s="105">
        <f>Carteira!A14</f>
        <v/>
      </c>
      <c r="B14" s="105">
        <f>Carteira!B14</f>
        <v/>
      </c>
      <c r="C14" s="105">
        <f>Carteira!AB14</f>
        <v/>
      </c>
      <c r="D14" s="108">
        <f>Carteira!F14</f>
        <v/>
      </c>
      <c r="E14" s="126">
        <f>Carteira!T14</f>
        <v/>
      </c>
      <c r="F14" s="126">
        <f>Carteira!U14</f>
        <v/>
      </c>
      <c r="G14" s="127">
        <f>IF(D14&gt;0,F14/D14,0)</f>
        <v/>
      </c>
      <c r="H14" s="107">
        <f>IF(A14="","",META_MENSAL)</f>
        <v/>
      </c>
      <c r="I14" s="106">
        <f>IF(A14="","",IF(F14&gt;0,ROUNDUP(H14/F14,0),"sem proventos"))</f>
        <v/>
      </c>
      <c r="J14" s="112">
        <f>IF(ISNUMBER(I14),I14*D14,"")</f>
        <v/>
      </c>
      <c r="K14" s="128">
        <f>Carteira!C14</f>
        <v/>
      </c>
      <c r="L14" s="108">
        <f>Carteira!V14</f>
        <v/>
      </c>
      <c r="M14" s="109">
        <f>IF(N(H14)&gt;0,MIN(1,L14/H14),0)</f>
        <v/>
      </c>
      <c r="N14" s="106">
        <f>IF(ISNUMBER(I14),MAX(0,I14-K14),"")</f>
        <v/>
      </c>
      <c r="O14" s="112">
        <f>IF(ISNUMBER(N14),N14*D14,"")</f>
        <v/>
      </c>
      <c r="P14" s="113">
        <f>IF(AND(ISNUMBER(O14),APORTE_MENSAL&gt;0),ROUNDUP(O14/APORTE_MENSAL,0),"")</f>
        <v/>
      </c>
    </row>
    <row r="15">
      <c r="A15" s="95">
        <f>Carteira!A15</f>
        <v/>
      </c>
      <c r="B15" s="95">
        <f>Carteira!B15</f>
        <v/>
      </c>
      <c r="C15" s="95">
        <f>Carteira!AB15</f>
        <v/>
      </c>
      <c r="D15" s="98">
        <f>Carteira!F15</f>
        <v/>
      </c>
      <c r="E15" s="123">
        <f>Carteira!T15</f>
        <v/>
      </c>
      <c r="F15" s="123">
        <f>Carteira!U15</f>
        <v/>
      </c>
      <c r="G15" s="124">
        <f>IF(D15&gt;0,F15/D15,0)</f>
        <v/>
      </c>
      <c r="H15" s="97">
        <f>IF(A15="","",META_MENSAL)</f>
        <v/>
      </c>
      <c r="I15" s="96">
        <f>IF(A15="","",IF(F15&gt;0,ROUNDUP(H15/F15,0),"sem proventos"))</f>
        <v/>
      </c>
      <c r="J15" s="102">
        <f>IF(ISNUMBER(I15),I15*D15,"")</f>
        <v/>
      </c>
      <c r="K15" s="125">
        <f>Carteira!C15</f>
        <v/>
      </c>
      <c r="L15" s="98">
        <f>Carteira!V15</f>
        <v/>
      </c>
      <c r="M15" s="99">
        <f>IF(N(H15)&gt;0,MIN(1,L15/H15),0)</f>
        <v/>
      </c>
      <c r="N15" s="96">
        <f>IF(ISNUMBER(I15),MAX(0,I15-K15),"")</f>
        <v/>
      </c>
      <c r="O15" s="102">
        <f>IF(ISNUMBER(N15),N15*D15,"")</f>
        <v/>
      </c>
      <c r="P15" s="103">
        <f>IF(AND(ISNUMBER(O15),APORTE_MENSAL&gt;0),ROUNDUP(O15/APORTE_MENSAL,0),"")</f>
        <v/>
      </c>
    </row>
    <row r="16">
      <c r="A16" s="105">
        <f>Carteira!A16</f>
        <v/>
      </c>
      <c r="B16" s="105">
        <f>Carteira!B16</f>
        <v/>
      </c>
      <c r="C16" s="105">
        <f>Carteira!AB16</f>
        <v/>
      </c>
      <c r="D16" s="108">
        <f>Carteira!F16</f>
        <v/>
      </c>
      <c r="E16" s="126">
        <f>Carteira!T16</f>
        <v/>
      </c>
      <c r="F16" s="126">
        <f>Carteira!U16</f>
        <v/>
      </c>
      <c r="G16" s="127">
        <f>IF(D16&gt;0,F16/D16,0)</f>
        <v/>
      </c>
      <c r="H16" s="107">
        <f>IF(A16="","",META_MENSAL)</f>
        <v/>
      </c>
      <c r="I16" s="106">
        <f>IF(A16="","",IF(F16&gt;0,ROUNDUP(H16/F16,0),"sem proventos"))</f>
        <v/>
      </c>
      <c r="J16" s="112">
        <f>IF(ISNUMBER(I16),I16*D16,"")</f>
        <v/>
      </c>
      <c r="K16" s="128">
        <f>Carteira!C16</f>
        <v/>
      </c>
      <c r="L16" s="108">
        <f>Carteira!V16</f>
        <v/>
      </c>
      <c r="M16" s="109">
        <f>IF(N(H16)&gt;0,MIN(1,L16/H16),0)</f>
        <v/>
      </c>
      <c r="N16" s="106">
        <f>IF(ISNUMBER(I16),MAX(0,I16-K16),"")</f>
        <v/>
      </c>
      <c r="O16" s="112">
        <f>IF(ISNUMBER(N16),N16*D16,"")</f>
        <v/>
      </c>
      <c r="P16" s="113">
        <f>IF(AND(ISNUMBER(O16),APORTE_MENSAL&gt;0),ROUNDUP(O16/APORTE_MENSAL,0),"")</f>
        <v/>
      </c>
    </row>
    <row r="17">
      <c r="A17" s="95">
        <f>Carteira!A17</f>
        <v/>
      </c>
      <c r="B17" s="95">
        <f>Carteira!B17</f>
        <v/>
      </c>
      <c r="C17" s="95">
        <f>Carteira!AB17</f>
        <v/>
      </c>
      <c r="D17" s="98">
        <f>Carteira!F17</f>
        <v/>
      </c>
      <c r="E17" s="123">
        <f>Carteira!T17</f>
        <v/>
      </c>
      <c r="F17" s="123">
        <f>Carteira!U17</f>
        <v/>
      </c>
      <c r="G17" s="124">
        <f>IF(D17&gt;0,F17/D17,0)</f>
        <v/>
      </c>
      <c r="H17" s="97">
        <f>IF(A17="","",META_MENSAL)</f>
        <v/>
      </c>
      <c r="I17" s="96">
        <f>IF(A17="","",IF(F17&gt;0,ROUNDUP(H17/F17,0),"sem proventos"))</f>
        <v/>
      </c>
      <c r="J17" s="102">
        <f>IF(ISNUMBER(I17),I17*D17,"")</f>
        <v/>
      </c>
      <c r="K17" s="125">
        <f>Carteira!C17</f>
        <v/>
      </c>
      <c r="L17" s="98">
        <f>Carteira!V17</f>
        <v/>
      </c>
      <c r="M17" s="99">
        <f>IF(N(H17)&gt;0,MIN(1,L17/H17),0)</f>
        <v/>
      </c>
      <c r="N17" s="96">
        <f>IF(ISNUMBER(I17),MAX(0,I17-K17),"")</f>
        <v/>
      </c>
      <c r="O17" s="102">
        <f>IF(ISNUMBER(N17),N17*D17,"")</f>
        <v/>
      </c>
      <c r="P17" s="103">
        <f>IF(AND(ISNUMBER(O17),APORTE_MENSAL&gt;0),ROUNDUP(O17/APORTE_MENSAL,0),"")</f>
        <v/>
      </c>
    </row>
    <row r="18">
      <c r="A18" s="105">
        <f>Carteira!A18</f>
        <v/>
      </c>
      <c r="B18" s="105">
        <f>Carteira!B18</f>
        <v/>
      </c>
      <c r="C18" s="105">
        <f>Carteira!AB18</f>
        <v/>
      </c>
      <c r="D18" s="108">
        <f>Carteira!F18</f>
        <v/>
      </c>
      <c r="E18" s="126">
        <f>Carteira!T18</f>
        <v/>
      </c>
      <c r="F18" s="126">
        <f>Carteira!U18</f>
        <v/>
      </c>
      <c r="G18" s="127">
        <f>IF(D18&gt;0,F18/D18,0)</f>
        <v/>
      </c>
      <c r="H18" s="107">
        <f>IF(A18="","",META_MENSAL)</f>
        <v/>
      </c>
      <c r="I18" s="106">
        <f>IF(A18="","",IF(F18&gt;0,ROUNDUP(H18/F18,0),"sem proventos"))</f>
        <v/>
      </c>
      <c r="J18" s="112">
        <f>IF(ISNUMBER(I18),I18*D18,"")</f>
        <v/>
      </c>
      <c r="K18" s="128">
        <f>Carteira!C18</f>
        <v/>
      </c>
      <c r="L18" s="108">
        <f>Carteira!V18</f>
        <v/>
      </c>
      <c r="M18" s="109">
        <f>IF(N(H18)&gt;0,MIN(1,L18/H18),0)</f>
        <v/>
      </c>
      <c r="N18" s="106">
        <f>IF(ISNUMBER(I18),MAX(0,I18-K18),"")</f>
        <v/>
      </c>
      <c r="O18" s="112">
        <f>IF(ISNUMBER(N18),N18*D18,"")</f>
        <v/>
      </c>
      <c r="P18" s="113">
        <f>IF(AND(ISNUMBER(O18),APORTE_MENSAL&gt;0),ROUNDUP(O18/APORTE_MENSAL,0),"")</f>
        <v/>
      </c>
    </row>
    <row r="19">
      <c r="A19" s="95">
        <f>Carteira!A19</f>
        <v/>
      </c>
      <c r="B19" s="95">
        <f>Carteira!B19</f>
        <v/>
      </c>
      <c r="C19" s="95">
        <f>Carteira!AB19</f>
        <v/>
      </c>
      <c r="D19" s="98">
        <f>Carteira!F19</f>
        <v/>
      </c>
      <c r="E19" s="123">
        <f>Carteira!T19</f>
        <v/>
      </c>
      <c r="F19" s="123">
        <f>Carteira!U19</f>
        <v/>
      </c>
      <c r="G19" s="124">
        <f>IF(D19&gt;0,F19/D19,0)</f>
        <v/>
      </c>
      <c r="H19" s="97">
        <f>IF(A19="","",META_MENSAL)</f>
        <v/>
      </c>
      <c r="I19" s="96">
        <f>IF(A19="","",IF(F19&gt;0,ROUNDUP(H19/F19,0),"sem proventos"))</f>
        <v/>
      </c>
      <c r="J19" s="102">
        <f>IF(ISNUMBER(I19),I19*D19,"")</f>
        <v/>
      </c>
      <c r="K19" s="125">
        <f>Carteira!C19</f>
        <v/>
      </c>
      <c r="L19" s="98">
        <f>Carteira!V19</f>
        <v/>
      </c>
      <c r="M19" s="99">
        <f>IF(N(H19)&gt;0,MIN(1,L19/H19),0)</f>
        <v/>
      </c>
      <c r="N19" s="96">
        <f>IF(ISNUMBER(I19),MAX(0,I19-K19),"")</f>
        <v/>
      </c>
      <c r="O19" s="102">
        <f>IF(ISNUMBER(N19),N19*D19,"")</f>
        <v/>
      </c>
      <c r="P19" s="103">
        <f>IF(AND(ISNUMBER(O19),APORTE_MENSAL&gt;0),ROUNDUP(O19/APORTE_MENSAL,0),"")</f>
        <v/>
      </c>
    </row>
    <row r="20">
      <c r="A20" s="105">
        <f>Carteira!A20</f>
        <v/>
      </c>
      <c r="B20" s="105">
        <f>Carteira!B20</f>
        <v/>
      </c>
      <c r="C20" s="105">
        <f>Carteira!AB20</f>
        <v/>
      </c>
      <c r="D20" s="108">
        <f>Carteira!F20</f>
        <v/>
      </c>
      <c r="E20" s="126">
        <f>Carteira!T20</f>
        <v/>
      </c>
      <c r="F20" s="126">
        <f>Carteira!U20</f>
        <v/>
      </c>
      <c r="G20" s="127">
        <f>IF(D20&gt;0,F20/D20,0)</f>
        <v/>
      </c>
      <c r="H20" s="107">
        <f>IF(A20="","",META_MENSAL)</f>
        <v/>
      </c>
      <c r="I20" s="106">
        <f>IF(A20="","",IF(F20&gt;0,ROUNDUP(H20/F20,0),"sem proventos"))</f>
        <v/>
      </c>
      <c r="J20" s="112">
        <f>IF(ISNUMBER(I20),I20*D20,"")</f>
        <v/>
      </c>
      <c r="K20" s="128">
        <f>Carteira!C20</f>
        <v/>
      </c>
      <c r="L20" s="108">
        <f>Carteira!V20</f>
        <v/>
      </c>
      <c r="M20" s="109">
        <f>IF(N(H20)&gt;0,MIN(1,L20/H20),0)</f>
        <v/>
      </c>
      <c r="N20" s="106">
        <f>IF(ISNUMBER(I20),MAX(0,I20-K20),"")</f>
        <v/>
      </c>
      <c r="O20" s="112">
        <f>IF(ISNUMBER(N20),N20*D20,"")</f>
        <v/>
      </c>
      <c r="P20" s="113">
        <f>IF(AND(ISNUMBER(O20),APORTE_MENSAL&gt;0),ROUNDUP(O20/APORTE_MENSAL,0),"")</f>
        <v/>
      </c>
    </row>
    <row r="21">
      <c r="A21" s="95">
        <f>Carteira!A21</f>
        <v/>
      </c>
      <c r="B21" s="95">
        <f>Carteira!B21</f>
        <v/>
      </c>
      <c r="C21" s="95">
        <f>Carteira!AB21</f>
        <v/>
      </c>
      <c r="D21" s="98">
        <f>Carteira!F21</f>
        <v/>
      </c>
      <c r="E21" s="123">
        <f>Carteira!T21</f>
        <v/>
      </c>
      <c r="F21" s="123">
        <f>Carteira!U21</f>
        <v/>
      </c>
      <c r="G21" s="124">
        <f>IF(D21&gt;0,F21/D21,0)</f>
        <v/>
      </c>
      <c r="H21" s="97">
        <f>IF(A21="","",META_MENSAL)</f>
        <v/>
      </c>
      <c r="I21" s="96">
        <f>IF(A21="","",IF(F21&gt;0,ROUNDUP(H21/F21,0),"sem proventos"))</f>
        <v/>
      </c>
      <c r="J21" s="102">
        <f>IF(ISNUMBER(I21),I21*D21,"")</f>
        <v/>
      </c>
      <c r="K21" s="125">
        <f>Carteira!C21</f>
        <v/>
      </c>
      <c r="L21" s="98">
        <f>Carteira!V21</f>
        <v/>
      </c>
      <c r="M21" s="99">
        <f>IF(N(H21)&gt;0,MIN(1,L21/H21),0)</f>
        <v/>
      </c>
      <c r="N21" s="96">
        <f>IF(ISNUMBER(I21),MAX(0,I21-K21),"")</f>
        <v/>
      </c>
      <c r="O21" s="102">
        <f>IF(ISNUMBER(N21),N21*D21,"")</f>
        <v/>
      </c>
      <c r="P21" s="103">
        <f>IF(AND(ISNUMBER(O21),APORTE_MENSAL&gt;0),ROUNDUP(O21/APORTE_MENSAL,0),"")</f>
        <v/>
      </c>
    </row>
    <row r="22">
      <c r="A22" s="105">
        <f>Carteira!A22</f>
        <v/>
      </c>
      <c r="B22" s="105">
        <f>Carteira!B22</f>
        <v/>
      </c>
      <c r="C22" s="105">
        <f>Carteira!AB22</f>
        <v/>
      </c>
      <c r="D22" s="108">
        <f>Carteira!F22</f>
        <v/>
      </c>
      <c r="E22" s="126">
        <f>Carteira!T22</f>
        <v/>
      </c>
      <c r="F22" s="126">
        <f>Carteira!U22</f>
        <v/>
      </c>
      <c r="G22" s="127">
        <f>IF(D22&gt;0,F22/D22,0)</f>
        <v/>
      </c>
      <c r="H22" s="107">
        <f>IF(A22="","",META_MENSAL)</f>
        <v/>
      </c>
      <c r="I22" s="106">
        <f>IF(A22="","",IF(F22&gt;0,ROUNDUP(H22/F22,0),"sem proventos"))</f>
        <v/>
      </c>
      <c r="J22" s="112">
        <f>IF(ISNUMBER(I22),I22*D22,"")</f>
        <v/>
      </c>
      <c r="K22" s="128">
        <f>Carteira!C22</f>
        <v/>
      </c>
      <c r="L22" s="108">
        <f>Carteira!V22</f>
        <v/>
      </c>
      <c r="M22" s="109">
        <f>IF(N(H22)&gt;0,MIN(1,L22/H22),0)</f>
        <v/>
      </c>
      <c r="N22" s="106">
        <f>IF(ISNUMBER(I22),MAX(0,I22-K22),"")</f>
        <v/>
      </c>
      <c r="O22" s="112">
        <f>IF(ISNUMBER(N22),N22*D22,"")</f>
        <v/>
      </c>
      <c r="P22" s="113">
        <f>IF(AND(ISNUMBER(O22),APORTE_MENSAL&gt;0),ROUNDUP(O22/APORTE_MENSAL,0),"")</f>
        <v/>
      </c>
    </row>
    <row r="23">
      <c r="A23" s="95">
        <f>Carteira!A23</f>
        <v/>
      </c>
      <c r="B23" s="95">
        <f>Carteira!B23</f>
        <v/>
      </c>
      <c r="C23" s="95">
        <f>Carteira!AB23</f>
        <v/>
      </c>
      <c r="D23" s="98">
        <f>Carteira!F23</f>
        <v/>
      </c>
      <c r="E23" s="123">
        <f>Carteira!T23</f>
        <v/>
      </c>
      <c r="F23" s="123">
        <f>Carteira!U23</f>
        <v/>
      </c>
      <c r="G23" s="124">
        <f>IF(D23&gt;0,F23/D23,0)</f>
        <v/>
      </c>
      <c r="H23" s="97">
        <f>IF(A23="","",META_MENSAL)</f>
        <v/>
      </c>
      <c r="I23" s="96">
        <f>IF(A23="","",IF(F23&gt;0,ROUNDUP(H23/F23,0),"sem proventos"))</f>
        <v/>
      </c>
      <c r="J23" s="102">
        <f>IF(ISNUMBER(I23),I23*D23,"")</f>
        <v/>
      </c>
      <c r="K23" s="125">
        <f>Carteira!C23</f>
        <v/>
      </c>
      <c r="L23" s="98">
        <f>Carteira!V23</f>
        <v/>
      </c>
      <c r="M23" s="99">
        <f>IF(N(H23)&gt;0,MIN(1,L23/H23),0)</f>
        <v/>
      </c>
      <c r="N23" s="96">
        <f>IF(ISNUMBER(I23),MAX(0,I23-K23),"")</f>
        <v/>
      </c>
      <c r="O23" s="102">
        <f>IF(ISNUMBER(N23),N23*D23,"")</f>
        <v/>
      </c>
      <c r="P23" s="103">
        <f>IF(AND(ISNUMBER(O23),APORTE_MENSAL&gt;0),ROUNDUP(O23/APORTE_MENSAL,0),"")</f>
        <v/>
      </c>
    </row>
    <row r="24">
      <c r="A24" s="105">
        <f>Carteira!A24</f>
        <v/>
      </c>
      <c r="B24" s="105">
        <f>Carteira!B24</f>
        <v/>
      </c>
      <c r="C24" s="105">
        <f>Carteira!AB24</f>
        <v/>
      </c>
      <c r="D24" s="108">
        <f>Carteira!F24</f>
        <v/>
      </c>
      <c r="E24" s="126">
        <f>Carteira!T24</f>
        <v/>
      </c>
      <c r="F24" s="126">
        <f>Carteira!U24</f>
        <v/>
      </c>
      <c r="G24" s="127">
        <f>IF(D24&gt;0,F24/D24,0)</f>
        <v/>
      </c>
      <c r="H24" s="107">
        <f>IF(A24="","",META_MENSAL)</f>
        <v/>
      </c>
      <c r="I24" s="106">
        <f>IF(A24="","",IF(F24&gt;0,ROUNDUP(H24/F24,0),"sem proventos"))</f>
        <v/>
      </c>
      <c r="J24" s="112">
        <f>IF(ISNUMBER(I24),I24*D24,"")</f>
        <v/>
      </c>
      <c r="K24" s="128">
        <f>Carteira!C24</f>
        <v/>
      </c>
      <c r="L24" s="108">
        <f>Carteira!V24</f>
        <v/>
      </c>
      <c r="M24" s="109">
        <f>IF(N(H24)&gt;0,MIN(1,L24/H24),0)</f>
        <v/>
      </c>
      <c r="N24" s="106">
        <f>IF(ISNUMBER(I24),MAX(0,I24-K24),"")</f>
        <v/>
      </c>
      <c r="O24" s="112">
        <f>IF(ISNUMBER(N24),N24*D24,"")</f>
        <v/>
      </c>
      <c r="P24" s="113">
        <f>IF(AND(ISNUMBER(O24),APORTE_MENSAL&gt;0),ROUNDUP(O24/APORTE_MENSAL,0),"")</f>
        <v/>
      </c>
    </row>
    <row r="25">
      <c r="A25" s="95">
        <f>Carteira!A25</f>
        <v/>
      </c>
      <c r="B25" s="95">
        <f>Carteira!B25</f>
        <v/>
      </c>
      <c r="C25" s="95">
        <f>Carteira!AB25</f>
        <v/>
      </c>
      <c r="D25" s="98">
        <f>Carteira!F25</f>
        <v/>
      </c>
      <c r="E25" s="123">
        <f>Carteira!T25</f>
        <v/>
      </c>
      <c r="F25" s="123">
        <f>Carteira!U25</f>
        <v/>
      </c>
      <c r="G25" s="124">
        <f>IF(D25&gt;0,F25/D25,0)</f>
        <v/>
      </c>
      <c r="H25" s="97">
        <f>IF(A25="","",META_MENSAL)</f>
        <v/>
      </c>
      <c r="I25" s="96">
        <f>IF(A25="","",IF(F25&gt;0,ROUNDUP(H25/F25,0),"sem proventos"))</f>
        <v/>
      </c>
      <c r="J25" s="102">
        <f>IF(ISNUMBER(I25),I25*D25,"")</f>
        <v/>
      </c>
      <c r="K25" s="125">
        <f>Carteira!C25</f>
        <v/>
      </c>
      <c r="L25" s="98">
        <f>Carteira!V25</f>
        <v/>
      </c>
      <c r="M25" s="99">
        <f>IF(N(H25)&gt;0,MIN(1,L25/H25),0)</f>
        <v/>
      </c>
      <c r="N25" s="96">
        <f>IF(ISNUMBER(I25),MAX(0,I25-K25),"")</f>
        <v/>
      </c>
      <c r="O25" s="102">
        <f>IF(ISNUMBER(N25),N25*D25,"")</f>
        <v/>
      </c>
      <c r="P25" s="103">
        <f>IF(AND(ISNUMBER(O25),APORTE_MENSAL&gt;0),ROUNDUP(O25/APORTE_MENSAL,0),"")</f>
        <v/>
      </c>
    </row>
    <row r="26">
      <c r="A26" s="105">
        <f>Carteira!A26</f>
        <v/>
      </c>
      <c r="B26" s="105">
        <f>Carteira!B26</f>
        <v/>
      </c>
      <c r="C26" s="105">
        <f>Carteira!AB26</f>
        <v/>
      </c>
      <c r="D26" s="108">
        <f>Carteira!F26</f>
        <v/>
      </c>
      <c r="E26" s="126">
        <f>Carteira!T26</f>
        <v/>
      </c>
      <c r="F26" s="126">
        <f>Carteira!U26</f>
        <v/>
      </c>
      <c r="G26" s="127">
        <f>IF(D26&gt;0,F26/D26,0)</f>
        <v/>
      </c>
      <c r="H26" s="107">
        <f>IF(A26="","",META_MENSAL)</f>
        <v/>
      </c>
      <c r="I26" s="106">
        <f>IF(A26="","",IF(F26&gt;0,ROUNDUP(H26/F26,0),"sem proventos"))</f>
        <v/>
      </c>
      <c r="J26" s="112">
        <f>IF(ISNUMBER(I26),I26*D26,"")</f>
        <v/>
      </c>
      <c r="K26" s="128">
        <f>Carteira!C26</f>
        <v/>
      </c>
      <c r="L26" s="108">
        <f>Carteira!V26</f>
        <v/>
      </c>
      <c r="M26" s="109">
        <f>IF(N(H26)&gt;0,MIN(1,L26/H26),0)</f>
        <v/>
      </c>
      <c r="N26" s="106">
        <f>IF(ISNUMBER(I26),MAX(0,I26-K26),"")</f>
        <v/>
      </c>
      <c r="O26" s="112">
        <f>IF(ISNUMBER(N26),N26*D26,"")</f>
        <v/>
      </c>
      <c r="P26" s="113">
        <f>IF(AND(ISNUMBER(O26),APORTE_MENSAL&gt;0),ROUNDUP(O26/APORTE_MENSAL,0),"")</f>
        <v/>
      </c>
    </row>
    <row r="27">
      <c r="A27" s="95">
        <f>Carteira!A27</f>
        <v/>
      </c>
      <c r="B27" s="95">
        <f>Carteira!B27</f>
        <v/>
      </c>
      <c r="C27" s="95">
        <f>Carteira!AB27</f>
        <v/>
      </c>
      <c r="D27" s="98">
        <f>Carteira!F27</f>
        <v/>
      </c>
      <c r="E27" s="123">
        <f>Carteira!T27</f>
        <v/>
      </c>
      <c r="F27" s="123">
        <f>Carteira!U27</f>
        <v/>
      </c>
      <c r="G27" s="124">
        <f>IF(D27&gt;0,F27/D27,0)</f>
        <v/>
      </c>
      <c r="H27" s="97">
        <f>IF(A27="","",META_MENSAL)</f>
        <v/>
      </c>
      <c r="I27" s="96">
        <f>IF(A27="","",IF(F27&gt;0,ROUNDUP(H27/F27,0),"sem proventos"))</f>
        <v/>
      </c>
      <c r="J27" s="102">
        <f>IF(ISNUMBER(I27),I27*D27,"")</f>
        <v/>
      </c>
      <c r="K27" s="125">
        <f>Carteira!C27</f>
        <v/>
      </c>
      <c r="L27" s="98">
        <f>Carteira!V27</f>
        <v/>
      </c>
      <c r="M27" s="99">
        <f>IF(N(H27)&gt;0,MIN(1,L27/H27),0)</f>
        <v/>
      </c>
      <c r="N27" s="96">
        <f>IF(ISNUMBER(I27),MAX(0,I27-K27),"")</f>
        <v/>
      </c>
      <c r="O27" s="102">
        <f>IF(ISNUMBER(N27),N27*D27,"")</f>
        <v/>
      </c>
      <c r="P27" s="103">
        <f>IF(AND(ISNUMBER(O27),APORTE_MENSAL&gt;0),ROUNDUP(O27/APORTE_MENSAL,0),"")</f>
        <v/>
      </c>
    </row>
    <row r="28">
      <c r="A28" s="105">
        <f>Carteira!A28</f>
        <v/>
      </c>
      <c r="B28" s="105">
        <f>Carteira!B28</f>
        <v/>
      </c>
      <c r="C28" s="105">
        <f>Carteira!AB28</f>
        <v/>
      </c>
      <c r="D28" s="108">
        <f>Carteira!F28</f>
        <v/>
      </c>
      <c r="E28" s="126">
        <f>Carteira!T28</f>
        <v/>
      </c>
      <c r="F28" s="126">
        <f>Carteira!U28</f>
        <v/>
      </c>
      <c r="G28" s="127">
        <f>IF(D28&gt;0,F28/D28,0)</f>
        <v/>
      </c>
      <c r="H28" s="107">
        <f>IF(A28="","",META_MENSAL)</f>
        <v/>
      </c>
      <c r="I28" s="106">
        <f>IF(A28="","",IF(F28&gt;0,ROUNDUP(H28/F28,0),"sem proventos"))</f>
        <v/>
      </c>
      <c r="J28" s="112">
        <f>IF(ISNUMBER(I28),I28*D28,"")</f>
        <v/>
      </c>
      <c r="K28" s="128">
        <f>Carteira!C28</f>
        <v/>
      </c>
      <c r="L28" s="108">
        <f>Carteira!V28</f>
        <v/>
      </c>
      <c r="M28" s="109">
        <f>IF(N(H28)&gt;0,MIN(1,L28/H28),0)</f>
        <v/>
      </c>
      <c r="N28" s="106">
        <f>IF(ISNUMBER(I28),MAX(0,I28-K28),"")</f>
        <v/>
      </c>
      <c r="O28" s="112">
        <f>IF(ISNUMBER(N28),N28*D28,"")</f>
        <v/>
      </c>
      <c r="P28" s="113">
        <f>IF(AND(ISNUMBER(O28),APORTE_MENSAL&gt;0),ROUNDUP(O28/APORTE_MENSAL,0),"")</f>
        <v/>
      </c>
    </row>
    <row r="29">
      <c r="A29" s="95">
        <f>Carteira!A29</f>
        <v/>
      </c>
      <c r="B29" s="95">
        <f>Carteira!B29</f>
        <v/>
      </c>
      <c r="C29" s="95">
        <f>Carteira!AB29</f>
        <v/>
      </c>
      <c r="D29" s="98">
        <f>Carteira!F29</f>
        <v/>
      </c>
      <c r="E29" s="123">
        <f>Carteira!T29</f>
        <v/>
      </c>
      <c r="F29" s="123">
        <f>Carteira!U29</f>
        <v/>
      </c>
      <c r="G29" s="124">
        <f>IF(D29&gt;0,F29/D29,0)</f>
        <v/>
      </c>
      <c r="H29" s="97">
        <f>IF(A29="","",META_MENSAL)</f>
        <v/>
      </c>
      <c r="I29" s="96">
        <f>IF(A29="","",IF(F29&gt;0,ROUNDUP(H29/F29,0),"sem proventos"))</f>
        <v/>
      </c>
      <c r="J29" s="102">
        <f>IF(ISNUMBER(I29),I29*D29,"")</f>
        <v/>
      </c>
      <c r="K29" s="125">
        <f>Carteira!C29</f>
        <v/>
      </c>
      <c r="L29" s="98">
        <f>Carteira!V29</f>
        <v/>
      </c>
      <c r="M29" s="99">
        <f>IF(N(H29)&gt;0,MIN(1,L29/H29),0)</f>
        <v/>
      </c>
      <c r="N29" s="96">
        <f>IF(ISNUMBER(I29),MAX(0,I29-K29),"")</f>
        <v/>
      </c>
      <c r="O29" s="102">
        <f>IF(ISNUMBER(N29),N29*D29,"")</f>
        <v/>
      </c>
      <c r="P29" s="103">
        <f>IF(AND(ISNUMBER(O29),APORTE_MENSAL&gt;0),ROUNDUP(O29/APORTE_MENSAL,0),"")</f>
        <v/>
      </c>
    </row>
    <row r="30">
      <c r="A30" s="105">
        <f>Carteira!A30</f>
        <v/>
      </c>
      <c r="B30" s="105">
        <f>Carteira!B30</f>
        <v/>
      </c>
      <c r="C30" s="105">
        <f>Carteira!AB30</f>
        <v/>
      </c>
      <c r="D30" s="108">
        <f>Carteira!F30</f>
        <v/>
      </c>
      <c r="E30" s="126">
        <f>Carteira!T30</f>
        <v/>
      </c>
      <c r="F30" s="126">
        <f>Carteira!U30</f>
        <v/>
      </c>
      <c r="G30" s="127">
        <f>IF(D30&gt;0,F30/D30,0)</f>
        <v/>
      </c>
      <c r="H30" s="107">
        <f>IF(A30="","",META_MENSAL)</f>
        <v/>
      </c>
      <c r="I30" s="106">
        <f>IF(A30="","",IF(F30&gt;0,ROUNDUP(H30/F30,0),"sem proventos"))</f>
        <v/>
      </c>
      <c r="J30" s="112">
        <f>IF(ISNUMBER(I30),I30*D30,"")</f>
        <v/>
      </c>
      <c r="K30" s="128">
        <f>Carteira!C30</f>
        <v/>
      </c>
      <c r="L30" s="108">
        <f>Carteira!V30</f>
        <v/>
      </c>
      <c r="M30" s="109">
        <f>IF(N(H30)&gt;0,MIN(1,L30/H30),0)</f>
        <v/>
      </c>
      <c r="N30" s="106">
        <f>IF(ISNUMBER(I30),MAX(0,I30-K30),"")</f>
        <v/>
      </c>
      <c r="O30" s="112">
        <f>IF(ISNUMBER(N30),N30*D30,"")</f>
        <v/>
      </c>
      <c r="P30" s="113">
        <f>IF(AND(ISNUMBER(O30),APORTE_MENSAL&gt;0),ROUNDUP(O30/APORTE_MENSAL,0),"")</f>
        <v/>
      </c>
    </row>
    <row r="31">
      <c r="A31" s="95">
        <f>Carteira!A31</f>
        <v/>
      </c>
      <c r="B31" s="95">
        <f>Carteira!B31</f>
        <v/>
      </c>
      <c r="C31" s="95">
        <f>Carteira!AB31</f>
        <v/>
      </c>
      <c r="D31" s="98">
        <f>Carteira!F31</f>
        <v/>
      </c>
      <c r="E31" s="123">
        <f>Carteira!T31</f>
        <v/>
      </c>
      <c r="F31" s="123">
        <f>Carteira!U31</f>
        <v/>
      </c>
      <c r="G31" s="124">
        <f>IF(D31&gt;0,F31/D31,0)</f>
        <v/>
      </c>
      <c r="H31" s="97">
        <f>IF(A31="","",META_MENSAL)</f>
        <v/>
      </c>
      <c r="I31" s="96">
        <f>IF(A31="","",IF(F31&gt;0,ROUNDUP(H31/F31,0),"sem proventos"))</f>
        <v/>
      </c>
      <c r="J31" s="102">
        <f>IF(ISNUMBER(I31),I31*D31,"")</f>
        <v/>
      </c>
      <c r="K31" s="125">
        <f>Carteira!C31</f>
        <v/>
      </c>
      <c r="L31" s="98">
        <f>Carteira!V31</f>
        <v/>
      </c>
      <c r="M31" s="99">
        <f>IF(N(H31)&gt;0,MIN(1,L31/H31),0)</f>
        <v/>
      </c>
      <c r="N31" s="96">
        <f>IF(ISNUMBER(I31),MAX(0,I31-K31),"")</f>
        <v/>
      </c>
      <c r="O31" s="102">
        <f>IF(ISNUMBER(N31),N31*D31,"")</f>
        <v/>
      </c>
      <c r="P31" s="103">
        <f>IF(AND(ISNUMBER(O31),APORTE_MENSAL&gt;0),ROUNDUP(O31/APORTE_MENSAL,0),"")</f>
        <v/>
      </c>
    </row>
    <row r="32">
      <c r="A32" s="105">
        <f>Carteira!A32</f>
        <v/>
      </c>
      <c r="B32" s="105">
        <f>Carteira!B32</f>
        <v/>
      </c>
      <c r="C32" s="105">
        <f>Carteira!AB32</f>
        <v/>
      </c>
      <c r="D32" s="108">
        <f>Carteira!F32</f>
        <v/>
      </c>
      <c r="E32" s="126">
        <f>Carteira!T32</f>
        <v/>
      </c>
      <c r="F32" s="126">
        <f>Carteira!U32</f>
        <v/>
      </c>
      <c r="G32" s="127">
        <f>IF(D32&gt;0,F32/D32,0)</f>
        <v/>
      </c>
      <c r="H32" s="107">
        <f>IF(A32="","",META_MENSAL)</f>
        <v/>
      </c>
      <c r="I32" s="106">
        <f>IF(A32="","",IF(F32&gt;0,ROUNDUP(H32/F32,0),"sem proventos"))</f>
        <v/>
      </c>
      <c r="J32" s="112">
        <f>IF(ISNUMBER(I32),I32*D32,"")</f>
        <v/>
      </c>
      <c r="K32" s="128">
        <f>Carteira!C32</f>
        <v/>
      </c>
      <c r="L32" s="108">
        <f>Carteira!V32</f>
        <v/>
      </c>
      <c r="M32" s="109">
        <f>IF(N(H32)&gt;0,MIN(1,L32/H32),0)</f>
        <v/>
      </c>
      <c r="N32" s="106">
        <f>IF(ISNUMBER(I32),MAX(0,I32-K32),"")</f>
        <v/>
      </c>
      <c r="O32" s="112">
        <f>IF(ISNUMBER(N32),N32*D32,"")</f>
        <v/>
      </c>
      <c r="P32" s="113">
        <f>IF(AND(ISNUMBER(O32),APORTE_MENSAL&gt;0),ROUNDUP(O32/APORTE_MENSAL,0),"")</f>
        <v/>
      </c>
    </row>
    <row r="33">
      <c r="A33" s="95">
        <f>Carteira!A33</f>
        <v/>
      </c>
      <c r="B33" s="95">
        <f>Carteira!B33</f>
        <v/>
      </c>
      <c r="C33" s="95">
        <f>Carteira!AB33</f>
        <v/>
      </c>
      <c r="D33" s="98">
        <f>Carteira!F33</f>
        <v/>
      </c>
      <c r="E33" s="123">
        <f>Carteira!T33</f>
        <v/>
      </c>
      <c r="F33" s="123">
        <f>Carteira!U33</f>
        <v/>
      </c>
      <c r="G33" s="124">
        <f>IF(D33&gt;0,F33/D33,0)</f>
        <v/>
      </c>
      <c r="H33" s="97">
        <f>IF(A33="","",META_MENSAL)</f>
        <v/>
      </c>
      <c r="I33" s="96">
        <f>IF(A33="","",IF(F33&gt;0,ROUNDUP(H33/F33,0),"sem proventos"))</f>
        <v/>
      </c>
      <c r="J33" s="102">
        <f>IF(ISNUMBER(I33),I33*D33,"")</f>
        <v/>
      </c>
      <c r="K33" s="125">
        <f>Carteira!C33</f>
        <v/>
      </c>
      <c r="L33" s="98">
        <f>Carteira!V33</f>
        <v/>
      </c>
      <c r="M33" s="99">
        <f>IF(N(H33)&gt;0,MIN(1,L33/H33),0)</f>
        <v/>
      </c>
      <c r="N33" s="96">
        <f>IF(ISNUMBER(I33),MAX(0,I33-K33),"")</f>
        <v/>
      </c>
      <c r="O33" s="102">
        <f>IF(ISNUMBER(N33),N33*D33,"")</f>
        <v/>
      </c>
      <c r="P33" s="103">
        <f>IF(AND(ISNUMBER(O33),APORTE_MENSAL&gt;0),ROUNDUP(O33/APORTE_MENSAL,0),"")</f>
        <v/>
      </c>
    </row>
    <row r="34">
      <c r="A34" s="105">
        <f>Carteira!A34</f>
        <v/>
      </c>
      <c r="B34" s="105">
        <f>Carteira!B34</f>
        <v/>
      </c>
      <c r="C34" s="105">
        <f>Carteira!AB34</f>
        <v/>
      </c>
      <c r="D34" s="108">
        <f>Carteira!F34</f>
        <v/>
      </c>
      <c r="E34" s="126">
        <f>Carteira!T34</f>
        <v/>
      </c>
      <c r="F34" s="126">
        <f>Carteira!U34</f>
        <v/>
      </c>
      <c r="G34" s="127">
        <f>IF(D34&gt;0,F34/D34,0)</f>
        <v/>
      </c>
      <c r="H34" s="107">
        <f>IF(A34="","",META_MENSAL)</f>
        <v/>
      </c>
      <c r="I34" s="106">
        <f>IF(A34="","",IF(F34&gt;0,ROUNDUP(H34/F34,0),"sem proventos"))</f>
        <v/>
      </c>
      <c r="J34" s="112">
        <f>IF(ISNUMBER(I34),I34*D34,"")</f>
        <v/>
      </c>
      <c r="K34" s="128">
        <f>Carteira!C34</f>
        <v/>
      </c>
      <c r="L34" s="108">
        <f>Carteira!V34</f>
        <v/>
      </c>
      <c r="M34" s="109">
        <f>IF(N(H34)&gt;0,MIN(1,L34/H34),0)</f>
        <v/>
      </c>
      <c r="N34" s="106">
        <f>IF(ISNUMBER(I34),MAX(0,I34-K34),"")</f>
        <v/>
      </c>
      <c r="O34" s="112">
        <f>IF(ISNUMBER(N34),N34*D34,"")</f>
        <v/>
      </c>
      <c r="P34" s="113">
        <f>IF(AND(ISNUMBER(O34),APORTE_MENSAL&gt;0),ROUNDUP(O34/APORTE_MENSAL,0),"")</f>
        <v/>
      </c>
    </row>
    <row r="35">
      <c r="A35" s="95">
        <f>Carteira!A35</f>
        <v/>
      </c>
      <c r="B35" s="95">
        <f>Carteira!B35</f>
        <v/>
      </c>
      <c r="C35" s="95">
        <f>Carteira!AB35</f>
        <v/>
      </c>
      <c r="D35" s="98">
        <f>Carteira!F35</f>
        <v/>
      </c>
      <c r="E35" s="123">
        <f>Carteira!T35</f>
        <v/>
      </c>
      <c r="F35" s="123">
        <f>Carteira!U35</f>
        <v/>
      </c>
      <c r="G35" s="124">
        <f>IF(D35&gt;0,F35/D35,0)</f>
        <v/>
      </c>
      <c r="H35" s="97">
        <f>IF(A35="","",META_MENSAL)</f>
        <v/>
      </c>
      <c r="I35" s="96">
        <f>IF(A35="","",IF(F35&gt;0,ROUNDUP(H35/F35,0),"sem proventos"))</f>
        <v/>
      </c>
      <c r="J35" s="102">
        <f>IF(ISNUMBER(I35),I35*D35,"")</f>
        <v/>
      </c>
      <c r="K35" s="125">
        <f>Carteira!C35</f>
        <v/>
      </c>
      <c r="L35" s="98">
        <f>Carteira!V35</f>
        <v/>
      </c>
      <c r="M35" s="99">
        <f>IF(N(H35)&gt;0,MIN(1,L35/H35),0)</f>
        <v/>
      </c>
      <c r="N35" s="96">
        <f>IF(ISNUMBER(I35),MAX(0,I35-K35),"")</f>
        <v/>
      </c>
      <c r="O35" s="102">
        <f>IF(ISNUMBER(N35),N35*D35,"")</f>
        <v/>
      </c>
      <c r="P35" s="103">
        <f>IF(AND(ISNUMBER(O35),APORTE_MENSAL&gt;0),ROUNDUP(O35/APORTE_MENSAL,0),"")</f>
        <v/>
      </c>
    </row>
    <row r="36">
      <c r="A36" s="115" t="inlineStr">
        <is>
          <t>TOTAL</t>
        </is>
      </c>
      <c r="B36" s="115" t="n"/>
      <c r="C36" s="115" t="n"/>
      <c r="D36" s="115" t="n"/>
      <c r="E36" s="115" t="n"/>
      <c r="F36" s="115" t="n"/>
      <c r="G36" s="115" t="n"/>
      <c r="H36" s="116">
        <f>SUM(H5:H35)</f>
        <v/>
      </c>
      <c r="I36" s="115" t="n"/>
      <c r="J36" s="129">
        <f>SUM(J5:J35)</f>
        <v/>
      </c>
      <c r="K36" s="115" t="n"/>
      <c r="L36" s="116">
        <f>SUM(L5:L35)</f>
        <v/>
      </c>
      <c r="M36" s="117">
        <f>IF(H36&gt;0,L36/H36,0)</f>
        <v/>
      </c>
      <c r="N36" s="118">
        <f>SUM(N5:N35)</f>
        <v/>
      </c>
      <c r="O36" s="129">
        <f>SUM(O5:O35)</f>
        <v/>
      </c>
      <c r="P36" s="119">
        <f>IF(APORTE_MENSAL&gt;0,ROUNDUP(O36/APORTE_MENSAL,0),"")</f>
        <v/>
      </c>
    </row>
    <row r="38">
      <c r="A38" s="120" t="inlineStr">
        <is>
          <t>Subtotal ações</t>
        </is>
      </c>
      <c r="H38" s="129">
        <f>SUMIFS(H5:H35,$B$5:$B$35,"AÇÃO")</f>
        <v/>
      </c>
      <c r="J38" s="129">
        <f>SUMIFS(J5:J35,$B$5:$B$35,"AÇÃO")</f>
        <v/>
      </c>
      <c r="L38" s="129">
        <f>SUMIFS(L5:L35,$B$5:$B$35,"AÇÃO")</f>
        <v/>
      </c>
      <c r="M38" s="117">
        <f>IF(H38&gt;0,L38/H38,0)</f>
        <v/>
      </c>
      <c r="N38" s="118">
        <f>SUMIFS(N5:N35,$B$5:$B$35,"AÇÃO")</f>
        <v/>
      </c>
      <c r="O38" s="129">
        <f>SUMIFS(O5:O35,$B$5:$B$35,"AÇÃO")</f>
        <v/>
      </c>
      <c r="P38" s="119">
        <f>IF(APORTE_MENSAL&gt;0,ROUNDUP(O38/APORTE_MENSAL,0),"")</f>
        <v/>
      </c>
    </row>
    <row r="39">
      <c r="A39" s="120" t="inlineStr">
        <is>
          <t>Subtotal FIIs</t>
        </is>
      </c>
      <c r="H39" s="129">
        <f>SUMIFS(H5:H35,$B$5:$B$35,"FII")</f>
        <v/>
      </c>
      <c r="J39" s="129">
        <f>SUMIFS(J5:J35,$B$5:$B$35,"FII")</f>
        <v/>
      </c>
      <c r="L39" s="129">
        <f>SUMIFS(L5:L35,$B$5:$B$35,"FII")</f>
        <v/>
      </c>
      <c r="M39" s="117">
        <f>IF(H39&gt;0,L39/H39,0)</f>
        <v/>
      </c>
      <c r="N39" s="118">
        <f>SUMIFS(N5:N35,$B$5:$B$35,"FII")</f>
        <v/>
      </c>
      <c r="O39" s="129">
        <f>SUMIFS(O5:O35,$B$5:$B$35,"FII")</f>
        <v/>
      </c>
      <c r="P39" s="119">
        <f>IF(APORTE_MENSAL&gt;0,ROUNDUP(O39/APORTE_MENSAL,0),"")</f>
        <v/>
      </c>
    </row>
    <row r="42">
      <c r="A42" s="120" t="inlineStr">
        <is>
          <t>Como ler</t>
        </is>
      </c>
    </row>
    <row r="43">
      <c r="A43" s="121" t="inlineStr">
        <is>
          <t>• Cotas necessárias = meta mensal ÷ provento mensal por cota (provento dos últimos 12 meses ÷ 12), arredondado para cima.</t>
        </is>
      </c>
    </row>
    <row r="44">
      <c r="A44" s="121" t="inlineStr">
        <is>
          <t>• Custo total = cotas necessárias × cotação de hoje; custo faltante considera as cotas que você já tem.</t>
        </is>
      </c>
    </row>
    <row r="45">
      <c r="A45" s="121" t="inlineStr">
        <is>
          <t>• Meses: tempo até a meta se todo o aporte mensal (Premissas) fosse para este ativo. O total considera a carteira inteira.</t>
        </is>
      </c>
    </row>
    <row r="46">
      <c r="A46" s="121" t="inlineStr">
        <is>
          <t>• Ativo sem proventos nos últimos 12 meses não tem como atingir a meta de renda ('sem proventos').</t>
        </is>
      </c>
    </row>
    <row r="47">
      <c r="A47" s="121" t="inlineStr">
        <is>
          <t>• Para mudar a meta, edite meta_mensal_por_ativo em dados/config.json (ou a aba Premissas).</t>
        </is>
      </c>
    </row>
  </sheetData>
  <mergeCells count="1">
    <mergeCell ref="A2:Z2"/>
  </mergeCells>
  <conditionalFormatting sqref="M5:M35">
    <cfRule type="dataBar" priority="1">
      <dataBar>
        <cfvo type="num" val="0"/>
        <cfvo type="num" val="1"/>
        <color rgb="000D9488"/>
      </dataBar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7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20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Análise Quantitativa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  <c r="AH2" s="6" t="n"/>
      <c r="AI2" s="6" t="n"/>
      <c r="AJ2" s="6" t="n"/>
      <c r="AK2" s="6" t="n"/>
      <c r="AL2" s="6" t="n"/>
      <c r="AM2" s="7" t="n"/>
      <c r="AN2" s="7" t="n"/>
    </row>
    <row r="3" ht="22" customHeight="1">
      <c r="A3" s="93" t="inlineStr">
        <is>
          <t>Histórico semanal até 28/09/2026 (Yahoo Finance) • pesos: pesos ideais (ainda sem lançamentos) • calculado por gestao.py — não digite aqui.</t>
        </is>
      </c>
    </row>
    <row r="4" ht="44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Posição atual (R$)</t>
        </is>
      </c>
      <c r="D4" s="94" t="inlineStr">
        <is>
          <t>Peso atual</t>
        </is>
      </c>
      <c r="E4" s="94" t="inlineStr">
        <is>
          <t>Qualidade dos dados</t>
        </is>
      </c>
      <c r="F4" s="94" t="inlineStr">
        <is>
          <t>Semanas de histórico</t>
        </is>
      </c>
      <c r="G4" s="94" t="inlineStr">
        <is>
          <t>Última cotação</t>
        </is>
      </c>
      <c r="H4" s="94" t="inlineStr">
        <is>
          <t>Retorno 12m (preço)</t>
        </is>
      </c>
      <c r="I4" s="94" t="inlineStr">
        <is>
          <t>Retorno 12m (c/ proventos)</t>
        </is>
      </c>
      <c r="J4" s="94" t="inlineStr">
        <is>
          <t>Volatilidade anual</t>
        </is>
      </c>
      <c r="K4" s="94" t="inlineStr">
        <is>
          <t>Sharpe (vs CDI)</t>
        </is>
      </c>
      <c r="L4" s="94" t="inlineStr">
        <is>
          <t>Queda máx. 3a</t>
        </is>
      </c>
      <c r="M4" s="94" t="inlineStr">
        <is>
          <t>Beta (Ibov)</t>
        </is>
      </c>
      <c r="N4" s="94" t="inlineStr">
        <is>
          <t>Correlação Ibov</t>
        </is>
      </c>
      <c r="O4" s="94" t="inlineStr">
        <is>
          <t>Volatilidade EWMA (λ)</t>
        </is>
      </c>
      <c r="P4" s="94" t="inlineStr">
        <is>
          <t>VaR 95% semanal</t>
        </is>
      </c>
      <c r="Q4" s="94" t="inlineStr">
        <is>
          <t>CVaR 95% semanal</t>
        </is>
      </c>
      <c r="R4" s="94" t="inlineStr">
        <is>
          <t>Sortino</t>
        </is>
      </c>
      <c r="S4" s="94" t="inlineStr">
        <is>
          <t>Retorno esperado CAPM</t>
        </is>
      </c>
      <c r="T4" s="94" t="inlineStr">
        <is>
          <t>Alfa de Jensen</t>
        </is>
      </c>
      <c r="U4" s="94" t="inlineStr">
        <is>
          <t>Assimetria</t>
        </is>
      </c>
      <c r="V4" s="94" t="inlineStr">
        <is>
          <t>Curtose (excesso)</t>
        </is>
      </c>
      <c r="W4" s="94" t="inlineStr">
        <is>
          <t>Normalidade (p Jarque-Bera)</t>
        </is>
      </c>
      <c r="X4" s="94" t="inlineStr">
        <is>
          <t>Autocorrelação 1 sem.</t>
        </is>
      </c>
      <c r="Y4" s="94" t="inlineStr">
        <is>
          <t>Taxa instantânea f′(t) (anual)</t>
        </is>
      </c>
      <c r="Z4" s="94" t="inlineStr">
        <is>
          <t>Curvatura f″(t)</t>
        </is>
      </c>
      <c r="AA4" s="94" t="inlineStr">
        <is>
          <t>R² polinômio grau 3</t>
        </is>
      </c>
      <c r="AB4" s="94" t="inlineStr">
        <is>
          <t>Leitura da tendência</t>
        </is>
      </c>
      <c r="AC4" s="94" t="inlineStr">
        <is>
          <t>Tendência anual (regressão 3a)</t>
        </is>
      </c>
      <c r="AD4" s="94" t="inlineStr">
        <is>
          <t>R² da regressão</t>
        </is>
      </c>
      <c r="AE4" s="94" t="inlineStr">
        <is>
          <t>Preço vs tendência</t>
        </is>
      </c>
      <c r="AF4" s="94" t="inlineStr">
        <is>
          <t>Preço projetado 12m (R$)</t>
        </is>
      </c>
      <c r="AG4" s="94" t="inlineStr">
        <is>
          <t>Faixa mín. 12m (R$)</t>
        </is>
      </c>
      <c r="AH4" s="94" t="inlineStr">
        <is>
          <t>Faixa máx. 12m (R$)</t>
        </is>
      </c>
      <c r="AI4" s="94" t="inlineStr">
        <is>
          <t>Proventos 12m hist. (R$)</t>
        </is>
      </c>
      <c r="AJ4" s="94" t="inlineStr">
        <is>
          <t>Crescimento proventos a/a</t>
        </is>
      </c>
      <c r="AK4" s="94" t="inlineStr">
        <is>
          <t>Peso na análise</t>
        </is>
      </c>
      <c r="AL4" s="94" t="inlineStr">
        <is>
          <t>Contribuição ao risco</t>
        </is>
      </c>
    </row>
    <row r="5">
      <c r="A5" s="95">
        <f>Carteira!A5</f>
        <v/>
      </c>
      <c r="B5" s="95">
        <f>Carteira!B5</f>
        <v/>
      </c>
      <c r="C5" s="98">
        <f>Carteira!G5</f>
        <v/>
      </c>
      <c r="D5" s="100">
        <f>Carteira!P5</f>
        <v/>
      </c>
      <c r="E5" s="104" t="inlineStr">
        <is>
          <t>Alta</t>
        </is>
      </c>
      <c r="F5" s="96" t="n">
        <v>262</v>
      </c>
      <c r="G5" s="130" t="n">
        <v>46293</v>
      </c>
      <c r="H5" s="99" t="n">
        <v>0.1880867042157364</v>
      </c>
      <c r="I5" s="99" t="n">
        <v>0.2857153933744918</v>
      </c>
      <c r="J5" s="99" t="n">
        <v>0.2432706270491074</v>
      </c>
      <c r="K5" s="131" t="n">
        <v>-0.1237474531135237</v>
      </c>
      <c r="L5" s="99" t="n">
        <v>-0.2697072486723729</v>
      </c>
      <c r="M5" s="131" t="n">
        <v>0.8642506769787194</v>
      </c>
      <c r="N5" s="131" t="n">
        <v>0.5245363929610207</v>
      </c>
      <c r="O5" s="99" t="n">
        <v>0.2533157358414846</v>
      </c>
      <c r="P5" s="99" t="n">
        <v>0.05211427655598841</v>
      </c>
      <c r="Q5" s="99" t="n">
        <v>0.06791478566871643</v>
      </c>
      <c r="R5" s="131" t="n">
        <v>-0.1715654026425718</v>
      </c>
      <c r="S5" s="99" t="n">
        <v>0.1677150043107089</v>
      </c>
      <c r="T5" s="99" t="n">
        <v>-0.05781912482536586</v>
      </c>
      <c r="U5" s="131" t="n">
        <v>-0.1235552685234299</v>
      </c>
      <c r="V5" s="131" t="n">
        <v>0.5325251257573145</v>
      </c>
      <c r="W5" s="132" t="n">
        <v>0.3262466665013226</v>
      </c>
      <c r="X5" s="131" t="n">
        <v>0.01163284834399908</v>
      </c>
      <c r="Y5" s="99" t="n">
        <v>-0.241665507744343</v>
      </c>
      <c r="Z5" s="131" t="n">
        <v>1.15878809536987</v>
      </c>
      <c r="AA5" s="131" t="n">
        <v>0.8262573189832894</v>
      </c>
      <c r="AB5" s="104" t="inlineStr">
        <is>
          <t>Queda perdendo força</t>
        </is>
      </c>
      <c r="AC5" s="99" t="n">
        <v>0.06686018058505398</v>
      </c>
      <c r="AD5" s="131" t="n">
        <v>0.1374786561668428</v>
      </c>
      <c r="AE5" s="99" t="n">
        <v>-0.02568104109457203</v>
      </c>
      <c r="AF5" s="97" t="n">
        <v>76.22158687536538</v>
      </c>
      <c r="AG5" s="97" t="n">
        <v>66.17806205903041</v>
      </c>
      <c r="AH5" s="97" t="n">
        <v>87.78936893946259</v>
      </c>
      <c r="AI5" s="97" t="n">
        <v>5.612493</v>
      </c>
      <c r="AJ5" s="99" t="n">
        <v>0.2314134230264175</v>
      </c>
      <c r="AK5" s="99" t="n">
        <v>0.1</v>
      </c>
      <c r="AL5" s="99" t="n">
        <v>0.1147185001652129</v>
      </c>
    </row>
    <row r="6">
      <c r="A6" s="105">
        <f>Carteira!A6</f>
        <v/>
      </c>
      <c r="B6" s="105">
        <f>Carteira!B6</f>
        <v/>
      </c>
      <c r="C6" s="108">
        <f>Carteira!G6</f>
        <v/>
      </c>
      <c r="D6" s="110">
        <f>Carteira!P6</f>
        <v/>
      </c>
      <c r="E6" s="114" t="inlineStr">
        <is>
          <t>Alta</t>
        </is>
      </c>
      <c r="F6" s="106" t="n">
        <v>262</v>
      </c>
      <c r="G6" s="133" t="n">
        <v>46293</v>
      </c>
      <c r="H6" s="109" t="n">
        <v>0.1051771117166211</v>
      </c>
      <c r="I6" s="109" t="n">
        <v>0.1893102217506744</v>
      </c>
      <c r="J6" s="109" t="n">
        <v>0.1783702525510037</v>
      </c>
      <c r="K6" s="134" t="n">
        <v>0.07243401169235414</v>
      </c>
      <c r="L6" s="109" t="n">
        <v>-0.1305464249106838</v>
      </c>
      <c r="M6" s="134" t="n">
        <v>0.7873655902003955</v>
      </c>
      <c r="N6" s="134" t="n">
        <v>0.6517478024881397</v>
      </c>
      <c r="O6" s="109" t="n">
        <v>0.2176248371855392</v>
      </c>
      <c r="P6" s="109" t="n">
        <v>0.03274552933740491</v>
      </c>
      <c r="Q6" s="109" t="n">
        <v>0.04115403261075068</v>
      </c>
      <c r="R6" s="134" t="n">
        <v>0.1159666055172014</v>
      </c>
      <c r="S6" s="109" t="n">
        <v>0.1652494343455923</v>
      </c>
      <c r="T6" s="109" t="n">
        <v>-0.0123293613867447</v>
      </c>
      <c r="U6" s="134" t="n">
        <v>0.8861276709551965</v>
      </c>
      <c r="V6" s="134" t="n">
        <v>2.360736280117174</v>
      </c>
      <c r="W6" s="135" t="n">
        <v>5.018949606369963e-13</v>
      </c>
      <c r="X6" s="134" t="n">
        <v>0.04038081947624063</v>
      </c>
      <c r="Y6" s="109" t="n">
        <v>0.6401270387699911</v>
      </c>
      <c r="Z6" s="134" t="n">
        <v>3.595082683105341</v>
      </c>
      <c r="AA6" s="134" t="n">
        <v>0.4501922872634286</v>
      </c>
      <c r="AB6" s="114" t="inlineStr">
        <is>
          <t>Alta acelerando</t>
        </is>
      </c>
      <c r="AC6" s="109" t="n">
        <v>0.06492788542185804</v>
      </c>
      <c r="AD6" s="134" t="n">
        <v>0.3888201956028575</v>
      </c>
      <c r="AE6" s="109" t="n">
        <v>0.006061477781310387</v>
      </c>
      <c r="AF6" s="107" t="n">
        <v>42.93323617555271</v>
      </c>
      <c r="AG6" s="107" t="n">
        <v>40.08100378039738</v>
      </c>
      <c r="AH6" s="107" t="n">
        <v>45.9884382787659</v>
      </c>
      <c r="AI6" s="107" t="n">
        <v>3.006456</v>
      </c>
      <c r="AJ6" s="109" t="n">
        <v>0.01572959608743285</v>
      </c>
      <c r="AK6" s="109" t="n">
        <v>0.05</v>
      </c>
      <c r="AL6" s="109" t="n">
        <v>0.04993065543639993</v>
      </c>
    </row>
    <row r="7">
      <c r="A7" s="95">
        <f>Carteira!A7</f>
        <v/>
      </c>
      <c r="B7" s="95">
        <f>Carteira!B7</f>
        <v/>
      </c>
      <c r="C7" s="98">
        <f>Carteira!G7</f>
        <v/>
      </c>
      <c r="D7" s="100">
        <f>Carteira!P7</f>
        <v/>
      </c>
      <c r="E7" s="104" t="inlineStr">
        <is>
          <t>Alta</t>
        </is>
      </c>
      <c r="F7" s="96" t="n">
        <v>262</v>
      </c>
      <c r="G7" s="130" t="n">
        <v>46293</v>
      </c>
      <c r="H7" s="99" t="n">
        <v>0.5838709677419356</v>
      </c>
      <c r="I7" s="99" t="n">
        <v>0.7369809127065052</v>
      </c>
      <c r="J7" s="99" t="n">
        <v>0.2768811555839228</v>
      </c>
      <c r="K7" s="131" t="n">
        <v>0.5890655833442194</v>
      </c>
      <c r="L7" s="99" t="n">
        <v>-0.2112375997243883</v>
      </c>
      <c r="M7" s="131" t="n">
        <v>0.6095514864203159</v>
      </c>
      <c r="N7" s="131" t="n">
        <v>0.3250443095717164</v>
      </c>
      <c r="O7" s="99" t="n">
        <v>0.2859581375197547</v>
      </c>
      <c r="P7" s="99" t="n">
        <v>0.05802845871748866</v>
      </c>
      <c r="Q7" s="99" t="n">
        <v>0.07690809863638932</v>
      </c>
      <c r="R7" s="131" t="n">
        <v>0.8737730981078234</v>
      </c>
      <c r="S7" s="99" t="n">
        <v>0.1595472477184465</v>
      </c>
      <c r="T7" s="99" t="n">
        <v>0.1435539117126186</v>
      </c>
      <c r="U7" s="131" t="n">
        <v>-0.1853085071247015</v>
      </c>
      <c r="V7" s="131" t="n">
        <v>0.1594618065306341</v>
      </c>
      <c r="W7" s="132" t="n">
        <v>0.5891635989732336</v>
      </c>
      <c r="X7" s="131" t="n">
        <v>0.09604077363636965</v>
      </c>
      <c r="Y7" s="99" t="n">
        <v>0.1271716406114041</v>
      </c>
      <c r="Z7" s="131" t="n">
        <v>0.173009706813274</v>
      </c>
      <c r="AA7" s="131" t="n">
        <v>0.7209273418718685</v>
      </c>
      <c r="AB7" s="104" t="inlineStr">
        <is>
          <t>Alta acelerando</t>
        </is>
      </c>
      <c r="AC7" s="99" t="n">
        <v>0.02597520685469575</v>
      </c>
      <c r="AD7" s="131" t="n">
        <v>0.02956600096015505</v>
      </c>
      <c r="AE7" s="99" t="n">
        <v>0.2819060150054036</v>
      </c>
      <c r="AF7" s="97" t="n">
        <v>39.29725117668101</v>
      </c>
      <c r="AG7" s="97" t="n">
        <v>34.57399410226571</v>
      </c>
      <c r="AH7" s="97" t="n">
        <v>44.66576657227917</v>
      </c>
      <c r="AI7" s="97" t="n">
        <v>3.664347</v>
      </c>
      <c r="AJ7" s="99" t="n">
        <v>-0.3004106261839296</v>
      </c>
      <c r="AK7" s="99" t="n">
        <v>0.07000000000000001</v>
      </c>
      <c r="AL7" s="99" t="n">
        <v>0.05845393499134279</v>
      </c>
    </row>
    <row r="8">
      <c r="A8" s="105">
        <f>Carteira!A8</f>
        <v/>
      </c>
      <c r="B8" s="105">
        <f>Carteira!B8</f>
        <v/>
      </c>
      <c r="C8" s="108">
        <f>Carteira!G8</f>
        <v/>
      </c>
      <c r="D8" s="110">
        <f>Carteira!P8</f>
        <v/>
      </c>
      <c r="E8" s="114" t="inlineStr">
        <is>
          <t>Alta</t>
        </is>
      </c>
      <c r="F8" s="106" t="n">
        <v>262</v>
      </c>
      <c r="G8" s="133" t="n">
        <v>46293</v>
      </c>
      <c r="H8" s="109" t="n">
        <v>0.02131603336422616</v>
      </c>
      <c r="I8" s="109" t="n">
        <v>0.05087851085034356</v>
      </c>
      <c r="J8" s="109" t="n">
        <v>0.262263453447858</v>
      </c>
      <c r="K8" s="134" t="n">
        <v>-0.4623573336908683</v>
      </c>
      <c r="L8" s="109" t="n">
        <v>-0.3664417705265182</v>
      </c>
      <c r="M8" s="134" t="n">
        <v>1.114557374600764</v>
      </c>
      <c r="N8" s="134" t="n">
        <v>0.6274660400552976</v>
      </c>
      <c r="O8" s="109" t="n">
        <v>0.3731459895813295</v>
      </c>
      <c r="P8" s="109" t="n">
        <v>0.05553823802051591</v>
      </c>
      <c r="Q8" s="109" t="n">
        <v>0.08048439979124798</v>
      </c>
      <c r="R8" s="134" t="n">
        <v>-0.6503889812989667</v>
      </c>
      <c r="S8" s="109" t="n">
        <v>0.1757419013538745</v>
      </c>
      <c r="T8" s="109" t="n">
        <v>-0.1570013324145852</v>
      </c>
      <c r="U8" s="134" t="n">
        <v>0.1989118796916813</v>
      </c>
      <c r="V8" s="134" t="n">
        <v>2.339252545574369</v>
      </c>
      <c r="W8" s="135" t="n">
        <v>1.129743418376262e-08</v>
      </c>
      <c r="X8" s="134" t="n">
        <v>0.1292470842050735</v>
      </c>
      <c r="Y8" s="109" t="n">
        <v>1.682130807085922</v>
      </c>
      <c r="Z8" s="134" t="n">
        <v>6.663443933681288</v>
      </c>
      <c r="AA8" s="134" t="n">
        <v>0.4934353399788673</v>
      </c>
      <c r="AB8" s="114" t="inlineStr">
        <is>
          <t>Alta acelerando</t>
        </is>
      </c>
      <c r="AC8" s="109" t="n">
        <v>-0.1036912381456324</v>
      </c>
      <c r="AD8" s="134" t="n">
        <v>0.5482528684794126</v>
      </c>
      <c r="AE8" s="109" t="n">
        <v>0.06148510192383361</v>
      </c>
      <c r="AF8" s="107" t="n">
        <v>18.61038376842687</v>
      </c>
      <c r="AG8" s="107" t="n">
        <v>17.06633560327547</v>
      </c>
      <c r="AH8" s="107" t="n">
        <v>20.29412710843759</v>
      </c>
      <c r="AI8" s="107" t="n">
        <v>0.6549509999999999</v>
      </c>
      <c r="AJ8" s="109" t="n">
        <v>-0.6203010918754588</v>
      </c>
      <c r="AK8" s="109" t="n">
        <v>0.06</v>
      </c>
      <c r="AL8" s="109" t="n">
        <v>0.09370906967454437</v>
      </c>
    </row>
    <row r="9">
      <c r="A9" s="95">
        <f>Carteira!A9</f>
        <v/>
      </c>
      <c r="B9" s="95">
        <f>Carteira!B9</f>
        <v/>
      </c>
      <c r="C9" s="98">
        <f>Carteira!G9</f>
        <v/>
      </c>
      <c r="D9" s="100">
        <f>Carteira!P9</f>
        <v/>
      </c>
      <c r="E9" s="104" t="inlineStr">
        <is>
          <t>Alta</t>
        </is>
      </c>
      <c r="F9" s="96" t="n">
        <v>262</v>
      </c>
      <c r="G9" s="130" t="n">
        <v>46293</v>
      </c>
      <c r="H9" s="99" t="n">
        <v>-0.1818181818181818</v>
      </c>
      <c r="I9" s="99" t="n">
        <v>-0.1165197855046848</v>
      </c>
      <c r="J9" s="99" t="n">
        <v>0.2755498419997157</v>
      </c>
      <c r="K9" s="131" t="n">
        <v>0.1335449454184906</v>
      </c>
      <c r="L9" s="99" t="n">
        <v>-0.4101238780505896</v>
      </c>
      <c r="M9" s="131" t="n">
        <v>1.136897362931719</v>
      </c>
      <c r="N9" s="131" t="n">
        <v>0.609181441726542</v>
      </c>
      <c r="O9" s="99" t="n">
        <v>0.3316780421738248</v>
      </c>
      <c r="P9" s="99" t="n">
        <v>0.05779433826251298</v>
      </c>
      <c r="Q9" s="99" t="n">
        <v>0.07065713646473033</v>
      </c>
      <c r="R9" s="131" t="n">
        <v>0.2004342200020549</v>
      </c>
      <c r="S9" s="99" t="n">
        <v>0.1764583056210462</v>
      </c>
      <c r="T9" s="99" t="n">
        <v>0.000339982988879578</v>
      </c>
      <c r="U9" s="131" t="n">
        <v>0.1855389793642336</v>
      </c>
      <c r="V9" s="131" t="n">
        <v>0.08647528328322851</v>
      </c>
      <c r="W9" s="132" t="n">
        <v>0.6238628760149894</v>
      </c>
      <c r="X9" s="131" t="n">
        <v>0.05243192477087151</v>
      </c>
      <c r="Y9" s="99" t="n">
        <v>0.01549841717980398</v>
      </c>
      <c r="Z9" s="131" t="n">
        <v>4.059424868300196</v>
      </c>
      <c r="AA9" s="131" t="n">
        <v>0.8381014165679951</v>
      </c>
      <c r="AB9" s="104" t="inlineStr">
        <is>
          <t>Alta acelerando</t>
        </is>
      </c>
      <c r="AC9" s="99" t="n">
        <v>0.06587615768564954</v>
      </c>
      <c r="AD9" s="131" t="n">
        <v>0.1729503082219518</v>
      </c>
      <c r="AE9" s="99" t="n">
        <v>-0.1405198297036252</v>
      </c>
      <c r="AF9" s="97" t="n">
        <v>18.19286095670663</v>
      </c>
      <c r="AG9" s="97" t="n">
        <v>16.10983987964987</v>
      </c>
      <c r="AH9" s="97" t="n">
        <v>20.54521908738263</v>
      </c>
      <c r="AI9" s="97" t="n">
        <v>1.38</v>
      </c>
      <c r="AJ9" s="99" t="n">
        <v>-0.3333333333333335</v>
      </c>
      <c r="AK9" s="99" t="n">
        <v>0.05</v>
      </c>
      <c r="AL9" s="99" t="n">
        <v>0.0800242747717072</v>
      </c>
    </row>
    <row r="10">
      <c r="A10" s="105">
        <f>Carteira!A10</f>
        <v/>
      </c>
      <c r="B10" s="105">
        <f>Carteira!B10</f>
        <v/>
      </c>
      <c r="C10" s="108">
        <f>Carteira!G10</f>
        <v/>
      </c>
      <c r="D10" s="110">
        <f>Carteira!P10</f>
        <v/>
      </c>
      <c r="E10" s="114" t="inlineStr">
        <is>
          <t>Alta</t>
        </is>
      </c>
      <c r="F10" s="106" t="n">
        <v>262</v>
      </c>
      <c r="G10" s="133" t="n">
        <v>46293</v>
      </c>
      <c r="H10" s="109" t="n">
        <v>0.039766081871345</v>
      </c>
      <c r="I10" s="109" t="n">
        <v>0.1093777760434251</v>
      </c>
      <c r="J10" s="109" t="n">
        <v>0.2605656172525797</v>
      </c>
      <c r="K10" s="134" t="n">
        <v>0.1072649768907465</v>
      </c>
      <c r="L10" s="109" t="n">
        <v>-0.2855729577329322</v>
      </c>
      <c r="M10" s="134" t="n">
        <v>1.234127189935124</v>
      </c>
      <c r="N10" s="134" t="n">
        <v>0.6993078189958432</v>
      </c>
      <c r="O10" s="109" t="n">
        <v>0.2570125371475463</v>
      </c>
      <c r="P10" s="109" t="n">
        <v>0.05231595247273993</v>
      </c>
      <c r="Q10" s="109" t="n">
        <v>0.07466299589271294</v>
      </c>
      <c r="R10" s="134" t="n">
        <v>0.1590575838656444</v>
      </c>
      <c r="S10" s="109" t="n">
        <v>0.1795762957439457</v>
      </c>
      <c r="T10" s="109" t="n">
        <v>-0.01162673083082461</v>
      </c>
      <c r="U10" s="134" t="n">
        <v>0.318262930335444</v>
      </c>
      <c r="V10" s="134" t="n">
        <v>2.614419132558924</v>
      </c>
      <c r="W10" s="135" t="n">
        <v>6.03327610353864e-11</v>
      </c>
      <c r="X10" s="134" t="n">
        <v>0.1633865552756226</v>
      </c>
      <c r="Y10" s="109" t="n">
        <v>0.3458875621387546</v>
      </c>
      <c r="Z10" s="134" t="n">
        <v>3.213737514217859</v>
      </c>
      <c r="AA10" s="134" t="n">
        <v>0.4993451889994355</v>
      </c>
      <c r="AB10" s="114" t="inlineStr">
        <is>
          <t>Alta acelerando</t>
        </is>
      </c>
      <c r="AC10" s="109" t="n">
        <v>0.1282310223360583</v>
      </c>
      <c r="AD10" s="134" t="n">
        <v>0.3918827788091193</v>
      </c>
      <c r="AE10" s="109" t="n">
        <v>-0.0448086817027038</v>
      </c>
      <c r="AF10" s="107" t="n">
        <v>21.00097351480701</v>
      </c>
      <c r="AG10" s="107" t="n">
        <v>18.42243491406963</v>
      </c>
      <c r="AH10" s="107" t="n">
        <v>23.94042321912576</v>
      </c>
      <c r="AI10" s="107" t="n">
        <v>1.552753</v>
      </c>
      <c r="AJ10" s="109" t="n">
        <v>0.2501634407909568</v>
      </c>
      <c r="AK10" s="109" t="n">
        <v>0.05</v>
      </c>
      <c r="AL10" s="109" t="n">
        <v>0.0764162673855104</v>
      </c>
    </row>
    <row r="11">
      <c r="A11" s="95">
        <f>Carteira!A11</f>
        <v/>
      </c>
      <c r="B11" s="95">
        <f>Carteira!B11</f>
        <v/>
      </c>
      <c r="C11" s="98">
        <f>Carteira!G11</f>
        <v/>
      </c>
      <c r="D11" s="100">
        <f>Carteira!P11</f>
        <v/>
      </c>
      <c r="E11" s="104" t="inlineStr">
        <is>
          <t>Alta</t>
        </is>
      </c>
      <c r="F11" s="96" t="n">
        <v>262</v>
      </c>
      <c r="G11" s="130" t="n">
        <v>46293</v>
      </c>
      <c r="H11" s="99" t="n">
        <v>0.2872727272727273</v>
      </c>
      <c r="I11" s="99" t="n">
        <v>0.4114275135147769</v>
      </c>
      <c r="J11" s="99" t="n">
        <v>0.2053167918754737</v>
      </c>
      <c r="K11" s="131" t="n">
        <v>0.9032170372323202</v>
      </c>
      <c r="L11" s="99" t="n">
        <v>-0.1897419036174703</v>
      </c>
      <c r="M11" s="131" t="n">
        <v>1.192607282883147</v>
      </c>
      <c r="N11" s="131" t="n">
        <v>0.8576272249759949</v>
      </c>
      <c r="O11" s="99" t="n">
        <v>0.2488142723175378</v>
      </c>
      <c r="P11" s="99" t="n">
        <v>0.04383909782434942</v>
      </c>
      <c r="Q11" s="99" t="n">
        <v>0.05261235459366773</v>
      </c>
      <c r="R11" s="131" t="n">
        <v>1.429793093852485</v>
      </c>
      <c r="S11" s="99" t="n">
        <v>0.1782448251028713</v>
      </c>
      <c r="T11" s="99" t="n">
        <v>0.1472007993489389</v>
      </c>
      <c r="U11" s="131" t="n">
        <v>0.1735948862479871</v>
      </c>
      <c r="V11" s="131" t="n">
        <v>0.6256957217182975</v>
      </c>
      <c r="W11" s="132" t="n">
        <v>0.1893578644655674</v>
      </c>
      <c r="X11" s="131" t="n">
        <v>0.1915408555908941</v>
      </c>
      <c r="Y11" s="99" t="n">
        <v>0.4248724519500919</v>
      </c>
      <c r="Z11" s="131" t="n">
        <v>2.416312938495999</v>
      </c>
      <c r="AA11" s="131" t="n">
        <v>0.662860936193187</v>
      </c>
      <c r="AB11" s="104" t="inlineStr">
        <is>
          <t>Alta acelerando</t>
        </is>
      </c>
      <c r="AC11" s="99" t="n">
        <v>0.182944027656142</v>
      </c>
      <c r="AD11" s="131" t="n">
        <v>0.7739357550722444</v>
      </c>
      <c r="AE11" s="99" t="n">
        <v>0.03958536976954341</v>
      </c>
      <c r="AF11" s="97" t="n">
        <v>16.11266175795091</v>
      </c>
      <c r="AG11" s="97" t="n">
        <v>14.8866135110174</v>
      </c>
      <c r="AH11" s="97" t="n">
        <v>17.43968624791619</v>
      </c>
      <c r="AI11" s="97" t="n">
        <v>1.127801</v>
      </c>
      <c r="AJ11" s="99" t="n">
        <v>0.1269580353895288</v>
      </c>
      <c r="AK11" s="99" t="n">
        <v>0.1</v>
      </c>
      <c r="AL11" s="99" t="n">
        <v>0.1417482239782157</v>
      </c>
    </row>
    <row r="12">
      <c r="A12" s="105">
        <f>Carteira!A12</f>
        <v/>
      </c>
      <c r="B12" s="105">
        <f>Carteira!B12</f>
        <v/>
      </c>
      <c r="C12" s="108">
        <f>Carteira!G12</f>
        <v/>
      </c>
      <c r="D12" s="110">
        <f>Carteira!P12</f>
        <v/>
      </c>
      <c r="E12" s="114" t="inlineStr">
        <is>
          <t>Alta</t>
        </is>
      </c>
      <c r="F12" s="106" t="n">
        <v>262</v>
      </c>
      <c r="G12" s="133" t="n">
        <v>46293</v>
      </c>
      <c r="H12" s="109" t="n">
        <v>0.01107011070110708</v>
      </c>
      <c r="I12" s="109" t="n">
        <v>0.1157565047912337</v>
      </c>
      <c r="J12" s="109" t="n">
        <v>0.2600079702074396</v>
      </c>
      <c r="K12" s="134" t="n">
        <v>0.2396685083581099</v>
      </c>
      <c r="L12" s="109" t="n">
        <v>-0.2434776386580811</v>
      </c>
      <c r="M12" s="134" t="n">
        <v>0.9525927490010931</v>
      </c>
      <c r="N12" s="134" t="n">
        <v>0.5409363697164262</v>
      </c>
      <c r="O12" s="109" t="n">
        <v>0.2503234205091078</v>
      </c>
      <c r="P12" s="109" t="n">
        <v>0.0423103617456651</v>
      </c>
      <c r="Q12" s="109" t="n">
        <v>0.06732148291872367</v>
      </c>
      <c r="R12" s="134" t="n">
        <v>0.3373958711318656</v>
      </c>
      <c r="S12" s="109" t="n">
        <v>0.1705479797102496</v>
      </c>
      <c r="T12" s="109" t="n">
        <v>0.03176774267058738</v>
      </c>
      <c r="U12" s="134" t="n">
        <v>-0.9695432265051416</v>
      </c>
      <c r="V12" s="134" t="n">
        <v>6.945292122708061</v>
      </c>
      <c r="W12" s="135" t="n">
        <v>4.057614827483763e-74</v>
      </c>
      <c r="X12" s="134" t="n">
        <v>-0.119969041218968</v>
      </c>
      <c r="Y12" s="109" t="n">
        <v>-0.1716987585326391</v>
      </c>
      <c r="Z12" s="134" t="n">
        <v>0.55654393118462</v>
      </c>
      <c r="AA12" s="134" t="n">
        <v>0.3229859476823569</v>
      </c>
      <c r="AB12" s="114" t="inlineStr">
        <is>
          <t>Queda perdendo força</t>
        </is>
      </c>
      <c r="AC12" s="109" t="n">
        <v>0.07385821743210735</v>
      </c>
      <c r="AD12" s="134" t="n">
        <v>0.4285775832469669</v>
      </c>
      <c r="AE12" s="109" t="n">
        <v>-0.07705755736973408</v>
      </c>
      <c r="AF12" s="107" t="n">
        <v>12.75213439043327</v>
      </c>
      <c r="AG12" s="107" t="n">
        <v>11.86961579307957</v>
      </c>
      <c r="AH12" s="107" t="n">
        <v>13.70026918701804</v>
      </c>
      <c r="AI12" s="107" t="n">
        <v>1.350748</v>
      </c>
      <c r="AJ12" s="109" t="n">
        <v>0.07857499331254592</v>
      </c>
      <c r="AK12" s="109" t="n">
        <v>0.1</v>
      </c>
      <c r="AL12" s="109" t="n">
        <v>0.1468640726947216</v>
      </c>
    </row>
    <row r="13">
      <c r="A13" s="95">
        <f>Carteira!A13</f>
        <v/>
      </c>
      <c r="B13" s="95">
        <f>Carteira!B13</f>
        <v/>
      </c>
      <c r="C13" s="98">
        <f>Carteira!G13</f>
        <v/>
      </c>
      <c r="D13" s="100">
        <f>Carteira!P13</f>
        <v/>
      </c>
      <c r="E13" s="104" t="inlineStr">
        <is>
          <t>Alta</t>
        </is>
      </c>
      <c r="F13" s="96" t="n">
        <v>262</v>
      </c>
      <c r="G13" s="130" t="n">
        <v>46293</v>
      </c>
      <c r="H13" s="99" t="n">
        <v>0.2332254158119766</v>
      </c>
      <c r="I13" s="99" t="n">
        <v>0.406305445297352</v>
      </c>
      <c r="J13" s="99" t="n">
        <v>0.2767286162061129</v>
      </c>
      <c r="K13" s="131" t="n">
        <v>0.3859810470570753</v>
      </c>
      <c r="L13" s="99" t="n">
        <v>-0.3805493375590359</v>
      </c>
      <c r="M13" s="131" t="n">
        <v>1.099594329559277</v>
      </c>
      <c r="N13" s="131" t="n">
        <v>0.5866836588709269</v>
      </c>
      <c r="O13" s="99" t="n">
        <v>0.3248563722013182</v>
      </c>
      <c r="P13" s="99" t="n">
        <v>0.05388232184404843</v>
      </c>
      <c r="Q13" s="99" t="n">
        <v>0.06843146412451356</v>
      </c>
      <c r="R13" s="131" t="n">
        <v>0.6342004103139744</v>
      </c>
      <c r="S13" s="99" t="n">
        <v>0.1752620627273363</v>
      </c>
      <c r="T13" s="99" t="n">
        <v>0.07154993830655471</v>
      </c>
      <c r="U13" s="131" t="n">
        <v>0.7975475250853329</v>
      </c>
      <c r="V13" s="131" t="n">
        <v>2.662652310869251</v>
      </c>
      <c r="W13" s="132" t="n">
        <v>2.523238693081602e-14</v>
      </c>
      <c r="X13" s="131" t="n">
        <v>0.1277394040475801</v>
      </c>
      <c r="Y13" s="99" t="n">
        <v>-0.8311085231812525</v>
      </c>
      <c r="Z13" s="131" t="n">
        <v>-5.534629377401195</v>
      </c>
      <c r="AA13" s="131" t="n">
        <v>0.7064116790591755</v>
      </c>
      <c r="AB13" s="104" t="inlineStr">
        <is>
          <t>Queda acelerando</t>
        </is>
      </c>
      <c r="AC13" s="99" t="n">
        <v>0.2415768643374298</v>
      </c>
      <c r="AD13" s="131" t="n">
        <v>0.6154263083116682</v>
      </c>
      <c r="AE13" s="99" t="n">
        <v>-0.0915495209328393</v>
      </c>
      <c r="AF13" s="97" t="n">
        <v>6.819819787431419</v>
      </c>
      <c r="AG13" s="97" t="n">
        <v>5.875220340476054</v>
      </c>
      <c r="AH13" s="97" t="n">
        <v>7.91628896241065</v>
      </c>
      <c r="AI13" s="97" t="n">
        <v>0.6819770000000001</v>
      </c>
      <c r="AJ13" s="99" t="n">
        <v>1.793854132954252</v>
      </c>
      <c r="AK13" s="99" t="n">
        <v>0.05</v>
      </c>
      <c r="AL13" s="99" t="n">
        <v>0.07713600179734539</v>
      </c>
    </row>
    <row r="14">
      <c r="A14" s="105">
        <f>Carteira!A14</f>
        <v/>
      </c>
      <c r="B14" s="105">
        <f>Carteira!B14</f>
        <v/>
      </c>
      <c r="C14" s="108">
        <f>Carteira!G14</f>
        <v/>
      </c>
      <c r="D14" s="110">
        <f>Carteira!P14</f>
        <v/>
      </c>
      <c r="E14" s="114" t="inlineStr">
        <is>
          <t>Alta</t>
        </is>
      </c>
      <c r="F14" s="106" t="n">
        <v>262</v>
      </c>
      <c r="G14" s="133" t="n">
        <v>46293</v>
      </c>
      <c r="H14" s="109" t="n">
        <v>0.01110723713702244</v>
      </c>
      <c r="I14" s="109" t="n">
        <v>0.07646309348009828</v>
      </c>
      <c r="J14" s="109" t="n">
        <v>0.2048533624765498</v>
      </c>
      <c r="K14" s="134" t="n">
        <v>-0.6400719130088213</v>
      </c>
      <c r="L14" s="109" t="n">
        <v>-0.2389658249426232</v>
      </c>
      <c r="M14" s="134" t="n">
        <v>0.5715411231516335</v>
      </c>
      <c r="N14" s="134" t="n">
        <v>0.4119362002110925</v>
      </c>
      <c r="O14" s="109" t="n">
        <v>0.1983531108393867</v>
      </c>
      <c r="P14" s="109" t="n">
        <v>0.04793677096172916</v>
      </c>
      <c r="Q14" s="109" t="n">
        <v>0.05663312470831366</v>
      </c>
      <c r="R14" s="134" t="n">
        <v>-0.8523577609660058</v>
      </c>
      <c r="S14" s="109" t="n">
        <v>0.1583283219948059</v>
      </c>
      <c r="T14" s="109" t="n">
        <v>-0.1494492056014606</v>
      </c>
      <c r="U14" s="134" t="n">
        <v>-0.02649503716911591</v>
      </c>
      <c r="V14" s="134" t="n">
        <v>-0.07163226895037056</v>
      </c>
      <c r="W14" s="135" t="n">
        <v>0.974527859161695</v>
      </c>
      <c r="X14" s="134" t="n">
        <v>0.01742023403237371</v>
      </c>
      <c r="Y14" s="109" t="n">
        <v>1.945968284799492</v>
      </c>
      <c r="Z14" s="134" t="n">
        <v>5.884261048146342</v>
      </c>
      <c r="AA14" s="134" t="n">
        <v>0.5168863419199041</v>
      </c>
      <c r="AB14" s="114" t="inlineStr">
        <is>
          <t>Alta acelerando</t>
        </is>
      </c>
      <c r="AC14" s="109" t="n">
        <v>-0.05836422998889004</v>
      </c>
      <c r="AD14" s="134" t="n">
        <v>0.4225899278849918</v>
      </c>
      <c r="AE14" s="109" t="n">
        <v>0.02748369458472544</v>
      </c>
      <c r="AF14" s="107" t="n">
        <v>16.7435119494097</v>
      </c>
      <c r="AG14" s="107" t="n">
        <v>15.74843645991495</v>
      </c>
      <c r="AH14" s="107" t="n">
        <v>17.80146194916543</v>
      </c>
      <c r="AI14" s="107" t="n">
        <v>1.161121</v>
      </c>
      <c r="AJ14" s="109" t="n">
        <v>0.07996588370323665</v>
      </c>
      <c r="AK14" s="109" t="n">
        <v>0.07000000000000001</v>
      </c>
      <c r="AL14" s="109" t="n">
        <v>0.06040217028615665</v>
      </c>
    </row>
    <row r="15">
      <c r="A15" s="95">
        <f>Carteira!A15</f>
        <v/>
      </c>
      <c r="B15" s="95">
        <f>Carteira!B15</f>
        <v/>
      </c>
      <c r="C15" s="98">
        <f>Carteira!G15</f>
        <v/>
      </c>
      <c r="D15" s="100">
        <f>Carteira!P15</f>
        <v/>
      </c>
      <c r="E15" s="104" t="inlineStr">
        <is>
          <t>Alta</t>
        </is>
      </c>
      <c r="F15" s="96" t="n">
        <v>262</v>
      </c>
      <c r="G15" s="130" t="n">
        <v>46293</v>
      </c>
      <c r="H15" s="99" t="n">
        <v>-0.05991735537190079</v>
      </c>
      <c r="I15" s="99" t="n">
        <v>0.05271263935869319</v>
      </c>
      <c r="J15" s="99" t="n">
        <v>0.0716024978371587</v>
      </c>
      <c r="K15" s="131" t="n">
        <v>-1.120381979923511</v>
      </c>
      <c r="L15" s="99" t="n">
        <v>-0.09579375602083406</v>
      </c>
      <c r="M15" s="131" t="n">
        <v>0.05612526102273128</v>
      </c>
      <c r="N15" s="131" t="n">
        <v>0.1157326166972653</v>
      </c>
      <c r="O15" s="99" t="n">
        <v>0.05299261008564764</v>
      </c>
      <c r="P15" s="99" t="n">
        <v>0.01360298723091136</v>
      </c>
      <c r="Q15" s="99" t="n">
        <v>0.0194898872532855</v>
      </c>
      <c r="R15" s="131" t="n">
        <v>-1.511649041137618</v>
      </c>
      <c r="S15" s="99" t="n">
        <v>0.1417998387419521</v>
      </c>
      <c r="T15" s="99" t="n">
        <v>-0.08202198703621691</v>
      </c>
      <c r="U15" s="131" t="n">
        <v>0.7542010047553426</v>
      </c>
      <c r="V15" s="131" t="n">
        <v>4.40810794712914</v>
      </c>
      <c r="W15" s="132" t="n">
        <v>2.301101500005734e-31</v>
      </c>
      <c r="X15" s="131" t="n">
        <v>-0.01915768006962952</v>
      </c>
      <c r="Y15" s="99" t="n">
        <v>-0.4540425154815575</v>
      </c>
      <c r="Z15" s="131" t="n">
        <v>-2.248276193823181</v>
      </c>
      <c r="AA15" s="131" t="n">
        <v>0.8527915450969137</v>
      </c>
      <c r="AB15" s="104" t="inlineStr">
        <is>
          <t>Queda acelerando</t>
        </is>
      </c>
      <c r="AC15" s="99" t="n">
        <v>-0.03541634059782643</v>
      </c>
      <c r="AD15" s="131" t="n">
        <v>0.3833932626376547</v>
      </c>
      <c r="AE15" s="99" t="n">
        <v>-0.0173080744121733</v>
      </c>
      <c r="AF15" s="97" t="n">
        <v>8.932312428749352</v>
      </c>
      <c r="AG15" s="97" t="n">
        <v>8.583289995473246</v>
      </c>
      <c r="AH15" s="97" t="n">
        <v>9.295527165791754</v>
      </c>
      <c r="AI15" s="97" t="n">
        <v>1.194302</v>
      </c>
      <c r="AJ15" s="99" t="n">
        <v>0.03933325443127855</v>
      </c>
      <c r="AK15" s="99" t="n">
        <v>0.05</v>
      </c>
      <c r="AL15" s="99" t="n">
        <v>0.00831209372949158</v>
      </c>
    </row>
    <row r="16">
      <c r="A16" s="105">
        <f>Carteira!A16</f>
        <v/>
      </c>
      <c r="B16" s="105">
        <f>Carteira!B16</f>
        <v/>
      </c>
      <c r="C16" s="108">
        <f>Carteira!G16</f>
        <v/>
      </c>
      <c r="D16" s="110">
        <f>Carteira!P16</f>
        <v/>
      </c>
      <c r="E16" s="114" t="inlineStr">
        <is>
          <t>Alta</t>
        </is>
      </c>
      <c r="F16" s="106" t="n">
        <v>262</v>
      </c>
      <c r="G16" s="133" t="n">
        <v>46293</v>
      </c>
      <c r="H16" s="109" t="n">
        <v>-0.03502304147465429</v>
      </c>
      <c r="I16" s="109" t="n">
        <v>0.07884000077990994</v>
      </c>
      <c r="J16" s="109" t="n">
        <v>0.1527426015698125</v>
      </c>
      <c r="K16" s="134" t="n">
        <v>-0.9239243147126779</v>
      </c>
      <c r="L16" s="109" t="n">
        <v>-0.271526021876251</v>
      </c>
      <c r="M16" s="134" t="n">
        <v>0.348847839644036</v>
      </c>
      <c r="N16" s="134" t="n">
        <v>0.3372107615689438</v>
      </c>
      <c r="O16" s="109" t="n">
        <v>0.1672880562323461</v>
      </c>
      <c r="P16" s="109" t="n">
        <v>0.03640901814734671</v>
      </c>
      <c r="Q16" s="109" t="n">
        <v>0.04462174868390742</v>
      </c>
      <c r="R16" s="134" t="n">
        <v>-1.227577381155669</v>
      </c>
      <c r="S16" s="109" t="n">
        <v>0.1511869387401753</v>
      </c>
      <c r="T16" s="109" t="n">
        <v>-0.1523095422229959</v>
      </c>
      <c r="U16" s="134" t="n">
        <v>0.1836070572551829</v>
      </c>
      <c r="V16" s="134" t="n">
        <v>0.950926086701029</v>
      </c>
      <c r="W16" s="135" t="n">
        <v>0.03414645374443782</v>
      </c>
      <c r="X16" s="134" t="n">
        <v>0.06249714850356144</v>
      </c>
      <c r="Y16" s="109" t="n">
        <v>0.1863090729229024</v>
      </c>
      <c r="Z16" s="134" t="n">
        <v>3.549885159422267</v>
      </c>
      <c r="AA16" s="134" t="n">
        <v>0.8326301419127924</v>
      </c>
      <c r="AB16" s="114" t="inlineStr">
        <is>
          <t>Alta acelerando</t>
        </is>
      </c>
      <c r="AC16" s="109" t="n">
        <v>-0.1035676714394557</v>
      </c>
      <c r="AD16" s="134" t="n">
        <v>0.4845669004532649</v>
      </c>
      <c r="AE16" s="109" t="n">
        <v>0.05701184735578213</v>
      </c>
      <c r="AF16" s="107" t="n">
        <v>35.51765859013977</v>
      </c>
      <c r="AG16" s="107" t="n">
        <v>32.19290742795653</v>
      </c>
      <c r="AH16" s="107" t="n">
        <v>39.18577638719984</v>
      </c>
      <c r="AI16" s="107" t="n">
        <v>4.92</v>
      </c>
      <c r="AJ16" s="109" t="n">
        <v>-0.1005484460694698</v>
      </c>
      <c r="AK16" s="109" t="n">
        <v>0.04</v>
      </c>
      <c r="AL16" s="109" t="n">
        <v>0.02167659364520078</v>
      </c>
    </row>
    <row r="17">
      <c r="A17" s="95">
        <f>Carteira!A17</f>
        <v/>
      </c>
      <c r="B17" s="95">
        <f>Carteira!B17</f>
        <v/>
      </c>
      <c r="C17" s="98">
        <f>Carteira!G17</f>
        <v/>
      </c>
      <c r="D17" s="100">
        <f>Carteira!P17</f>
        <v/>
      </c>
      <c r="E17" s="104" t="inlineStr">
        <is>
          <t>Alta</t>
        </is>
      </c>
      <c r="F17" s="96" t="n">
        <v>262</v>
      </c>
      <c r="G17" s="130" t="n">
        <v>46293</v>
      </c>
      <c r="H17" s="99" t="n">
        <v>-0.07913884182198738</v>
      </c>
      <c r="I17" s="99" t="n">
        <v>0.008878704371010793</v>
      </c>
      <c r="J17" s="99" t="n">
        <v>0.1225624696949507</v>
      </c>
      <c r="K17" s="131" t="n">
        <v>-0.9492790766777032</v>
      </c>
      <c r="L17" s="99" t="n">
        <v>-0.1375145409204541</v>
      </c>
      <c r="M17" s="131" t="n">
        <v>0.1592934961872074</v>
      </c>
      <c r="N17" s="131" t="n">
        <v>0.1918960840234985</v>
      </c>
      <c r="O17" s="99" t="n">
        <v>0.09666611355704195</v>
      </c>
      <c r="P17" s="99" t="n">
        <v>0.02329591652350133</v>
      </c>
      <c r="Q17" s="99" t="n">
        <v>0.03614226963914435</v>
      </c>
      <c r="R17" s="131" t="n">
        <v>-1.292708101092776</v>
      </c>
      <c r="S17" s="99" t="n">
        <v>0.1451082632054508</v>
      </c>
      <c r="T17" s="99" t="n">
        <v>-0.1214542512728126</v>
      </c>
      <c r="U17" s="131" t="n">
        <v>0.3806859569992461</v>
      </c>
      <c r="V17" s="131" t="n">
        <v>2.241171782790464</v>
      </c>
      <c r="W17" s="132" t="n">
        <v>1.236681709503364e-08</v>
      </c>
      <c r="X17" s="131" t="n">
        <v>-0.09755621912576809</v>
      </c>
      <c r="Y17" s="99" t="n">
        <v>0.1768031839342522</v>
      </c>
      <c r="Z17" s="131" t="n">
        <v>2.24581494396731</v>
      </c>
      <c r="AA17" s="131" t="n">
        <v>0.9209140021930152</v>
      </c>
      <c r="AB17" s="104" t="inlineStr">
        <is>
          <t>Alta acelerando</t>
        </is>
      </c>
      <c r="AC17" s="99" t="n">
        <v>-0.03852118790920636</v>
      </c>
      <c r="AD17" s="131" t="n">
        <v>0.3362739559371664</v>
      </c>
      <c r="AE17" s="99" t="n">
        <v>-0.02100843394486773</v>
      </c>
      <c r="AF17" s="97" t="n">
        <v>90.73727550791369</v>
      </c>
      <c r="AG17" s="97" t="n">
        <v>86.47584419548394</v>
      </c>
      <c r="AH17" s="97" t="n">
        <v>95.20870531182396</v>
      </c>
      <c r="AI17" s="97" t="n">
        <v>9.84</v>
      </c>
      <c r="AJ17" s="99" t="n">
        <v>0.01652892561983466</v>
      </c>
      <c r="AK17" s="99" t="n">
        <v>0.06</v>
      </c>
      <c r="AL17" s="99" t="n">
        <v>0.02068703269180946</v>
      </c>
    </row>
    <row r="18">
      <c r="A18" s="105">
        <f>Carteira!A18</f>
        <v/>
      </c>
      <c r="B18" s="105">
        <f>Carteira!B18</f>
        <v/>
      </c>
      <c r="C18" s="108">
        <f>Carteira!G18</f>
        <v/>
      </c>
      <c r="D18" s="110">
        <f>Carteira!P18</f>
        <v/>
      </c>
      <c r="E18" s="114" t="inlineStr">
        <is>
          <t>Média</t>
        </is>
      </c>
      <c r="F18" s="106" t="n">
        <v>262</v>
      </c>
      <c r="G18" s="133" t="n">
        <v>46293</v>
      </c>
      <c r="H18" s="109" t="n">
        <v>-0.06424528301886789</v>
      </c>
      <c r="I18" s="109" t="n">
        <v>0.0385916377876856</v>
      </c>
      <c r="J18" s="109" t="n">
        <v>0.1108776581417691</v>
      </c>
      <c r="K18" s="134" t="n">
        <v>-0.6456820265345516</v>
      </c>
      <c r="L18" s="109" t="n">
        <v>-0.1308462742750738</v>
      </c>
      <c r="M18" s="134" t="n">
        <v>0.2868522778547979</v>
      </c>
      <c r="N18" s="134" t="n">
        <v>0.3819793012418281</v>
      </c>
      <c r="O18" s="109" t="n">
        <v>0.1327709133766109</v>
      </c>
      <c r="P18" s="109" t="n">
        <v>0.02139520420932195</v>
      </c>
      <c r="Q18" s="109" t="n">
        <v>0.03117795844922899</v>
      </c>
      <c r="R18" s="134" t="n">
        <v>-0.8962113383368634</v>
      </c>
      <c r="S18" s="109" t="n">
        <v>0.1491988497423858</v>
      </c>
      <c r="T18" s="109" t="n">
        <v>-0.08079056074876848</v>
      </c>
      <c r="U18" s="134" t="n">
        <v>0.3346214616355153</v>
      </c>
      <c r="V18" s="134" t="n">
        <v>1.632420055313467</v>
      </c>
      <c r="W18" s="135" t="n">
        <v>4.041884934549216e-05</v>
      </c>
      <c r="X18" s="134" t="n">
        <v>-0.03749349477920835</v>
      </c>
      <c r="Y18" s="109" t="n">
        <v>-0.2920965319166392</v>
      </c>
      <c r="Z18" s="134" t="n">
        <v>-0.4223052217353361</v>
      </c>
      <c r="AA18" s="134" t="n">
        <v>0.8260045224604383</v>
      </c>
      <c r="AB18" s="114" t="inlineStr">
        <is>
          <t>Queda acelerando</t>
        </is>
      </c>
      <c r="AC18" s="109" t="n">
        <v>-0.03040963154476907</v>
      </c>
      <c r="AD18" s="134" t="n">
        <v>0.2222734823901097</v>
      </c>
      <c r="AE18" s="109" t="n">
        <v>-0.03174447887432263</v>
      </c>
      <c r="AF18" s="107" t="n">
        <v>99.32674438588739</v>
      </c>
      <c r="AG18" s="107" t="n">
        <v>94.44952938949122</v>
      </c>
      <c r="AH18" s="107" t="n">
        <v>104.4558105696302</v>
      </c>
      <c r="AI18" s="107" t="n">
        <v>11.06936</v>
      </c>
      <c r="AJ18" s="109" t="n">
        <v>0.002833826172667697</v>
      </c>
      <c r="AK18" s="109" t="n">
        <v>0.05</v>
      </c>
      <c r="AL18" s="109" t="n">
        <v>0.0239094471272385</v>
      </c>
    </row>
    <row r="19">
      <c r="A19" s="95">
        <f>Carteira!A19</f>
        <v/>
      </c>
      <c r="B19" s="95">
        <f>Carteira!B19</f>
        <v/>
      </c>
      <c r="C19" s="98">
        <f>Carteira!G19</f>
        <v/>
      </c>
      <c r="D19" s="100">
        <f>Carteira!P19</f>
        <v/>
      </c>
      <c r="E19" s="104" t="inlineStr">
        <is>
          <t>Alta</t>
        </is>
      </c>
      <c r="F19" s="96" t="n">
        <v>217</v>
      </c>
      <c r="G19" s="130" t="n">
        <v>46293</v>
      </c>
      <c r="H19" s="99" t="n">
        <v>0.02400835073068897</v>
      </c>
      <c r="I19" s="99" t="n">
        <v>0.19282452874376</v>
      </c>
      <c r="J19" s="99" t="n">
        <v>0.1003395171994434</v>
      </c>
      <c r="K19" s="131" t="n">
        <v>-0.07640747517111876</v>
      </c>
      <c r="L19" s="99" t="n">
        <v>-0.1282666008534268</v>
      </c>
      <c r="M19" s="131" t="n">
        <v>0.08382651570035711</v>
      </c>
      <c r="N19" s="131" t="n">
        <v>0.1233488143735469</v>
      </c>
      <c r="O19" s="99" t="n">
        <v>0.07035776316495283</v>
      </c>
      <c r="P19" s="99" t="n">
        <v>0.01404897563869878</v>
      </c>
      <c r="Q19" s="99" t="n">
        <v>0.03192002539993416</v>
      </c>
      <c r="R19" s="131" t="n">
        <v>-0.09865308324830689</v>
      </c>
      <c r="S19" s="99" t="n">
        <v>0.1426881694233771</v>
      </c>
      <c r="T19" s="99" t="n">
        <v>-0.01035485859247556</v>
      </c>
      <c r="U19" s="131" t="n">
        <v>-2.194719376484351</v>
      </c>
      <c r="V19" s="131" t="n">
        <v>19.44137139027766</v>
      </c>
      <c r="W19" s="132" t="n">
        <v>0</v>
      </c>
      <c r="X19" s="131" t="n">
        <v>-0.1483775894996309</v>
      </c>
      <c r="Y19" s="99" t="n">
        <v>0.1980589844858368</v>
      </c>
      <c r="Z19" s="131" t="n">
        <v>2.766450634607814</v>
      </c>
      <c r="AA19" s="131" t="n">
        <v>0.9273920647903205</v>
      </c>
      <c r="AB19" s="104" t="inlineStr">
        <is>
          <t>Alta acelerando</t>
        </is>
      </c>
      <c r="AC19" s="99" t="n">
        <v>0.009214577312727604</v>
      </c>
      <c r="AD19" s="131" t="n">
        <v>0.02687641452891654</v>
      </c>
      <c r="AE19" s="99" t="n">
        <v>-0.02890701200617407</v>
      </c>
      <c r="AF19" s="97" t="n">
        <v>10.19510502685331</v>
      </c>
      <c r="AG19" s="97" t="n">
        <v>9.716263840511392</v>
      </c>
      <c r="AH19" s="97" t="n">
        <v>10.69754467506299</v>
      </c>
      <c r="AI19" s="97" t="n">
        <v>1.58</v>
      </c>
      <c r="AJ19" s="99" t="n">
        <v>0.2153846153846153</v>
      </c>
      <c r="AK19" s="99" t="n">
        <v>0.06</v>
      </c>
      <c r="AL19" s="99" t="n">
        <v>0.01072884815893081</v>
      </c>
    </row>
    <row r="20">
      <c r="A20" s="105">
        <f>Carteira!A20</f>
        <v/>
      </c>
      <c r="B20" s="105">
        <f>Carteira!B20</f>
        <v/>
      </c>
      <c r="C20" s="108">
        <f>Carteira!G20</f>
        <v/>
      </c>
      <c r="D20" s="110">
        <f>Carteira!P20</f>
        <v/>
      </c>
      <c r="E20" s="114" t="inlineStr">
        <is>
          <t>Alta</t>
        </is>
      </c>
      <c r="F20" s="106" t="n">
        <v>262</v>
      </c>
      <c r="G20" s="133" t="n">
        <v>46293</v>
      </c>
      <c r="H20" s="109" t="n">
        <v>-0.02470741222366712</v>
      </c>
      <c r="I20" s="109" t="n">
        <v>0.1228581620643965</v>
      </c>
      <c r="J20" s="109" t="n">
        <v>0.1577070237467036</v>
      </c>
      <c r="K20" s="134" t="n">
        <v>-0.7902870454827413</v>
      </c>
      <c r="L20" s="109" t="n">
        <v>-0.3641625054534232</v>
      </c>
      <c r="M20" s="134" t="n">
        <v>0.2147051358810005</v>
      </c>
      <c r="N20" s="134" t="n">
        <v>0.2010096785091377</v>
      </c>
      <c r="O20" s="109" t="n">
        <v>0.07493101914913373</v>
      </c>
      <c r="P20" s="109" t="n">
        <v>0.02221461347567544</v>
      </c>
      <c r="Q20" s="109" t="n">
        <v>0.05266288388508678</v>
      </c>
      <c r="R20" s="134" t="n">
        <v>-0.9211948926315865</v>
      </c>
      <c r="S20" s="109" t="n">
        <v>0.1468852173622536</v>
      </c>
      <c r="T20" s="109" t="n">
        <v>-0.1315190352109125</v>
      </c>
      <c r="U20" s="134" t="n">
        <v>-4.279532436418674</v>
      </c>
      <c r="V20" s="134" t="n">
        <v>41.0689416167582</v>
      </c>
      <c r="W20" s="135" t="n">
        <v>0</v>
      </c>
      <c r="X20" s="134" t="n">
        <v>0.1254985782693096</v>
      </c>
      <c r="Y20" s="109" t="n">
        <v>-0.004076007041292072</v>
      </c>
      <c r="Z20" s="134" t="n">
        <v>0.9992843838923411</v>
      </c>
      <c r="AA20" s="134" t="n">
        <v>0.6103897848466959</v>
      </c>
      <c r="AB20" s="114" t="inlineStr">
        <is>
          <t>Queda perdendo força</t>
        </is>
      </c>
      <c r="AC20" s="109" t="n">
        <v>-0.1136818411950716</v>
      </c>
      <c r="AD20" s="134" t="n">
        <v>0.4267243611148814</v>
      </c>
      <c r="AE20" s="109" t="n">
        <v>0.09763558835623654</v>
      </c>
      <c r="AF20" s="107" t="n">
        <v>6.056095722070886</v>
      </c>
      <c r="AG20" s="107" t="n">
        <v>5.360987925060093</v>
      </c>
      <c r="AH20" s="107" t="n">
        <v>6.841331468672196</v>
      </c>
      <c r="AI20" s="107" t="n">
        <v>1.08</v>
      </c>
      <c r="AJ20" s="109" t="n">
        <v>0.1344537815126052</v>
      </c>
      <c r="AK20" s="109" t="n">
        <v>0.04</v>
      </c>
      <c r="AL20" s="109" t="n">
        <v>0.01528281346617187</v>
      </c>
    </row>
    <row r="21">
      <c r="A21" s="95">
        <f>Carteira!A21</f>
        <v/>
      </c>
      <c r="B21" s="95">
        <f>Carteira!B21</f>
        <v/>
      </c>
      <c r="C21" s="98">
        <f>Carteira!G21</f>
        <v/>
      </c>
      <c r="D21" s="100">
        <f>Carteira!P21</f>
        <v/>
      </c>
      <c r="E21" s="104" t="n"/>
      <c r="F21" s="96" t="n"/>
      <c r="G21" s="130" t="n"/>
      <c r="H21" s="99" t="n"/>
      <c r="I21" s="99" t="n"/>
      <c r="J21" s="99" t="n"/>
      <c r="K21" s="131" t="n"/>
      <c r="L21" s="99" t="n"/>
      <c r="M21" s="131" t="n"/>
      <c r="N21" s="131" t="n"/>
      <c r="O21" s="99" t="n"/>
      <c r="P21" s="99" t="n"/>
      <c r="Q21" s="99" t="n"/>
      <c r="R21" s="131" t="n"/>
      <c r="S21" s="99" t="n"/>
      <c r="T21" s="99" t="n"/>
      <c r="U21" s="131" t="n"/>
      <c r="V21" s="131" t="n"/>
      <c r="W21" s="132" t="n"/>
      <c r="X21" s="131" t="n"/>
      <c r="Y21" s="99" t="n"/>
      <c r="Z21" s="131" t="n"/>
      <c r="AA21" s="131" t="n"/>
      <c r="AB21" s="104" t="n"/>
      <c r="AC21" s="99" t="n"/>
      <c r="AD21" s="131" t="n"/>
      <c r="AE21" s="99" t="n"/>
      <c r="AF21" s="97" t="n"/>
      <c r="AG21" s="97" t="n"/>
      <c r="AH21" s="97" t="n"/>
      <c r="AI21" s="97" t="n"/>
      <c r="AJ21" s="99" t="n"/>
      <c r="AK21" s="99" t="n"/>
      <c r="AL21" s="99" t="n"/>
    </row>
    <row r="22">
      <c r="A22" s="105">
        <f>Carteira!A22</f>
        <v/>
      </c>
      <c r="B22" s="105">
        <f>Carteira!B22</f>
        <v/>
      </c>
      <c r="C22" s="108">
        <f>Carteira!G22</f>
        <v/>
      </c>
      <c r="D22" s="110">
        <f>Carteira!P22</f>
        <v/>
      </c>
      <c r="E22" s="114" t="n"/>
      <c r="F22" s="106" t="n"/>
      <c r="G22" s="133" t="n"/>
      <c r="H22" s="109" t="n"/>
      <c r="I22" s="109" t="n"/>
      <c r="J22" s="109" t="n"/>
      <c r="K22" s="134" t="n"/>
      <c r="L22" s="109" t="n"/>
      <c r="M22" s="134" t="n"/>
      <c r="N22" s="134" t="n"/>
      <c r="O22" s="109" t="n"/>
      <c r="P22" s="109" t="n"/>
      <c r="Q22" s="109" t="n"/>
      <c r="R22" s="134" t="n"/>
      <c r="S22" s="109" t="n"/>
      <c r="T22" s="109" t="n"/>
      <c r="U22" s="134" t="n"/>
      <c r="V22" s="134" t="n"/>
      <c r="W22" s="135" t="n"/>
      <c r="X22" s="134" t="n"/>
      <c r="Y22" s="109" t="n"/>
      <c r="Z22" s="134" t="n"/>
      <c r="AA22" s="134" t="n"/>
      <c r="AB22" s="114" t="n"/>
      <c r="AC22" s="109" t="n"/>
      <c r="AD22" s="134" t="n"/>
      <c r="AE22" s="109" t="n"/>
      <c r="AF22" s="107" t="n"/>
      <c r="AG22" s="107" t="n"/>
      <c r="AH22" s="107" t="n"/>
      <c r="AI22" s="107" t="n"/>
      <c r="AJ22" s="109" t="n"/>
      <c r="AK22" s="109" t="n"/>
      <c r="AL22" s="109" t="n"/>
    </row>
    <row r="23">
      <c r="A23" s="95">
        <f>Carteira!A23</f>
        <v/>
      </c>
      <c r="B23" s="95">
        <f>Carteira!B23</f>
        <v/>
      </c>
      <c r="C23" s="98">
        <f>Carteira!G23</f>
        <v/>
      </c>
      <c r="D23" s="100">
        <f>Carteira!P23</f>
        <v/>
      </c>
      <c r="E23" s="104" t="n"/>
      <c r="F23" s="96" t="n"/>
      <c r="G23" s="130" t="n"/>
      <c r="H23" s="99" t="n"/>
      <c r="I23" s="99" t="n"/>
      <c r="J23" s="99" t="n"/>
      <c r="K23" s="131" t="n"/>
      <c r="L23" s="99" t="n"/>
      <c r="M23" s="131" t="n"/>
      <c r="N23" s="131" t="n"/>
      <c r="O23" s="99" t="n"/>
      <c r="P23" s="99" t="n"/>
      <c r="Q23" s="99" t="n"/>
      <c r="R23" s="131" t="n"/>
      <c r="S23" s="99" t="n"/>
      <c r="T23" s="99" t="n"/>
      <c r="U23" s="131" t="n"/>
      <c r="V23" s="131" t="n"/>
      <c r="W23" s="132" t="n"/>
      <c r="X23" s="131" t="n"/>
      <c r="Y23" s="99" t="n"/>
      <c r="Z23" s="131" t="n"/>
      <c r="AA23" s="131" t="n"/>
      <c r="AB23" s="104" t="n"/>
      <c r="AC23" s="99" t="n"/>
      <c r="AD23" s="131" t="n"/>
      <c r="AE23" s="99" t="n"/>
      <c r="AF23" s="97" t="n"/>
      <c r="AG23" s="97" t="n"/>
      <c r="AH23" s="97" t="n"/>
      <c r="AI23" s="97" t="n"/>
      <c r="AJ23" s="99" t="n"/>
      <c r="AK23" s="99" t="n"/>
      <c r="AL23" s="99" t="n"/>
    </row>
    <row r="24">
      <c r="A24" s="105">
        <f>Carteira!A24</f>
        <v/>
      </c>
      <c r="B24" s="105">
        <f>Carteira!B24</f>
        <v/>
      </c>
      <c r="C24" s="108">
        <f>Carteira!G24</f>
        <v/>
      </c>
      <c r="D24" s="110">
        <f>Carteira!P24</f>
        <v/>
      </c>
      <c r="E24" s="114" t="n"/>
      <c r="F24" s="106" t="n"/>
      <c r="G24" s="133" t="n"/>
      <c r="H24" s="109" t="n"/>
      <c r="I24" s="109" t="n"/>
      <c r="J24" s="109" t="n"/>
      <c r="K24" s="134" t="n"/>
      <c r="L24" s="109" t="n"/>
      <c r="M24" s="134" t="n"/>
      <c r="N24" s="134" t="n"/>
      <c r="O24" s="109" t="n"/>
      <c r="P24" s="109" t="n"/>
      <c r="Q24" s="109" t="n"/>
      <c r="R24" s="134" t="n"/>
      <c r="S24" s="109" t="n"/>
      <c r="T24" s="109" t="n"/>
      <c r="U24" s="134" t="n"/>
      <c r="V24" s="134" t="n"/>
      <c r="W24" s="135" t="n"/>
      <c r="X24" s="134" t="n"/>
      <c r="Y24" s="109" t="n"/>
      <c r="Z24" s="134" t="n"/>
      <c r="AA24" s="134" t="n"/>
      <c r="AB24" s="114" t="n"/>
      <c r="AC24" s="109" t="n"/>
      <c r="AD24" s="134" t="n"/>
      <c r="AE24" s="109" t="n"/>
      <c r="AF24" s="107" t="n"/>
      <c r="AG24" s="107" t="n"/>
      <c r="AH24" s="107" t="n"/>
      <c r="AI24" s="107" t="n"/>
      <c r="AJ24" s="109" t="n"/>
      <c r="AK24" s="109" t="n"/>
      <c r="AL24" s="109" t="n"/>
    </row>
    <row r="25">
      <c r="A25" s="95">
        <f>Carteira!A25</f>
        <v/>
      </c>
      <c r="B25" s="95">
        <f>Carteira!B25</f>
        <v/>
      </c>
      <c r="C25" s="98">
        <f>Carteira!G25</f>
        <v/>
      </c>
      <c r="D25" s="100">
        <f>Carteira!P25</f>
        <v/>
      </c>
      <c r="E25" s="104" t="n"/>
      <c r="F25" s="96" t="n"/>
      <c r="G25" s="130" t="n"/>
      <c r="H25" s="99" t="n"/>
      <c r="I25" s="99" t="n"/>
      <c r="J25" s="99" t="n"/>
      <c r="K25" s="131" t="n"/>
      <c r="L25" s="99" t="n"/>
      <c r="M25" s="131" t="n"/>
      <c r="N25" s="131" t="n"/>
      <c r="O25" s="99" t="n"/>
      <c r="P25" s="99" t="n"/>
      <c r="Q25" s="99" t="n"/>
      <c r="R25" s="131" t="n"/>
      <c r="S25" s="99" t="n"/>
      <c r="T25" s="99" t="n"/>
      <c r="U25" s="131" t="n"/>
      <c r="V25" s="131" t="n"/>
      <c r="W25" s="132" t="n"/>
      <c r="X25" s="131" t="n"/>
      <c r="Y25" s="99" t="n"/>
      <c r="Z25" s="131" t="n"/>
      <c r="AA25" s="131" t="n"/>
      <c r="AB25" s="104" t="n"/>
      <c r="AC25" s="99" t="n"/>
      <c r="AD25" s="131" t="n"/>
      <c r="AE25" s="99" t="n"/>
      <c r="AF25" s="97" t="n"/>
      <c r="AG25" s="97" t="n"/>
      <c r="AH25" s="97" t="n"/>
      <c r="AI25" s="97" t="n"/>
      <c r="AJ25" s="99" t="n"/>
      <c r="AK25" s="99" t="n"/>
      <c r="AL25" s="99" t="n"/>
    </row>
    <row r="26">
      <c r="A26" s="105">
        <f>Carteira!A26</f>
        <v/>
      </c>
      <c r="B26" s="105">
        <f>Carteira!B26</f>
        <v/>
      </c>
      <c r="C26" s="108">
        <f>Carteira!G26</f>
        <v/>
      </c>
      <c r="D26" s="110">
        <f>Carteira!P26</f>
        <v/>
      </c>
      <c r="E26" s="114" t="n"/>
      <c r="F26" s="106" t="n"/>
      <c r="G26" s="133" t="n"/>
      <c r="H26" s="109" t="n"/>
      <c r="I26" s="109" t="n"/>
      <c r="J26" s="109" t="n"/>
      <c r="K26" s="134" t="n"/>
      <c r="L26" s="109" t="n"/>
      <c r="M26" s="134" t="n"/>
      <c r="N26" s="134" t="n"/>
      <c r="O26" s="109" t="n"/>
      <c r="P26" s="109" t="n"/>
      <c r="Q26" s="109" t="n"/>
      <c r="R26" s="134" t="n"/>
      <c r="S26" s="109" t="n"/>
      <c r="T26" s="109" t="n"/>
      <c r="U26" s="134" t="n"/>
      <c r="V26" s="134" t="n"/>
      <c r="W26" s="135" t="n"/>
      <c r="X26" s="134" t="n"/>
      <c r="Y26" s="109" t="n"/>
      <c r="Z26" s="134" t="n"/>
      <c r="AA26" s="134" t="n"/>
      <c r="AB26" s="114" t="n"/>
      <c r="AC26" s="109" t="n"/>
      <c r="AD26" s="134" t="n"/>
      <c r="AE26" s="109" t="n"/>
      <c r="AF26" s="107" t="n"/>
      <c r="AG26" s="107" t="n"/>
      <c r="AH26" s="107" t="n"/>
      <c r="AI26" s="107" t="n"/>
      <c r="AJ26" s="109" t="n"/>
      <c r="AK26" s="109" t="n"/>
      <c r="AL26" s="109" t="n"/>
    </row>
    <row r="27">
      <c r="A27" s="95">
        <f>Carteira!A27</f>
        <v/>
      </c>
      <c r="B27" s="95">
        <f>Carteira!B27</f>
        <v/>
      </c>
      <c r="C27" s="98">
        <f>Carteira!G27</f>
        <v/>
      </c>
      <c r="D27" s="100">
        <f>Carteira!P27</f>
        <v/>
      </c>
      <c r="E27" s="104" t="n"/>
      <c r="F27" s="96" t="n"/>
      <c r="G27" s="130" t="n"/>
      <c r="H27" s="99" t="n"/>
      <c r="I27" s="99" t="n"/>
      <c r="J27" s="99" t="n"/>
      <c r="K27" s="131" t="n"/>
      <c r="L27" s="99" t="n"/>
      <c r="M27" s="131" t="n"/>
      <c r="N27" s="131" t="n"/>
      <c r="O27" s="99" t="n"/>
      <c r="P27" s="99" t="n"/>
      <c r="Q27" s="99" t="n"/>
      <c r="R27" s="131" t="n"/>
      <c r="S27" s="99" t="n"/>
      <c r="T27" s="99" t="n"/>
      <c r="U27" s="131" t="n"/>
      <c r="V27" s="131" t="n"/>
      <c r="W27" s="132" t="n"/>
      <c r="X27" s="131" t="n"/>
      <c r="Y27" s="99" t="n"/>
      <c r="Z27" s="131" t="n"/>
      <c r="AA27" s="131" t="n"/>
      <c r="AB27" s="104" t="n"/>
      <c r="AC27" s="99" t="n"/>
      <c r="AD27" s="131" t="n"/>
      <c r="AE27" s="99" t="n"/>
      <c r="AF27" s="97" t="n"/>
      <c r="AG27" s="97" t="n"/>
      <c r="AH27" s="97" t="n"/>
      <c r="AI27" s="97" t="n"/>
      <c r="AJ27" s="99" t="n"/>
      <c r="AK27" s="99" t="n"/>
      <c r="AL27" s="99" t="n"/>
    </row>
    <row r="28">
      <c r="A28" s="105">
        <f>Carteira!A28</f>
        <v/>
      </c>
      <c r="B28" s="105">
        <f>Carteira!B28</f>
        <v/>
      </c>
      <c r="C28" s="108">
        <f>Carteira!G28</f>
        <v/>
      </c>
      <c r="D28" s="110">
        <f>Carteira!P28</f>
        <v/>
      </c>
      <c r="E28" s="114" t="n"/>
      <c r="F28" s="106" t="n"/>
      <c r="G28" s="133" t="n"/>
      <c r="H28" s="109" t="n"/>
      <c r="I28" s="109" t="n"/>
      <c r="J28" s="109" t="n"/>
      <c r="K28" s="134" t="n"/>
      <c r="L28" s="109" t="n"/>
      <c r="M28" s="134" t="n"/>
      <c r="N28" s="134" t="n"/>
      <c r="O28" s="109" t="n"/>
      <c r="P28" s="109" t="n"/>
      <c r="Q28" s="109" t="n"/>
      <c r="R28" s="134" t="n"/>
      <c r="S28" s="109" t="n"/>
      <c r="T28" s="109" t="n"/>
      <c r="U28" s="134" t="n"/>
      <c r="V28" s="134" t="n"/>
      <c r="W28" s="135" t="n"/>
      <c r="X28" s="134" t="n"/>
      <c r="Y28" s="109" t="n"/>
      <c r="Z28" s="134" t="n"/>
      <c r="AA28" s="134" t="n"/>
      <c r="AB28" s="114" t="n"/>
      <c r="AC28" s="109" t="n"/>
      <c r="AD28" s="134" t="n"/>
      <c r="AE28" s="109" t="n"/>
      <c r="AF28" s="107" t="n"/>
      <c r="AG28" s="107" t="n"/>
      <c r="AH28" s="107" t="n"/>
      <c r="AI28" s="107" t="n"/>
      <c r="AJ28" s="109" t="n"/>
      <c r="AK28" s="109" t="n"/>
      <c r="AL28" s="109" t="n"/>
    </row>
    <row r="29">
      <c r="A29" s="95">
        <f>Carteira!A29</f>
        <v/>
      </c>
      <c r="B29" s="95">
        <f>Carteira!B29</f>
        <v/>
      </c>
      <c r="C29" s="98">
        <f>Carteira!G29</f>
        <v/>
      </c>
      <c r="D29" s="100">
        <f>Carteira!P29</f>
        <v/>
      </c>
      <c r="E29" s="104" t="n"/>
      <c r="F29" s="96" t="n"/>
      <c r="G29" s="130" t="n"/>
      <c r="H29" s="99" t="n"/>
      <c r="I29" s="99" t="n"/>
      <c r="J29" s="99" t="n"/>
      <c r="K29" s="131" t="n"/>
      <c r="L29" s="99" t="n"/>
      <c r="M29" s="131" t="n"/>
      <c r="N29" s="131" t="n"/>
      <c r="O29" s="99" t="n"/>
      <c r="P29" s="99" t="n"/>
      <c r="Q29" s="99" t="n"/>
      <c r="R29" s="131" t="n"/>
      <c r="S29" s="99" t="n"/>
      <c r="T29" s="99" t="n"/>
      <c r="U29" s="131" t="n"/>
      <c r="V29" s="131" t="n"/>
      <c r="W29" s="132" t="n"/>
      <c r="X29" s="131" t="n"/>
      <c r="Y29" s="99" t="n"/>
      <c r="Z29" s="131" t="n"/>
      <c r="AA29" s="131" t="n"/>
      <c r="AB29" s="104" t="n"/>
      <c r="AC29" s="99" t="n"/>
      <c r="AD29" s="131" t="n"/>
      <c r="AE29" s="99" t="n"/>
      <c r="AF29" s="97" t="n"/>
      <c r="AG29" s="97" t="n"/>
      <c r="AH29" s="97" t="n"/>
      <c r="AI29" s="97" t="n"/>
      <c r="AJ29" s="99" t="n"/>
      <c r="AK29" s="99" t="n"/>
      <c r="AL29" s="99" t="n"/>
    </row>
    <row r="30">
      <c r="A30" s="105">
        <f>Carteira!A30</f>
        <v/>
      </c>
      <c r="B30" s="105">
        <f>Carteira!B30</f>
        <v/>
      </c>
      <c r="C30" s="108">
        <f>Carteira!G30</f>
        <v/>
      </c>
      <c r="D30" s="110">
        <f>Carteira!P30</f>
        <v/>
      </c>
      <c r="E30" s="114" t="n"/>
      <c r="F30" s="106" t="n"/>
      <c r="G30" s="133" t="n"/>
      <c r="H30" s="109" t="n"/>
      <c r="I30" s="109" t="n"/>
      <c r="J30" s="109" t="n"/>
      <c r="K30" s="134" t="n"/>
      <c r="L30" s="109" t="n"/>
      <c r="M30" s="134" t="n"/>
      <c r="N30" s="134" t="n"/>
      <c r="O30" s="109" t="n"/>
      <c r="P30" s="109" t="n"/>
      <c r="Q30" s="109" t="n"/>
      <c r="R30" s="134" t="n"/>
      <c r="S30" s="109" t="n"/>
      <c r="T30" s="109" t="n"/>
      <c r="U30" s="134" t="n"/>
      <c r="V30" s="134" t="n"/>
      <c r="W30" s="135" t="n"/>
      <c r="X30" s="134" t="n"/>
      <c r="Y30" s="109" t="n"/>
      <c r="Z30" s="134" t="n"/>
      <c r="AA30" s="134" t="n"/>
      <c r="AB30" s="114" t="n"/>
      <c r="AC30" s="109" t="n"/>
      <c r="AD30" s="134" t="n"/>
      <c r="AE30" s="109" t="n"/>
      <c r="AF30" s="107" t="n"/>
      <c r="AG30" s="107" t="n"/>
      <c r="AH30" s="107" t="n"/>
      <c r="AI30" s="107" t="n"/>
      <c r="AJ30" s="109" t="n"/>
      <c r="AK30" s="109" t="n"/>
      <c r="AL30" s="109" t="n"/>
    </row>
    <row r="31">
      <c r="A31" s="95">
        <f>Carteira!A31</f>
        <v/>
      </c>
      <c r="B31" s="95">
        <f>Carteira!B31</f>
        <v/>
      </c>
      <c r="C31" s="98">
        <f>Carteira!G31</f>
        <v/>
      </c>
      <c r="D31" s="100">
        <f>Carteira!P31</f>
        <v/>
      </c>
      <c r="E31" s="104" t="n"/>
      <c r="F31" s="96" t="n"/>
      <c r="G31" s="130" t="n"/>
      <c r="H31" s="99" t="n"/>
      <c r="I31" s="99" t="n"/>
      <c r="J31" s="99" t="n"/>
      <c r="K31" s="131" t="n"/>
      <c r="L31" s="99" t="n"/>
      <c r="M31" s="131" t="n"/>
      <c r="N31" s="131" t="n"/>
      <c r="O31" s="99" t="n"/>
      <c r="P31" s="99" t="n"/>
      <c r="Q31" s="99" t="n"/>
      <c r="R31" s="131" t="n"/>
      <c r="S31" s="99" t="n"/>
      <c r="T31" s="99" t="n"/>
      <c r="U31" s="131" t="n"/>
      <c r="V31" s="131" t="n"/>
      <c r="W31" s="132" t="n"/>
      <c r="X31" s="131" t="n"/>
      <c r="Y31" s="99" t="n"/>
      <c r="Z31" s="131" t="n"/>
      <c r="AA31" s="131" t="n"/>
      <c r="AB31" s="104" t="n"/>
      <c r="AC31" s="99" t="n"/>
      <c r="AD31" s="131" t="n"/>
      <c r="AE31" s="99" t="n"/>
      <c r="AF31" s="97" t="n"/>
      <c r="AG31" s="97" t="n"/>
      <c r="AH31" s="97" t="n"/>
      <c r="AI31" s="97" t="n"/>
      <c r="AJ31" s="99" t="n"/>
      <c r="AK31" s="99" t="n"/>
      <c r="AL31" s="99" t="n"/>
    </row>
    <row r="32">
      <c r="A32" s="105">
        <f>Carteira!A32</f>
        <v/>
      </c>
      <c r="B32" s="105">
        <f>Carteira!B32</f>
        <v/>
      </c>
      <c r="C32" s="108">
        <f>Carteira!G32</f>
        <v/>
      </c>
      <c r="D32" s="110">
        <f>Carteira!P32</f>
        <v/>
      </c>
      <c r="E32" s="114" t="n"/>
      <c r="F32" s="106" t="n"/>
      <c r="G32" s="133" t="n"/>
      <c r="H32" s="109" t="n"/>
      <c r="I32" s="109" t="n"/>
      <c r="J32" s="109" t="n"/>
      <c r="K32" s="134" t="n"/>
      <c r="L32" s="109" t="n"/>
      <c r="M32" s="134" t="n"/>
      <c r="N32" s="134" t="n"/>
      <c r="O32" s="109" t="n"/>
      <c r="P32" s="109" t="n"/>
      <c r="Q32" s="109" t="n"/>
      <c r="R32" s="134" t="n"/>
      <c r="S32" s="109" t="n"/>
      <c r="T32" s="109" t="n"/>
      <c r="U32" s="134" t="n"/>
      <c r="V32" s="134" t="n"/>
      <c r="W32" s="135" t="n"/>
      <c r="X32" s="134" t="n"/>
      <c r="Y32" s="109" t="n"/>
      <c r="Z32" s="134" t="n"/>
      <c r="AA32" s="134" t="n"/>
      <c r="AB32" s="114" t="n"/>
      <c r="AC32" s="109" t="n"/>
      <c r="AD32" s="134" t="n"/>
      <c r="AE32" s="109" t="n"/>
      <c r="AF32" s="107" t="n"/>
      <c r="AG32" s="107" t="n"/>
      <c r="AH32" s="107" t="n"/>
      <c r="AI32" s="107" t="n"/>
      <c r="AJ32" s="109" t="n"/>
      <c r="AK32" s="109" t="n"/>
      <c r="AL32" s="109" t="n"/>
    </row>
    <row r="33">
      <c r="A33" s="95">
        <f>Carteira!A33</f>
        <v/>
      </c>
      <c r="B33" s="95">
        <f>Carteira!B33</f>
        <v/>
      </c>
      <c r="C33" s="98">
        <f>Carteira!G33</f>
        <v/>
      </c>
      <c r="D33" s="100">
        <f>Carteira!P33</f>
        <v/>
      </c>
      <c r="E33" s="104" t="n"/>
      <c r="F33" s="96" t="n"/>
      <c r="G33" s="130" t="n"/>
      <c r="H33" s="99" t="n"/>
      <c r="I33" s="99" t="n"/>
      <c r="J33" s="99" t="n"/>
      <c r="K33" s="131" t="n"/>
      <c r="L33" s="99" t="n"/>
      <c r="M33" s="131" t="n"/>
      <c r="N33" s="131" t="n"/>
      <c r="O33" s="99" t="n"/>
      <c r="P33" s="99" t="n"/>
      <c r="Q33" s="99" t="n"/>
      <c r="R33" s="131" t="n"/>
      <c r="S33" s="99" t="n"/>
      <c r="T33" s="99" t="n"/>
      <c r="U33" s="131" t="n"/>
      <c r="V33" s="131" t="n"/>
      <c r="W33" s="132" t="n"/>
      <c r="X33" s="131" t="n"/>
      <c r="Y33" s="99" t="n"/>
      <c r="Z33" s="131" t="n"/>
      <c r="AA33" s="131" t="n"/>
      <c r="AB33" s="104" t="n"/>
      <c r="AC33" s="99" t="n"/>
      <c r="AD33" s="131" t="n"/>
      <c r="AE33" s="99" t="n"/>
      <c r="AF33" s="97" t="n"/>
      <c r="AG33" s="97" t="n"/>
      <c r="AH33" s="97" t="n"/>
      <c r="AI33" s="97" t="n"/>
      <c r="AJ33" s="99" t="n"/>
      <c r="AK33" s="99" t="n"/>
      <c r="AL33" s="99" t="n"/>
    </row>
    <row r="34">
      <c r="A34" s="105">
        <f>Carteira!A34</f>
        <v/>
      </c>
      <c r="B34" s="105">
        <f>Carteira!B34</f>
        <v/>
      </c>
      <c r="C34" s="108">
        <f>Carteira!G34</f>
        <v/>
      </c>
      <c r="D34" s="110">
        <f>Carteira!P34</f>
        <v/>
      </c>
      <c r="E34" s="114" t="n"/>
      <c r="F34" s="106" t="n"/>
      <c r="G34" s="133" t="n"/>
      <c r="H34" s="109" t="n"/>
      <c r="I34" s="109" t="n"/>
      <c r="J34" s="109" t="n"/>
      <c r="K34" s="134" t="n"/>
      <c r="L34" s="109" t="n"/>
      <c r="M34" s="134" t="n"/>
      <c r="N34" s="134" t="n"/>
      <c r="O34" s="109" t="n"/>
      <c r="P34" s="109" t="n"/>
      <c r="Q34" s="109" t="n"/>
      <c r="R34" s="134" t="n"/>
      <c r="S34" s="109" t="n"/>
      <c r="T34" s="109" t="n"/>
      <c r="U34" s="134" t="n"/>
      <c r="V34" s="134" t="n"/>
      <c r="W34" s="135" t="n"/>
      <c r="X34" s="134" t="n"/>
      <c r="Y34" s="109" t="n"/>
      <c r="Z34" s="134" t="n"/>
      <c r="AA34" s="134" t="n"/>
      <c r="AB34" s="114" t="n"/>
      <c r="AC34" s="109" t="n"/>
      <c r="AD34" s="134" t="n"/>
      <c r="AE34" s="109" t="n"/>
      <c r="AF34" s="107" t="n"/>
      <c r="AG34" s="107" t="n"/>
      <c r="AH34" s="107" t="n"/>
      <c r="AI34" s="107" t="n"/>
      <c r="AJ34" s="109" t="n"/>
      <c r="AK34" s="109" t="n"/>
      <c r="AL34" s="109" t="n"/>
    </row>
    <row r="35">
      <c r="A35" s="95">
        <f>Carteira!A35</f>
        <v/>
      </c>
      <c r="B35" s="95">
        <f>Carteira!B35</f>
        <v/>
      </c>
      <c r="C35" s="98">
        <f>Carteira!G35</f>
        <v/>
      </c>
      <c r="D35" s="100">
        <f>Carteira!P35</f>
        <v/>
      </c>
      <c r="E35" s="104" t="n"/>
      <c r="F35" s="96" t="n"/>
      <c r="G35" s="130" t="n"/>
      <c r="H35" s="99" t="n"/>
      <c r="I35" s="99" t="n"/>
      <c r="J35" s="99" t="n"/>
      <c r="K35" s="131" t="n"/>
      <c r="L35" s="99" t="n"/>
      <c r="M35" s="131" t="n"/>
      <c r="N35" s="131" t="n"/>
      <c r="O35" s="99" t="n"/>
      <c r="P35" s="99" t="n"/>
      <c r="Q35" s="99" t="n"/>
      <c r="R35" s="131" t="n"/>
      <c r="S35" s="99" t="n"/>
      <c r="T35" s="99" t="n"/>
      <c r="U35" s="131" t="n"/>
      <c r="V35" s="131" t="n"/>
      <c r="W35" s="132" t="n"/>
      <c r="X35" s="131" t="n"/>
      <c r="Y35" s="99" t="n"/>
      <c r="Z35" s="131" t="n"/>
      <c r="AA35" s="131" t="n"/>
      <c r="AB35" s="104" t="n"/>
      <c r="AC35" s="99" t="n"/>
      <c r="AD35" s="131" t="n"/>
      <c r="AE35" s="99" t="n"/>
      <c r="AF35" s="97" t="n"/>
      <c r="AG35" s="97" t="n"/>
      <c r="AH35" s="97" t="n"/>
      <c r="AI35" s="97" t="n"/>
      <c r="AJ35" s="99" t="n"/>
      <c r="AK35" s="99" t="n"/>
      <c r="AL35" s="99" t="n"/>
    </row>
    <row r="36">
      <c r="A36" s="115" t="inlineStr">
        <is>
          <t>CARTEIRA</t>
        </is>
      </c>
      <c r="B36" s="115" t="n"/>
      <c r="C36" s="116">
        <f>SUM(C5:C35)</f>
        <v/>
      </c>
      <c r="D36" s="117">
        <f>SUM(D5:D35)</f>
        <v/>
      </c>
      <c r="E36" s="115" t="n"/>
      <c r="F36" s="115" t="n"/>
      <c r="G36" s="115" t="n"/>
      <c r="H36" s="115" t="n"/>
      <c r="I36" s="117" t="n">
        <v>0.1954427494894489</v>
      </c>
      <c r="J36" s="117" t="n">
        <v>0.1150482801357667</v>
      </c>
      <c r="K36" s="136" t="n">
        <v>0.002529911779921598</v>
      </c>
      <c r="L36" s="117" t="n">
        <v>-0.1532716627326808</v>
      </c>
      <c r="M36" s="136" t="n">
        <v>0.7176724163418359</v>
      </c>
      <c r="N36" s="115" t="n"/>
      <c r="O36" s="115" t="n"/>
      <c r="P36" s="115" t="n"/>
      <c r="Q36" s="115" t="n"/>
      <c r="R36" s="115" t="n"/>
      <c r="S36" s="115" t="n"/>
      <c r="T36" s="115" t="n"/>
      <c r="U36" s="115" t="n"/>
      <c r="V36" s="115" t="n"/>
      <c r="W36" s="115" t="n"/>
      <c r="X36" s="115" t="n"/>
      <c r="Y36" s="115" t="n"/>
      <c r="Z36" s="115" t="n"/>
      <c r="AA36" s="115" t="n"/>
      <c r="AB36" s="115" t="n"/>
      <c r="AC36" s="117" t="n">
        <v>0.03516845739994899</v>
      </c>
      <c r="AD36" s="136" t="n">
        <v>0.3655232760658893</v>
      </c>
      <c r="AE36" s="115" t="n"/>
      <c r="AF36" s="115" t="n"/>
      <c r="AG36" s="115" t="n"/>
      <c r="AH36" s="115" t="n"/>
      <c r="AI36" s="115" t="n"/>
      <c r="AJ36" s="115" t="n"/>
      <c r="AK36" s="117" t="n">
        <v>1</v>
      </c>
      <c r="AL36" s="117" t="n">
        <v>1</v>
      </c>
    </row>
    <row r="39" ht="32" customHeight="1">
      <c r="A39" s="94" t="inlineStr">
        <is>
          <t>Resumo da carteira</t>
        </is>
      </c>
      <c r="B39" s="94" t="inlineStr">
        <is>
          <t>Valor</t>
        </is>
      </c>
      <c r="C39" s="94" t="inlineStr">
        <is>
          <t>Leitura</t>
        </is>
      </c>
    </row>
    <row r="40">
      <c r="A40" s="137" t="inlineStr">
        <is>
          <t>Base dos pesos</t>
        </is>
      </c>
      <c r="B40" s="104" t="inlineStr">
        <is>
          <t>pesos ideais (ainda sem lançamentos)</t>
        </is>
      </c>
      <c r="C40" s="138" t="inlineStr">
        <is>
          <t>Carteira real quando há lançamentos; senão, pesos ideais.</t>
        </is>
      </c>
      <c r="D40" s="139" t="n"/>
      <c r="E40" s="139" t="n"/>
      <c r="F40" s="139" t="n"/>
      <c r="G40" s="139" t="n"/>
      <c r="H40" s="139" t="n"/>
      <c r="I40" s="139" t="n"/>
      <c r="J40" s="140" t="n"/>
    </row>
    <row r="41">
      <c r="A41" s="137" t="inlineStr">
        <is>
          <t>Retorno anual médio (3a, c/ proventos)</t>
        </is>
      </c>
      <c r="B41" s="99" t="n">
        <v>0.1402910619991752</v>
      </c>
      <c r="C41" s="138" t="inlineStr">
        <is>
          <t>Média geométrica ponderada pelos pesos.</t>
        </is>
      </c>
      <c r="D41" s="139" t="n"/>
      <c r="E41" s="139" t="n"/>
      <c r="F41" s="139" t="n"/>
      <c r="G41" s="139" t="n"/>
      <c r="H41" s="139" t="n"/>
      <c r="I41" s="139" t="n"/>
      <c r="J41" s="140" t="n"/>
    </row>
    <row r="42">
      <c r="A42" s="137" t="inlineStr">
        <is>
          <t>Volatilidade anual da carteira</t>
        </is>
      </c>
      <c r="B42" s="99" t="n">
        <v>0.1150482801357667</v>
      </c>
      <c r="C42" s="138" t="inlineStr">
        <is>
          <t>Considera as correlações entre os ativos.</t>
        </is>
      </c>
      <c r="D42" s="139" t="n"/>
      <c r="E42" s="139" t="n"/>
      <c r="F42" s="139" t="n"/>
      <c r="G42" s="139" t="n"/>
      <c r="H42" s="139" t="n"/>
      <c r="I42" s="139" t="n"/>
      <c r="J42" s="140" t="n"/>
    </row>
    <row r="43">
      <c r="A43" s="137" t="inlineStr">
        <is>
          <t>Índice de diversificação</t>
        </is>
      </c>
      <c r="B43" s="131" t="n">
        <v>1.780066512670804</v>
      </c>
      <c r="C43" s="138" t="inlineStr">
        <is>
          <t>Vol. média dos ativos ÷ vol. da carteira (&gt;1 = diversificação ajuda).</t>
        </is>
      </c>
      <c r="D43" s="139" t="n"/>
      <c r="E43" s="139" t="n"/>
      <c r="F43" s="139" t="n"/>
      <c r="G43" s="139" t="n"/>
      <c r="H43" s="139" t="n"/>
      <c r="I43" s="139" t="n"/>
      <c r="J43" s="140" t="n"/>
    </row>
    <row r="44">
      <c r="A44" s="137" t="inlineStr">
        <is>
          <t>Sharpe da carteira</t>
        </is>
      </c>
      <c r="B44" s="131" t="n">
        <v>0.002529911779921598</v>
      </c>
      <c r="C44" s="138" t="inlineStr">
        <is>
          <t>Retorno acima do CDI (14.00%) por unidade de risco.</t>
        </is>
      </c>
      <c r="D44" s="139" t="n"/>
      <c r="E44" s="139" t="n"/>
      <c r="F44" s="139" t="n"/>
      <c r="G44" s="139" t="n"/>
      <c r="H44" s="139" t="n"/>
      <c r="I44" s="139" t="n"/>
      <c r="J44" s="140" t="n"/>
    </row>
    <row r="45">
      <c r="A45" s="137" t="inlineStr">
        <is>
          <t>Beta da carteira</t>
        </is>
      </c>
      <c r="B45" s="131" t="n">
        <v>0.7176724163418359</v>
      </c>
      <c r="C45" s="138" t="inlineStr">
        <is>
          <t>1 = oscila como o Ibovespa; &lt;1 = mais defensiva.</t>
        </is>
      </c>
      <c r="D45" s="139" t="n"/>
      <c r="E45" s="139" t="n"/>
      <c r="F45" s="139" t="n"/>
      <c r="G45" s="139" t="n"/>
      <c r="H45" s="139" t="n"/>
      <c r="I45" s="139" t="n"/>
      <c r="J45" s="140" t="n"/>
    </row>
    <row r="46">
      <c r="A46" s="137" t="inlineStr">
        <is>
          <t>Queda máxima (3a)</t>
        </is>
      </c>
      <c r="B46" s="99" t="n">
        <v>-0.1532716627326808</v>
      </c>
      <c r="C46" s="138" t="inlineStr">
        <is>
          <t>Pior perda do pico ao vale com os pesos atuais.</t>
        </is>
      </c>
      <c r="D46" s="139" t="n"/>
      <c r="E46" s="139" t="n"/>
      <c r="F46" s="139" t="n"/>
      <c r="G46" s="139" t="n"/>
      <c r="H46" s="139" t="n"/>
      <c r="I46" s="139" t="n"/>
      <c r="J46" s="140" t="n"/>
    </row>
    <row r="47">
      <c r="A47" s="137" t="inlineStr">
        <is>
          <t>Dividend yield da carteira</t>
        </is>
      </c>
      <c r="B47" s="99" t="n">
        <v>0.09857523066724511</v>
      </c>
      <c r="C47" s="138" t="inlineStr">
        <is>
          <t>Provento 12m ÷ cotação, ponderado.</t>
        </is>
      </c>
      <c r="D47" s="139" t="n"/>
      <c r="E47" s="139" t="n"/>
      <c r="F47" s="139" t="n"/>
      <c r="G47" s="139" t="n"/>
      <c r="H47" s="139" t="n"/>
      <c r="I47" s="139" t="n"/>
      <c r="J47" s="140" t="n"/>
    </row>
    <row r="48">
      <c r="A48" s="137" t="inlineStr">
        <is>
          <t>Retorno 12m da carteira</t>
        </is>
      </c>
      <c r="B48" s="99" t="n">
        <v>0.1954427494894489</v>
      </c>
      <c r="C48" s="138" t="inlineStr">
        <is>
          <t>Com proventos reinvestidos.</t>
        </is>
      </c>
      <c r="D48" s="139" t="n"/>
      <c r="E48" s="139" t="n"/>
      <c r="F48" s="139" t="n"/>
      <c r="G48" s="139" t="n"/>
      <c r="H48" s="139" t="n"/>
      <c r="I48" s="139" t="n"/>
      <c r="J48" s="140" t="n"/>
    </row>
    <row r="49">
      <c r="A49" s="137" t="inlineStr">
        <is>
          <t>Ibovespa 12m</t>
        </is>
      </c>
      <c r="B49" s="99" t="n">
        <v>0.2748011026275832</v>
      </c>
      <c r="C49" s="138" t="inlineStr">
        <is>
          <t>Referência de mercado.</t>
        </is>
      </c>
      <c r="D49" s="139" t="n"/>
      <c r="E49" s="139" t="n"/>
      <c r="F49" s="139" t="n"/>
      <c r="G49" s="139" t="n"/>
      <c r="H49" s="139" t="n"/>
      <c r="I49" s="139" t="n"/>
      <c r="J49" s="140" t="n"/>
    </row>
    <row r="50">
      <c r="A50" s="137" t="inlineStr">
        <is>
          <t>TIR realizada (seus lançamentos)</t>
        </is>
      </c>
      <c r="B50" s="99" t="n"/>
      <c r="C50" s="138" t="inlineStr">
        <is>
          <t>Aparece quando houver lançamentos com data.</t>
        </is>
      </c>
      <c r="D50" s="139" t="n"/>
      <c r="E50" s="139" t="n"/>
      <c r="F50" s="139" t="n"/>
      <c r="G50" s="139" t="n"/>
      <c r="H50" s="139" t="n"/>
      <c r="I50" s="139" t="n"/>
      <c r="J50" s="140" t="n"/>
    </row>
    <row r="51">
      <c r="A51" s="137" t="inlineStr">
        <is>
          <t>CDI anual (premissa)</t>
        </is>
      </c>
      <c r="B51" s="99" t="n">
        <v>0.14</v>
      </c>
      <c r="C51" s="138" t="inlineStr">
        <is>
          <t>dados/config.json → analise.cdi_anual</t>
        </is>
      </c>
      <c r="D51" s="139" t="n"/>
      <c r="E51" s="139" t="n"/>
      <c r="F51" s="139" t="n"/>
      <c r="G51" s="139" t="n"/>
      <c r="H51" s="139" t="n"/>
      <c r="I51" s="139" t="n"/>
      <c r="J51" s="140" t="n"/>
    </row>
    <row r="53">
      <c r="A53" s="120" t="inlineStr">
        <is>
          <t>Correlação dos retornos semanais (3 anos) — perto de 1 = andam juntos; perto de 0 = diversificam</t>
        </is>
      </c>
    </row>
    <row r="54" ht="32" customHeight="1">
      <c r="A54" s="94" t="inlineStr">
        <is>
          <t>Correlação</t>
        </is>
      </c>
      <c r="B54" s="94" t="inlineStr">
        <is>
          <t>VALE3</t>
        </is>
      </c>
      <c r="C54" s="94" t="inlineStr">
        <is>
          <t>TAEE11</t>
        </is>
      </c>
      <c r="D54" s="94" t="inlineStr">
        <is>
          <t>PETR4</t>
        </is>
      </c>
      <c r="E54" s="94" t="inlineStr">
        <is>
          <t>BBAS3</t>
        </is>
      </c>
      <c r="F54" s="94" t="inlineStr">
        <is>
          <t>BRBI11</t>
        </is>
      </c>
      <c r="G54" s="94" t="inlineStr">
        <is>
          <t>BBDC4</t>
        </is>
      </c>
      <c r="H54" s="94" t="inlineStr">
        <is>
          <t>ITSA4</t>
        </is>
      </c>
      <c r="I54" s="94" t="inlineStr">
        <is>
          <t>CMIG4</t>
        </is>
      </c>
      <c r="J54" s="94" t="inlineStr">
        <is>
          <t>FIQE3</t>
        </is>
      </c>
      <c r="K54" s="94" t="inlineStr">
        <is>
          <t>KLBN11</t>
        </is>
      </c>
      <c r="L54" s="94" t="inlineStr">
        <is>
          <t>MXRF11</t>
        </is>
      </c>
      <c r="M54" s="94" t="inlineStr">
        <is>
          <t>BRCR11</t>
        </is>
      </c>
      <c r="N54" s="94" t="inlineStr">
        <is>
          <t>XPLG11</t>
        </is>
      </c>
      <c r="O54" s="94" t="inlineStr">
        <is>
          <t>XPML11</t>
        </is>
      </c>
      <c r="P54" s="94" t="inlineStr">
        <is>
          <t>SNAG11</t>
        </is>
      </c>
      <c r="Q54" s="94" t="inlineStr">
        <is>
          <t>CPTS11</t>
        </is>
      </c>
    </row>
    <row r="55">
      <c r="A55" s="137" t="inlineStr">
        <is>
          <t>VALE3</t>
        </is>
      </c>
      <c r="B55" s="131" t="n">
        <v>1</v>
      </c>
      <c r="C55" s="131" t="n">
        <v>0.2053980960208267</v>
      </c>
      <c r="D55" s="131" t="n">
        <v>0.02484079896202218</v>
      </c>
      <c r="E55" s="131" t="n">
        <v>0.2213520781414796</v>
      </c>
      <c r="F55" s="131" t="n">
        <v>0.2328806459543669</v>
      </c>
      <c r="G55" s="131" t="n">
        <v>0.260558572853722</v>
      </c>
      <c r="H55" s="131" t="n">
        <v>0.3684934184439659</v>
      </c>
      <c r="I55" s="131" t="n">
        <v>0.2198908265355826</v>
      </c>
      <c r="J55" s="131" t="n">
        <v>0.1967395005482376</v>
      </c>
      <c r="K55" s="131" t="n">
        <v>0.3182618323650124</v>
      </c>
      <c r="L55" s="131" t="n">
        <v>0.08118775871241456</v>
      </c>
      <c r="M55" s="131" t="n">
        <v>0.2233624189736061</v>
      </c>
      <c r="N55" s="131" t="n">
        <v>0.1587180407842343</v>
      </c>
      <c r="O55" s="131" t="n">
        <v>0.1463599396830173</v>
      </c>
      <c r="P55" s="131" t="n">
        <v>0.1154148929809941</v>
      </c>
      <c r="Q55" s="131" t="n">
        <v>0.1256542156347985</v>
      </c>
    </row>
    <row r="56">
      <c r="A56" s="137" t="inlineStr">
        <is>
          <t>TAEE11</t>
        </is>
      </c>
      <c r="B56" s="131" t="n">
        <v>0.2053980960208267</v>
      </c>
      <c r="C56" s="131" t="n">
        <v>1</v>
      </c>
      <c r="D56" s="131" t="n">
        <v>0.08053318650737608</v>
      </c>
      <c r="E56" s="131" t="n">
        <v>0.482151063479559</v>
      </c>
      <c r="F56" s="131" t="n">
        <v>0.4371350632929081</v>
      </c>
      <c r="G56" s="131" t="n">
        <v>0.5645762738317682</v>
      </c>
      <c r="H56" s="131" t="n">
        <v>0.5328476243461232</v>
      </c>
      <c r="I56" s="131" t="n">
        <v>0.422503817663034</v>
      </c>
      <c r="J56" s="131" t="n">
        <v>0.4171242069701153</v>
      </c>
      <c r="K56" s="131" t="n">
        <v>0.3142265397327931</v>
      </c>
      <c r="L56" s="131" t="n">
        <v>0.1517814471174644</v>
      </c>
      <c r="M56" s="131" t="n">
        <v>0.2485238136855899</v>
      </c>
      <c r="N56" s="131" t="n">
        <v>0.07877242129257896</v>
      </c>
      <c r="O56" s="131" t="n">
        <v>0.2753754608073177</v>
      </c>
      <c r="P56" s="131" t="n">
        <v>0.1048125415362792</v>
      </c>
      <c r="Q56" s="131" t="n">
        <v>0.1045902961748254</v>
      </c>
    </row>
    <row r="57">
      <c r="A57" s="137" t="inlineStr">
        <is>
          <t>PETR4</t>
        </is>
      </c>
      <c r="B57" s="131" t="n">
        <v>0.02484079896202218</v>
      </c>
      <c r="C57" s="131" t="n">
        <v>0.08053318650737608</v>
      </c>
      <c r="D57" s="131" t="n">
        <v>1</v>
      </c>
      <c r="E57" s="131" t="n">
        <v>0.1765621352674266</v>
      </c>
      <c r="F57" s="131" t="n">
        <v>0.287550098300497</v>
      </c>
      <c r="G57" s="131" t="n">
        <v>0.1206943435124812</v>
      </c>
      <c r="H57" s="131" t="n">
        <v>0.08977192305504696</v>
      </c>
      <c r="I57" s="131" t="n">
        <v>0.09668302766705805</v>
      </c>
      <c r="J57" s="131" t="n">
        <v>0.1703435248015545</v>
      </c>
      <c r="K57" s="131" t="n">
        <v>0.1013136309374021</v>
      </c>
      <c r="L57" s="131" t="n">
        <v>0.0591872072576399</v>
      </c>
      <c r="M57" s="131" t="n">
        <v>0.04633077534102477</v>
      </c>
      <c r="N57" s="131" t="n">
        <v>0.04418868767520925</v>
      </c>
      <c r="O57" s="131" t="n">
        <v>0.1629565092660518</v>
      </c>
      <c r="P57" s="131" t="n">
        <v>0.0468100669959737</v>
      </c>
      <c r="Q57" s="131" t="n">
        <v>0.1158218333986009</v>
      </c>
    </row>
    <row r="58">
      <c r="A58" s="137" t="inlineStr">
        <is>
          <t>BBAS3</t>
        </is>
      </c>
      <c r="B58" s="131" t="n">
        <v>0.2213520781414796</v>
      </c>
      <c r="C58" s="131" t="n">
        <v>0.482151063479559</v>
      </c>
      <c r="D58" s="131" t="n">
        <v>0.1765621352674266</v>
      </c>
      <c r="E58" s="131" t="n">
        <v>1</v>
      </c>
      <c r="F58" s="131" t="n">
        <v>0.4094151209856617</v>
      </c>
      <c r="G58" s="131" t="n">
        <v>0.4546695165955459</v>
      </c>
      <c r="H58" s="131" t="n">
        <v>0.6253186091552091</v>
      </c>
      <c r="I58" s="131" t="n">
        <v>0.4274307746252148</v>
      </c>
      <c r="J58" s="131" t="n">
        <v>0.4084781631996164</v>
      </c>
      <c r="K58" s="131" t="n">
        <v>0.2342057605745219</v>
      </c>
      <c r="L58" s="131" t="n">
        <v>0.1429815780049894</v>
      </c>
      <c r="M58" s="131" t="n">
        <v>0.2276797398934738</v>
      </c>
      <c r="N58" s="131" t="n">
        <v>0.1141215649068006</v>
      </c>
      <c r="O58" s="131" t="n">
        <v>0.3040978639115892</v>
      </c>
      <c r="P58" s="131" t="n">
        <v>0.07884426246641431</v>
      </c>
      <c r="Q58" s="131" t="n">
        <v>0.08726275813103244</v>
      </c>
    </row>
    <row r="59">
      <c r="A59" s="137" t="inlineStr">
        <is>
          <t>BRBI11</t>
        </is>
      </c>
      <c r="B59" s="131" t="n">
        <v>0.2328806459543669</v>
      </c>
      <c r="C59" s="131" t="n">
        <v>0.4371350632929081</v>
      </c>
      <c r="D59" s="131" t="n">
        <v>0.287550098300497</v>
      </c>
      <c r="E59" s="131" t="n">
        <v>0.4094151209856617</v>
      </c>
      <c r="F59" s="131" t="n">
        <v>1</v>
      </c>
      <c r="G59" s="131" t="n">
        <v>0.570689340826001</v>
      </c>
      <c r="H59" s="131" t="n">
        <v>0.5269651673902724</v>
      </c>
      <c r="I59" s="131" t="n">
        <v>0.313871572607095</v>
      </c>
      <c r="J59" s="131" t="n">
        <v>0.4442773885614362</v>
      </c>
      <c r="K59" s="131" t="n">
        <v>0.2537855146646933</v>
      </c>
      <c r="L59" s="131" t="n">
        <v>0.04241972932553395</v>
      </c>
      <c r="M59" s="131" t="n">
        <v>0.2463546846915696</v>
      </c>
      <c r="N59" s="131" t="n">
        <v>0.102911280297376</v>
      </c>
      <c r="O59" s="131" t="n">
        <v>0.3190117106475976</v>
      </c>
      <c r="P59" s="131" t="n">
        <v>0.05281366729156815</v>
      </c>
      <c r="Q59" s="131" t="n">
        <v>0.1300525471311986</v>
      </c>
    </row>
    <row r="60">
      <c r="A60" s="137" t="inlineStr">
        <is>
          <t>BBDC4</t>
        </is>
      </c>
      <c r="B60" s="131" t="n">
        <v>0.260558572853722</v>
      </c>
      <c r="C60" s="131" t="n">
        <v>0.5645762738317682</v>
      </c>
      <c r="D60" s="131" t="n">
        <v>0.1206943435124812</v>
      </c>
      <c r="E60" s="131" t="n">
        <v>0.4546695165955459</v>
      </c>
      <c r="F60" s="131" t="n">
        <v>0.570689340826001</v>
      </c>
      <c r="G60" s="131" t="n">
        <v>1</v>
      </c>
      <c r="H60" s="131" t="n">
        <v>0.6284522545259398</v>
      </c>
      <c r="I60" s="131" t="n">
        <v>0.3042117441664781</v>
      </c>
      <c r="J60" s="131" t="n">
        <v>0.500611778388055</v>
      </c>
      <c r="K60" s="131" t="n">
        <v>0.1773124836011338</v>
      </c>
      <c r="L60" s="131" t="n">
        <v>0.1074667775411239</v>
      </c>
      <c r="M60" s="131" t="n">
        <v>0.2009235942267436</v>
      </c>
      <c r="N60" s="131" t="n">
        <v>0.08086388635189581</v>
      </c>
      <c r="O60" s="131" t="n">
        <v>0.3153875115630675</v>
      </c>
      <c r="P60" s="131" t="n">
        <v>0.1049485284637467</v>
      </c>
      <c r="Q60" s="131" t="n">
        <v>0.1596542137676382</v>
      </c>
    </row>
    <row r="61">
      <c r="A61" s="137" t="inlineStr">
        <is>
          <t>ITSA4</t>
        </is>
      </c>
      <c r="B61" s="131" t="n">
        <v>0.3684934184439659</v>
      </c>
      <c r="C61" s="131" t="n">
        <v>0.5328476243461232</v>
      </c>
      <c r="D61" s="131" t="n">
        <v>0.08977192305504696</v>
      </c>
      <c r="E61" s="131" t="n">
        <v>0.6253186091552091</v>
      </c>
      <c r="F61" s="131" t="n">
        <v>0.5269651673902724</v>
      </c>
      <c r="G61" s="131" t="n">
        <v>0.6284522545259398</v>
      </c>
      <c r="H61" s="131" t="n">
        <v>1</v>
      </c>
      <c r="I61" s="131" t="n">
        <v>0.4528392863556195</v>
      </c>
      <c r="J61" s="131" t="n">
        <v>0.4993193010724842</v>
      </c>
      <c r="K61" s="131" t="n">
        <v>0.3008697389844709</v>
      </c>
      <c r="L61" s="131" t="n">
        <v>0.08522344564609455</v>
      </c>
      <c r="M61" s="131" t="n">
        <v>0.3286403071200217</v>
      </c>
      <c r="N61" s="131" t="n">
        <v>0.1651379415307402</v>
      </c>
      <c r="O61" s="131" t="n">
        <v>0.3710635836058453</v>
      </c>
      <c r="P61" s="131" t="n">
        <v>0.08555104965280701</v>
      </c>
      <c r="Q61" s="131" t="n">
        <v>0.1597185355862917</v>
      </c>
    </row>
    <row r="62">
      <c r="A62" s="137" t="inlineStr">
        <is>
          <t>CMIG4</t>
        </is>
      </c>
      <c r="B62" s="131" t="n">
        <v>0.2198908265355826</v>
      </c>
      <c r="C62" s="131" t="n">
        <v>0.422503817663034</v>
      </c>
      <c r="D62" s="131" t="n">
        <v>0.09668302766705805</v>
      </c>
      <c r="E62" s="131" t="n">
        <v>0.4274307746252148</v>
      </c>
      <c r="F62" s="131" t="n">
        <v>0.313871572607095</v>
      </c>
      <c r="G62" s="131" t="n">
        <v>0.3042117441664781</v>
      </c>
      <c r="H62" s="131" t="n">
        <v>0.4528392863556195</v>
      </c>
      <c r="I62" s="131" t="n">
        <v>1</v>
      </c>
      <c r="J62" s="131" t="n">
        <v>0.3559548741909004</v>
      </c>
      <c r="K62" s="131" t="n">
        <v>0.3021529732374333</v>
      </c>
      <c r="L62" s="131" t="n">
        <v>0.07616176168204163</v>
      </c>
      <c r="M62" s="131" t="n">
        <v>0.06866486235023353</v>
      </c>
      <c r="N62" s="131" t="n">
        <v>0.1842112244219959</v>
      </c>
      <c r="O62" s="131" t="n">
        <v>0.2997310183700821</v>
      </c>
      <c r="P62" s="131" t="n">
        <v>0.02844247971917184</v>
      </c>
      <c r="Q62" s="131" t="n">
        <v>0.05111102878244682</v>
      </c>
    </row>
    <row r="63">
      <c r="A63" s="137" t="inlineStr">
        <is>
          <t>FIQE3</t>
        </is>
      </c>
      <c r="B63" s="131" t="n">
        <v>0.1967395005482376</v>
      </c>
      <c r="C63" s="131" t="n">
        <v>0.4171242069701153</v>
      </c>
      <c r="D63" s="131" t="n">
        <v>0.1703435248015545</v>
      </c>
      <c r="E63" s="131" t="n">
        <v>0.4084781631996164</v>
      </c>
      <c r="F63" s="131" t="n">
        <v>0.4442773885614362</v>
      </c>
      <c r="G63" s="131" t="n">
        <v>0.500611778388055</v>
      </c>
      <c r="H63" s="131" t="n">
        <v>0.4993193010724842</v>
      </c>
      <c r="I63" s="131" t="n">
        <v>0.3559548741909004</v>
      </c>
      <c r="J63" s="131" t="n">
        <v>1</v>
      </c>
      <c r="K63" s="131" t="n">
        <v>0.1691997685156015</v>
      </c>
      <c r="L63" s="131" t="n">
        <v>0.1535124779968622</v>
      </c>
      <c r="M63" s="131" t="n">
        <v>0.2644030185374482</v>
      </c>
      <c r="N63" s="131" t="n">
        <v>0.2367828741462184</v>
      </c>
      <c r="O63" s="131" t="n">
        <v>0.2561535314789053</v>
      </c>
      <c r="P63" s="131" t="n">
        <v>0.1205552240027993</v>
      </c>
      <c r="Q63" s="131" t="n">
        <v>0.1726034819034084</v>
      </c>
    </row>
    <row r="64">
      <c r="A64" s="137" t="inlineStr">
        <is>
          <t>KLBN11</t>
        </is>
      </c>
      <c r="B64" s="131" t="n">
        <v>0.3182618323650124</v>
      </c>
      <c r="C64" s="131" t="n">
        <v>0.3142265397327931</v>
      </c>
      <c r="D64" s="131" t="n">
        <v>0.1013136309374021</v>
      </c>
      <c r="E64" s="131" t="n">
        <v>0.2342057605745219</v>
      </c>
      <c r="F64" s="131" t="n">
        <v>0.2537855146646933</v>
      </c>
      <c r="G64" s="131" t="n">
        <v>0.1773124836011338</v>
      </c>
      <c r="H64" s="131" t="n">
        <v>0.3008697389844709</v>
      </c>
      <c r="I64" s="131" t="n">
        <v>0.3021529732374333</v>
      </c>
      <c r="J64" s="131" t="n">
        <v>0.1691997685156015</v>
      </c>
      <c r="K64" s="131" t="n">
        <v>1</v>
      </c>
      <c r="L64" s="131" t="n">
        <v>0.2517193676476391</v>
      </c>
      <c r="M64" s="131" t="n">
        <v>0.2281184197606921</v>
      </c>
      <c r="N64" s="131" t="n">
        <v>0.05674184143818201</v>
      </c>
      <c r="O64" s="131" t="n">
        <v>0.1055476107498118</v>
      </c>
      <c r="P64" s="131" t="n">
        <v>-0.04740760636690437</v>
      </c>
      <c r="Q64" s="131" t="n">
        <v>0.004220721416875069</v>
      </c>
    </row>
    <row r="65">
      <c r="A65" s="137" t="inlineStr">
        <is>
          <t>MXRF11</t>
        </is>
      </c>
      <c r="B65" s="131" t="n">
        <v>0.08118775871241456</v>
      </c>
      <c r="C65" s="131" t="n">
        <v>0.1517814471174644</v>
      </c>
      <c r="D65" s="131" t="n">
        <v>0.0591872072576399</v>
      </c>
      <c r="E65" s="131" t="n">
        <v>0.1429815780049894</v>
      </c>
      <c r="F65" s="131" t="n">
        <v>0.04241972932553395</v>
      </c>
      <c r="G65" s="131" t="n">
        <v>0.1074667775411239</v>
      </c>
      <c r="H65" s="131" t="n">
        <v>0.08522344564609455</v>
      </c>
      <c r="I65" s="131" t="n">
        <v>0.07616176168204163</v>
      </c>
      <c r="J65" s="131" t="n">
        <v>0.1535124779968622</v>
      </c>
      <c r="K65" s="131" t="n">
        <v>0.2517193676476391</v>
      </c>
      <c r="L65" s="131" t="n">
        <v>1</v>
      </c>
      <c r="M65" s="131" t="n">
        <v>0.2270797512202688</v>
      </c>
      <c r="N65" s="131" t="n">
        <v>0.3676251080000269</v>
      </c>
      <c r="O65" s="131" t="n">
        <v>0.2861913755482626</v>
      </c>
      <c r="P65" s="131" t="n">
        <v>0.2691192977085686</v>
      </c>
      <c r="Q65" s="131" t="n">
        <v>0.2661437064724966</v>
      </c>
    </row>
    <row r="66">
      <c r="A66" s="137" t="inlineStr">
        <is>
          <t>BRCR11</t>
        </is>
      </c>
      <c r="B66" s="131" t="n">
        <v>0.2233624189736061</v>
      </c>
      <c r="C66" s="131" t="n">
        <v>0.2485238136855899</v>
      </c>
      <c r="D66" s="131" t="n">
        <v>0.04633077534102477</v>
      </c>
      <c r="E66" s="131" t="n">
        <v>0.2276797398934738</v>
      </c>
      <c r="F66" s="131" t="n">
        <v>0.2463546846915696</v>
      </c>
      <c r="G66" s="131" t="n">
        <v>0.2009235942267436</v>
      </c>
      <c r="H66" s="131" t="n">
        <v>0.3286403071200217</v>
      </c>
      <c r="I66" s="131" t="n">
        <v>0.06866486235023353</v>
      </c>
      <c r="J66" s="131" t="n">
        <v>0.2644030185374482</v>
      </c>
      <c r="K66" s="131" t="n">
        <v>0.2281184197606921</v>
      </c>
      <c r="L66" s="131" t="n">
        <v>0.2270797512202688</v>
      </c>
      <c r="M66" s="131" t="n">
        <v>1</v>
      </c>
      <c r="N66" s="131" t="n">
        <v>0.3100747778809828</v>
      </c>
      <c r="O66" s="131" t="n">
        <v>0.3444878260824295</v>
      </c>
      <c r="P66" s="131" t="n">
        <v>0.1361963245971883</v>
      </c>
      <c r="Q66" s="131" t="n">
        <v>0.2254987687375548</v>
      </c>
    </row>
    <row r="67">
      <c r="A67" s="137" t="inlineStr">
        <is>
          <t>XPLG11</t>
        </is>
      </c>
      <c r="B67" s="131" t="n">
        <v>0.1587180407842343</v>
      </c>
      <c r="C67" s="131" t="n">
        <v>0.07877242129257896</v>
      </c>
      <c r="D67" s="131" t="n">
        <v>0.04418868767520925</v>
      </c>
      <c r="E67" s="131" t="n">
        <v>0.1141215649068006</v>
      </c>
      <c r="F67" s="131" t="n">
        <v>0.102911280297376</v>
      </c>
      <c r="G67" s="131" t="n">
        <v>0.08086388635189581</v>
      </c>
      <c r="H67" s="131" t="n">
        <v>0.1651379415307402</v>
      </c>
      <c r="I67" s="131" t="n">
        <v>0.1842112244219959</v>
      </c>
      <c r="J67" s="131" t="n">
        <v>0.2367828741462184</v>
      </c>
      <c r="K67" s="131" t="n">
        <v>0.05674184143818201</v>
      </c>
      <c r="L67" s="131" t="n">
        <v>0.3676251080000269</v>
      </c>
      <c r="M67" s="131" t="n">
        <v>0.3100747778809828</v>
      </c>
      <c r="N67" s="131" t="n">
        <v>1</v>
      </c>
      <c r="O67" s="131" t="n">
        <v>0.3319694071748467</v>
      </c>
      <c r="P67" s="131" t="n">
        <v>0.2078498992939521</v>
      </c>
      <c r="Q67" s="131" t="n">
        <v>0.2570237984452746</v>
      </c>
    </row>
    <row r="68">
      <c r="A68" s="137" t="inlineStr">
        <is>
          <t>XPML11</t>
        </is>
      </c>
      <c r="B68" s="131" t="n">
        <v>0.1463599396830173</v>
      </c>
      <c r="C68" s="131" t="n">
        <v>0.2753754608073177</v>
      </c>
      <c r="D68" s="131" t="n">
        <v>0.1629565092660518</v>
      </c>
      <c r="E68" s="131" t="n">
        <v>0.3040978639115892</v>
      </c>
      <c r="F68" s="131" t="n">
        <v>0.3190117106475976</v>
      </c>
      <c r="G68" s="131" t="n">
        <v>0.3153875115630675</v>
      </c>
      <c r="H68" s="131" t="n">
        <v>0.3710635836058453</v>
      </c>
      <c r="I68" s="131" t="n">
        <v>0.2997310183700821</v>
      </c>
      <c r="J68" s="131" t="n">
        <v>0.2561535314789053</v>
      </c>
      <c r="K68" s="131" t="n">
        <v>0.1055476107498118</v>
      </c>
      <c r="L68" s="131" t="n">
        <v>0.2861913755482626</v>
      </c>
      <c r="M68" s="131" t="n">
        <v>0.3444878260824295</v>
      </c>
      <c r="N68" s="131" t="n">
        <v>0.3319694071748467</v>
      </c>
      <c r="O68" s="131" t="n">
        <v>1</v>
      </c>
      <c r="P68" s="131" t="n">
        <v>0.2186858560176837</v>
      </c>
      <c r="Q68" s="131" t="n">
        <v>0.2725662385330463</v>
      </c>
    </row>
    <row r="69">
      <c r="A69" s="137" t="inlineStr">
        <is>
          <t>SNAG11</t>
        </is>
      </c>
      <c r="B69" s="131" t="n">
        <v>0.1154148929809941</v>
      </c>
      <c r="C69" s="131" t="n">
        <v>0.1048125415362792</v>
      </c>
      <c r="D69" s="131" t="n">
        <v>0.0468100669959737</v>
      </c>
      <c r="E69" s="131" t="n">
        <v>0.07884426246641431</v>
      </c>
      <c r="F69" s="131" t="n">
        <v>0.05281366729156815</v>
      </c>
      <c r="G69" s="131" t="n">
        <v>0.1049485284637467</v>
      </c>
      <c r="H69" s="131" t="n">
        <v>0.08555104965280701</v>
      </c>
      <c r="I69" s="131" t="n">
        <v>0.02844247971917184</v>
      </c>
      <c r="J69" s="131" t="n">
        <v>0.1205552240027993</v>
      </c>
      <c r="K69" s="131" t="n">
        <v>-0.04740760636690437</v>
      </c>
      <c r="L69" s="131" t="n">
        <v>0.2691192977085686</v>
      </c>
      <c r="M69" s="131" t="n">
        <v>0.1361963245971883</v>
      </c>
      <c r="N69" s="131" t="n">
        <v>0.2078498992939521</v>
      </c>
      <c r="O69" s="131" t="n">
        <v>0.2186858560176837</v>
      </c>
      <c r="P69" s="131" t="n">
        <v>1</v>
      </c>
      <c r="Q69" s="131" t="n">
        <v>0.2475320823913564</v>
      </c>
    </row>
    <row r="70">
      <c r="A70" s="137" t="inlineStr">
        <is>
          <t>CPTS11</t>
        </is>
      </c>
      <c r="B70" s="131" t="n">
        <v>0.1256542156347985</v>
      </c>
      <c r="C70" s="131" t="n">
        <v>0.1045902961748254</v>
      </c>
      <c r="D70" s="131" t="n">
        <v>0.1158218333986009</v>
      </c>
      <c r="E70" s="131" t="n">
        <v>0.08726275813103244</v>
      </c>
      <c r="F70" s="131" t="n">
        <v>0.1300525471311986</v>
      </c>
      <c r="G70" s="131" t="n">
        <v>0.1596542137676382</v>
      </c>
      <c r="H70" s="131" t="n">
        <v>0.1597185355862917</v>
      </c>
      <c r="I70" s="131" t="n">
        <v>0.05111102878244682</v>
      </c>
      <c r="J70" s="131" t="n">
        <v>0.1726034819034084</v>
      </c>
      <c r="K70" s="131" t="n">
        <v>0.004220721416875069</v>
      </c>
      <c r="L70" s="131" t="n">
        <v>0.2661437064724966</v>
      </c>
      <c r="M70" s="131" t="n">
        <v>0.2254987687375548</v>
      </c>
      <c r="N70" s="131" t="n">
        <v>0.2570237984452746</v>
      </c>
      <c r="O70" s="131" t="n">
        <v>0.2725662385330463</v>
      </c>
      <c r="P70" s="131" t="n">
        <v>0.2475320823913564</v>
      </c>
      <c r="Q70" s="131" t="n">
        <v>1</v>
      </c>
    </row>
    <row r="72">
      <c r="A72" s="120" t="inlineStr">
        <is>
          <t>Como ler</t>
        </is>
      </c>
    </row>
    <row r="73">
      <c r="A73" s="121" t="inlineStr">
        <is>
          <t>• Derivadas: polinômio f(t) de grau 3 ajustado ao log-preço de 12 meses; f′(hoje) = taxa instantânea (e^f′ − 1 ao ano), f″(hoje) = curvatura (&gt;0 acelerando, &lt;0 perdendo força).</t>
        </is>
      </c>
    </row>
    <row r="74">
      <c r="A74" s="121" t="inlineStr">
        <is>
          <t>• EWMA: σ²ₜ = λσ²ₜ₋₁ + (1−λ)r²ₜ (λ em config.json) — pesa mais as semanas recentes. VaR/CVaR 95%: perda semanal superada em 5% das semanas / perda média nessas semanas.</t>
        </is>
      </c>
    </row>
    <row r="75">
      <c r="A75" s="121" t="inlineStr">
        <is>
          <t>• Jarque-Bera: p &lt; 0,05 = retornos não normais (caudas gordas se curtose &gt; 0). CAPM = CDI + β·(Ibov − CDI); alfa = retorno obtido − CAPM.</t>
        </is>
      </c>
    </row>
    <row r="76">
      <c r="A76" s="121" t="inlineStr">
        <is>
          <t>• Tendência/R²: regressão log-linear de 3 anos. R² baixo = preço sem tendência clara; não use a projeção 12m isoladamente.</t>
        </is>
      </c>
    </row>
    <row r="77">
      <c r="A77" s="121" t="inlineStr">
        <is>
          <t>• Faixa 12m: tendência ± 1 desvio-padrão dos resíduos (~68% dos casos históricos). Não é recomendação de compra ou venda.</t>
        </is>
      </c>
    </row>
    <row r="78">
      <c r="A78" s="121" t="inlineStr">
        <is>
          <t>• Contribuição ao risco: parcela da volatilidade da carteira que vem de cada ativo (soma 100%).</t>
        </is>
      </c>
    </row>
    <row r="79">
      <c r="A79" s="121" t="inlineStr">
        <is>
          <t>• Qualidade dos dados: Alta = 2,5+ anos de histórico, cotação recente e sem lacunas; Baixa = pouco histórico ou desatualizado.</t>
        </is>
      </c>
    </row>
  </sheetData>
  <mergeCells count="13">
    <mergeCell ref="C48:J48"/>
    <mergeCell ref="C43:J43"/>
    <mergeCell ref="C49:J49"/>
    <mergeCell ref="C51:J51"/>
    <mergeCell ref="C46:J46"/>
    <mergeCell ref="C47:J47"/>
    <mergeCell ref="C42:J42"/>
    <mergeCell ref="C50:J50"/>
    <mergeCell ref="C44:J44"/>
    <mergeCell ref="C41:J41"/>
    <mergeCell ref="C45:J45"/>
    <mergeCell ref="C40:J40"/>
    <mergeCell ref="A2:AL2"/>
  </mergeCells>
  <conditionalFormatting sqref="H5:H36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I5:I36">
    <cfRule type="cellIs" priority="3" operator="lessThan" dxfId="2">
      <formula>0</formula>
    </cfRule>
    <cfRule type="cellIs" priority="4" operator="greaterThan" dxfId="8">
      <formula>0</formula>
    </cfRule>
  </conditionalFormatting>
  <conditionalFormatting sqref="Y5:Y36">
    <cfRule type="cellIs" priority="5" operator="lessThan" dxfId="2">
      <formula>0</formula>
    </cfRule>
    <cfRule type="cellIs" priority="6" operator="greaterThan" dxfId="8">
      <formula>0</formula>
    </cfRule>
  </conditionalFormatting>
  <conditionalFormatting sqref="Z5:Z36">
    <cfRule type="cellIs" priority="7" operator="lessThan" dxfId="2">
      <formula>0</formula>
    </cfRule>
    <cfRule type="cellIs" priority="8" operator="greaterThan" dxfId="8">
      <formula>0</formula>
    </cfRule>
  </conditionalFormatting>
  <conditionalFormatting sqref="AC5:AC36">
    <cfRule type="cellIs" priority="9" operator="lessThan" dxfId="2">
      <formula>0</formula>
    </cfRule>
    <cfRule type="cellIs" priority="10" operator="greaterThan" dxfId="8">
      <formula>0</formula>
    </cfRule>
  </conditionalFormatting>
  <conditionalFormatting sqref="AE5:AE36">
    <cfRule type="cellIs" priority="11" operator="lessThan" dxfId="2">
      <formula>0</formula>
    </cfRule>
    <cfRule type="cellIs" priority="12" operator="greaterThan" dxfId="8">
      <formula>0</formula>
    </cfRule>
  </conditionalFormatting>
  <conditionalFormatting sqref="AJ5:AJ36">
    <cfRule type="cellIs" priority="13" operator="lessThan" dxfId="2">
      <formula>0</formula>
    </cfRule>
    <cfRule type="cellIs" priority="14" operator="greaterThan" dxfId="8">
      <formula>0</formula>
    </cfRule>
  </conditionalFormatting>
  <conditionalFormatting sqref="T5:T36">
    <cfRule type="cellIs" priority="15" operator="lessThan" dxfId="2">
      <formula>0</formula>
    </cfRule>
    <cfRule type="cellIs" priority="16" operator="greaterThan" dxfId="8">
      <formula>0</formula>
    </cfRule>
  </conditionalFormatting>
  <conditionalFormatting sqref="E5:E35">
    <cfRule type="cellIs" priority="17" operator="equal" dxfId="10">
      <formula>"Alta"</formula>
    </cfRule>
    <cfRule type="cellIs" priority="18" operator="equal" dxfId="11">
      <formula>"Média"</formula>
    </cfRule>
    <cfRule type="cellIs" priority="19" operator="equal" dxfId="12">
      <formula>"Baixa"</formula>
    </cfRule>
  </conditionalFormatting>
  <conditionalFormatting sqref="AL5:AL35">
    <cfRule type="dataBar" priority="20">
      <dataBar>
        <cfvo type="num" val="0"/>
        <cfvo type="max"/>
        <color rgb="000D9488"/>
      </dataBar>
    </cfRule>
  </conditionalFormatting>
  <conditionalFormatting sqref="K5:K35">
    <cfRule type="colorScale" priority="21">
      <colorScale>
        <cfvo type="num" val="-1"/>
        <cfvo type="num" val="0"/>
        <cfvo type="num" val="1"/>
        <color rgb="00FECACA"/>
        <color rgb="00FFFFFF"/>
        <color rgb="00BBF7D0"/>
      </colorScale>
    </cfRule>
  </conditionalFormatting>
  <conditionalFormatting sqref="B41:B51">
    <cfRule type="cellIs" priority="22" operator="lessThan" dxfId="2">
      <formula>0</formula>
    </cfRule>
    <cfRule type="cellIs" priority="23" operator="greaterThan" dxfId="8">
      <formula>0</formula>
    </cfRule>
  </conditionalFormatting>
  <conditionalFormatting sqref="B55:Q70">
    <cfRule type="colorScale" priority="24">
      <colorScale>
        <cfvo type="num" val="-0.2"/>
        <cfvo type="num" val="0.3"/>
        <cfvo type="num" val="1"/>
        <color rgb="00DBEAFE"/>
        <color rgb="00FFFFFF"/>
        <color rgb="00FCA5A5"/>
      </colorScale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5" customWidth="1" min="9" max="9"/>
    <col width="15" customWidth="1" min="10" max="10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Modelos Matemáticos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Álgebra linear, Markowitz, Monte Carlo e economia — calculado por gestao.py a partir do histórico e da sua carteira.</t>
        </is>
      </c>
    </row>
    <row r="5">
      <c r="A5" s="141" t="inlineStr">
        <is>
          <t>1. Economia — retorno real (equação de Fisher: 1 + nominal = (1 + real)(1 + inflação))</t>
        </is>
      </c>
    </row>
    <row r="6" ht="32" customHeight="1">
      <c r="A6" s="94" t="inlineStr">
        <is>
          <t>Indicador</t>
        </is>
      </c>
      <c r="B6" s="94" t="inlineStr">
        <is>
          <t>Valor</t>
        </is>
      </c>
      <c r="C6" s="94" t="inlineStr">
        <is>
          <t>Leitura</t>
        </is>
      </c>
    </row>
    <row r="7">
      <c r="A7" s="137" t="inlineStr">
        <is>
          <t>Inflação anual (premissa)</t>
        </is>
      </c>
      <c r="B7" s="99" t="n">
        <v>0.045</v>
      </c>
      <c r="C7" s="104" t="inlineStr">
        <is>
          <t>config.json → analise.inflacao_anual</t>
        </is>
      </c>
    </row>
    <row r="8">
      <c r="A8" s="142" t="inlineStr">
        <is>
          <t>CDI real</t>
        </is>
      </c>
      <c r="B8" s="109" t="n">
        <v>0.09090909090909105</v>
      </c>
      <c r="C8" s="114" t="inlineStr">
        <is>
          <t>Ganho do CDI acima da inflação</t>
        </is>
      </c>
    </row>
    <row r="9">
      <c r="A9" s="137" t="inlineStr">
        <is>
          <t>Retorno real da carteira (3a)</t>
        </is>
      </c>
      <c r="B9" s="99" t="n">
        <v>0.0911876191379668</v>
      </c>
      <c r="C9" s="104" t="inlineStr">
        <is>
          <t>Retorno médio histórico acima da inflação</t>
        </is>
      </c>
    </row>
    <row r="10">
      <c r="A10" s="142" t="inlineStr">
        <is>
          <t>Dividend yield real</t>
        </is>
      </c>
      <c r="B10" s="109" t="n">
        <v>0.05126816331793793</v>
      </c>
      <c r="C10" s="114" t="inlineStr">
        <is>
          <t>Renda acima da inflação</t>
        </is>
      </c>
    </row>
    <row r="11">
      <c r="A11" s="137" t="inlineStr">
        <is>
          <t>Prêmio de risco sobre o CDI</t>
        </is>
      </c>
      <c r="B11" s="99" t="n">
        <v>0.0002910619991751962</v>
      </c>
      <c r="C11" s="104" t="inlineStr">
        <is>
          <t>Quanto a renda variável pagou a mais que o CDI</t>
        </is>
      </c>
    </row>
    <row r="14">
      <c r="A14" s="141" t="inlineStr">
        <is>
          <t>2. Álgebra linear — autovalores da matriz de covariância Σ = VΛVᵀ (fatores de risco); número de condição 79 (alto = ativos redundantes)</t>
        </is>
      </c>
    </row>
    <row r="15" ht="32" customHeight="1">
      <c r="A15" s="94" t="inlineStr">
        <is>
          <t>Fator</t>
        </is>
      </c>
      <c r="B15" s="94" t="inlineStr">
        <is>
          <t>Autovalor λ (variância)</t>
        </is>
      </c>
      <c r="C15" s="94" t="inlineStr">
        <is>
          <t>Volatilidade √λ</t>
        </is>
      </c>
      <c r="D15" s="94" t="inlineStr">
        <is>
          <t>% do risco</t>
        </is>
      </c>
      <c r="E15" s="94" t="inlineStr">
        <is>
          <t>% acumulado</t>
        </is>
      </c>
    </row>
    <row r="16">
      <c r="A16" s="137" t="inlineStr">
        <is>
          <t>Fator 1</t>
        </is>
      </c>
      <c r="B16" s="143" t="n">
        <v>0.2578797625233904</v>
      </c>
      <c r="C16" s="99" t="n">
        <v>0.5078186315244749</v>
      </c>
      <c r="D16" s="99" t="n">
        <v>0.368779551358629</v>
      </c>
      <c r="E16" s="99" t="n">
        <v>0.368779551358629</v>
      </c>
    </row>
    <row r="17">
      <c r="A17" s="142" t="inlineStr">
        <is>
          <t>Fator 2</t>
        </is>
      </c>
      <c r="B17" s="144" t="n">
        <v>0.07714194060319876</v>
      </c>
      <c r="C17" s="109" t="n">
        <v>0.2777443799669019</v>
      </c>
      <c r="D17" s="109" t="n">
        <v>0.1103164124559844</v>
      </c>
      <c r="E17" s="109" t="n">
        <v>0.4790959638146134</v>
      </c>
    </row>
    <row r="18">
      <c r="A18" s="137" t="inlineStr">
        <is>
          <t>Fator 3</t>
        </is>
      </c>
      <c r="B18" s="143" t="n">
        <v>0.05851274187380823</v>
      </c>
      <c r="C18" s="99" t="n">
        <v>0.2418940715970696</v>
      </c>
      <c r="D18" s="99" t="n">
        <v>0.08367582816828852</v>
      </c>
      <c r="E18" s="99" t="n">
        <v>0.5627717919829019</v>
      </c>
    </row>
    <row r="19">
      <c r="A19" s="142" t="inlineStr">
        <is>
          <t>Fator 4</t>
        </is>
      </c>
      <c r="B19" s="144" t="n">
        <v>0.0539459497037823</v>
      </c>
      <c r="C19" s="109" t="n">
        <v>0.2322626739357452</v>
      </c>
      <c r="D19" s="109" t="n">
        <v>0.07714511187193895</v>
      </c>
      <c r="E19" s="109" t="n">
        <v>0.6399169038548409</v>
      </c>
    </row>
    <row r="20">
      <c r="A20" s="137" t="inlineStr">
        <is>
          <t>Fator 5</t>
        </is>
      </c>
      <c r="B20" s="143" t="n">
        <v>0.04470323670950901</v>
      </c>
      <c r="C20" s="99" t="n">
        <v>0.2114313995354262</v>
      </c>
      <c r="D20" s="99" t="n">
        <v>0.06392762044100316</v>
      </c>
      <c r="E20" s="99" t="n">
        <v>0.7038445242958441</v>
      </c>
    </row>
    <row r="23">
      <c r="A23" s="141" t="inlineStr">
        <is>
          <t>Autovetores (cargas): quanto cada ativo pesa em cada fator — Fator 1 ≈ risco de mercado comum</t>
        </is>
      </c>
    </row>
    <row r="24" ht="32" customHeight="1">
      <c r="A24" s="94" t="inlineStr">
        <is>
          <t>Ativo</t>
        </is>
      </c>
      <c r="B24" s="94" t="inlineStr">
        <is>
          <t>Fator 1</t>
        </is>
      </c>
      <c r="C24" s="94" t="inlineStr">
        <is>
          <t>Fator 2</t>
        </is>
      </c>
      <c r="D24" s="94" t="inlineStr">
        <is>
          <t>Fator 3</t>
        </is>
      </c>
    </row>
    <row r="25">
      <c r="A25" s="137" t="inlineStr">
        <is>
          <t>VALE3</t>
        </is>
      </c>
      <c r="B25" s="131" t="n">
        <v>0.2045726619610806</v>
      </c>
      <c r="C25" s="131" t="n">
        <v>-0.2441446020911645</v>
      </c>
      <c r="D25" s="131" t="n">
        <v>0.5184454627656329</v>
      </c>
    </row>
    <row r="26">
      <c r="A26" s="142" t="inlineStr">
        <is>
          <t>TAEE11</t>
        </is>
      </c>
      <c r="B26" s="134" t="n">
        <v>0.2391192346895029</v>
      </c>
      <c r="C26" s="134" t="n">
        <v>-0.0936934419898874</v>
      </c>
      <c r="D26" s="134" t="n">
        <v>-0.04100449328300895</v>
      </c>
    </row>
    <row r="27">
      <c r="A27" s="137" t="inlineStr">
        <is>
          <t>PETR4</t>
        </is>
      </c>
      <c r="B27" s="131" t="n">
        <v>0.1628993423446964</v>
      </c>
      <c r="C27" s="131" t="n">
        <v>0.9011537781326036</v>
      </c>
      <c r="D27" s="131" t="n">
        <v>0.2864603188908162</v>
      </c>
    </row>
    <row r="28">
      <c r="A28" s="142" t="inlineStr">
        <is>
          <t>BBAS3</t>
        </is>
      </c>
      <c r="B28" s="134" t="n">
        <v>0.3743777302256884</v>
      </c>
      <c r="C28" s="134" t="n">
        <v>-0.06461683104494592</v>
      </c>
      <c r="D28" s="134" t="n">
        <v>0.06982888949418149</v>
      </c>
    </row>
    <row r="29">
      <c r="A29" s="137" t="inlineStr">
        <is>
          <t>BRBI11</t>
        </is>
      </c>
      <c r="B29" s="131" t="n">
        <v>0.4075026953878835</v>
      </c>
      <c r="C29" s="131" t="n">
        <v>0.2146044766755134</v>
      </c>
      <c r="D29" s="131" t="n">
        <v>-0.1858715939722625</v>
      </c>
    </row>
    <row r="30">
      <c r="A30" s="142" t="inlineStr">
        <is>
          <t>BBDC4</t>
        </is>
      </c>
      <c r="B30" s="134" t="n">
        <v>0.3942503557411889</v>
      </c>
      <c r="C30" s="134" t="n">
        <v>-0.06457296845043345</v>
      </c>
      <c r="D30" s="134" t="n">
        <v>-0.3660677987161892</v>
      </c>
    </row>
    <row r="31">
      <c r="A31" s="137" t="inlineStr">
        <is>
          <t>ITSA4</t>
        </is>
      </c>
      <c r="B31" s="131" t="n">
        <v>0.3269313779237061</v>
      </c>
      <c r="C31" s="131" t="n">
        <v>-0.1403625166736698</v>
      </c>
      <c r="D31" s="131" t="n">
        <v>-0.01452734137332885</v>
      </c>
    </row>
    <row r="32">
      <c r="A32" s="142" t="inlineStr">
        <is>
          <t>CMIG4</t>
        </is>
      </c>
      <c r="B32" s="134" t="n">
        <v>0.3104154833060167</v>
      </c>
      <c r="C32" s="134" t="n">
        <v>-0.1841621718528622</v>
      </c>
      <c r="D32" s="134" t="n">
        <v>0.3944116557644504</v>
      </c>
    </row>
    <row r="33">
      <c r="A33" s="137" t="inlineStr">
        <is>
          <t>FIQE3</t>
        </is>
      </c>
      <c r="B33" s="131" t="n">
        <v>0.3904667452484056</v>
      </c>
      <c r="C33" s="131" t="n">
        <v>0.01333591686987658</v>
      </c>
      <c r="D33" s="131" t="n">
        <v>-0.3583528317439478</v>
      </c>
    </row>
    <row r="34">
      <c r="A34" s="142" t="inlineStr">
        <is>
          <t>KLBN11</t>
        </is>
      </c>
      <c r="B34" s="134" t="n">
        <v>0.163287684108077</v>
      </c>
      <c r="C34" s="134" t="n">
        <v>-0.08507265656212129</v>
      </c>
      <c r="D34" s="134" t="n">
        <v>0.4321449385596322</v>
      </c>
    </row>
    <row r="35">
      <c r="A35" s="137" t="inlineStr">
        <is>
          <t>MXRF11</t>
        </is>
      </c>
      <c r="B35" s="131" t="n">
        <v>0.02629450855738488</v>
      </c>
      <c r="C35" s="131" t="n">
        <v>-0.003879306398182391</v>
      </c>
      <c r="D35" s="131" t="n">
        <v>0.02599701023558809</v>
      </c>
    </row>
    <row r="36">
      <c r="A36" s="142" t="inlineStr">
        <is>
          <t>BRCR11</t>
        </is>
      </c>
      <c r="B36" s="134" t="n">
        <v>0.1089416333894382</v>
      </c>
      <c r="C36" s="134" t="n">
        <v>-0.03644015315906259</v>
      </c>
      <c r="D36" s="134" t="n">
        <v>0.0142977304726498</v>
      </c>
    </row>
    <row r="37">
      <c r="A37" s="137" t="inlineStr">
        <is>
          <t>XPLG11</t>
        </is>
      </c>
      <c r="B37" s="131" t="n">
        <v>0.05575131146768851</v>
      </c>
      <c r="C37" s="131" t="n">
        <v>-0.01966084502232932</v>
      </c>
      <c r="D37" s="131" t="n">
        <v>0.03443062683264157</v>
      </c>
    </row>
    <row r="38">
      <c r="A38" s="142" t="inlineStr">
        <is>
          <t>XPML11</t>
        </is>
      </c>
      <c r="B38" s="134" t="n">
        <v>0.09786301208946654</v>
      </c>
      <c r="C38" s="134" t="n">
        <v>0.01549418948247449</v>
      </c>
      <c r="D38" s="134" t="n">
        <v>0.007836441143822696</v>
      </c>
    </row>
    <row r="39">
      <c r="A39" s="137" t="inlineStr">
        <is>
          <t>SNAG11</t>
        </is>
      </c>
      <c r="B39" s="131" t="n">
        <v>0.02649400577953349</v>
      </c>
      <c r="C39" s="131" t="n">
        <v>0.002067197844160552</v>
      </c>
      <c r="D39" s="131" t="n">
        <v>-0.01345507550959016</v>
      </c>
    </row>
    <row r="40">
      <c r="A40" s="142" t="inlineStr">
        <is>
          <t>CPTS11</t>
        </is>
      </c>
      <c r="B40" s="134" t="n">
        <v>0.06685290761675382</v>
      </c>
      <c r="C40" s="134" t="n">
        <v>0.04615587517703977</v>
      </c>
      <c r="D40" s="134" t="n">
        <v>-0.02824320268745897</v>
      </c>
    </row>
    <row r="43">
      <c r="A43" s="141" t="inlineStr">
        <is>
          <t>3. Otimização de Markowitz (sem venda a descoberto): mín. variância w ∝ Σ⁻¹1 • máx. Sharpe w ∝ Σ⁻¹(μ − CDI)</t>
        </is>
      </c>
    </row>
    <row r="44" ht="32" customHeight="1">
      <c r="A44" s="94" t="inlineStr">
        <is>
          <t>Ativo</t>
        </is>
      </c>
      <c r="B44" s="94" t="inlineStr">
        <is>
          <t>μ esperado</t>
        </is>
      </c>
      <c r="C44" s="94" t="inlineStr">
        <is>
          <t>Pesos ideais</t>
        </is>
      </c>
      <c r="D44" s="94" t="inlineStr">
        <is>
          <t>Carteira analisada</t>
        </is>
      </c>
      <c r="E44" s="94" t="inlineStr">
        <is>
          <t>Mínima variância</t>
        </is>
      </c>
      <c r="F44" s="94" t="inlineStr">
        <is>
          <t>Máximo Sharpe</t>
        </is>
      </c>
    </row>
    <row r="45">
      <c r="A45" s="137" t="inlineStr">
        <is>
          <t>VALE3</t>
        </is>
      </c>
      <c r="B45" s="99" t="n">
        <v>0.138805441898026</v>
      </c>
      <c r="C45" s="99" t="n">
        <v>0.1</v>
      </c>
      <c r="D45" s="99" t="n">
        <v>0.1</v>
      </c>
      <c r="E45" s="99" t="n">
        <v>0.01458530435846184</v>
      </c>
      <c r="F45" s="99" t="n">
        <v>0</v>
      </c>
    </row>
    <row r="46">
      <c r="A46" s="142" t="inlineStr">
        <is>
          <t>TAEE11</t>
        </is>
      </c>
      <c r="B46" s="109" t="n">
        <v>0.1590847536522199</v>
      </c>
      <c r="C46" s="109" t="n">
        <v>0.05</v>
      </c>
      <c r="D46" s="109" t="n">
        <v>0.05</v>
      </c>
      <c r="E46" s="109" t="n">
        <v>0.0296495726106615</v>
      </c>
      <c r="F46" s="109" t="n">
        <v>0</v>
      </c>
    </row>
    <row r="47">
      <c r="A47" s="137" t="inlineStr">
        <is>
          <t>PETR4</t>
        </is>
      </c>
      <c r="B47" s="99" t="n">
        <v>0.2313242035747558</v>
      </c>
      <c r="C47" s="99" t="n">
        <v>0.07000000000000001</v>
      </c>
      <c r="D47" s="99" t="n">
        <v>0.07000000000000001</v>
      </c>
      <c r="E47" s="99" t="n">
        <v>0.024790651266936</v>
      </c>
      <c r="F47" s="99" t="n">
        <v>0.2916235225832736</v>
      </c>
    </row>
    <row r="48">
      <c r="A48" s="142" t="inlineStr">
        <is>
          <t>BBAS3</t>
        </is>
      </c>
      <c r="B48" s="109" t="n">
        <v>0.09724123514658184</v>
      </c>
      <c r="C48" s="109" t="n">
        <v>0.06</v>
      </c>
      <c r="D48" s="109" t="n">
        <v>0.06</v>
      </c>
      <c r="E48" s="109" t="n">
        <v>0</v>
      </c>
      <c r="F48" s="109" t="n">
        <v>0</v>
      </c>
    </row>
    <row r="49">
      <c r="A49" s="137" t="inlineStr">
        <is>
          <t>BRBI11</t>
        </is>
      </c>
      <c r="B49" s="99" t="n">
        <v>0.1766282971154859</v>
      </c>
      <c r="C49" s="99" t="n">
        <v>0.05</v>
      </c>
      <c r="D49" s="99" t="n">
        <v>0.05</v>
      </c>
      <c r="E49" s="99" t="n">
        <v>0</v>
      </c>
      <c r="F49" s="99" t="n">
        <v>0</v>
      </c>
    </row>
    <row r="50">
      <c r="A50" s="142" t="inlineStr">
        <is>
          <t>BBDC4</t>
        </is>
      </c>
      <c r="B50" s="109" t="n">
        <v>0.1737629303285334</v>
      </c>
      <c r="C50" s="109" t="n">
        <v>0.05</v>
      </c>
      <c r="D50" s="109" t="n">
        <v>0.05</v>
      </c>
      <c r="E50" s="109" t="n">
        <v>0</v>
      </c>
      <c r="F50" s="109" t="n">
        <v>0</v>
      </c>
    </row>
    <row r="51">
      <c r="A51" s="137" t="inlineStr">
        <is>
          <t>ITSA4</t>
        </is>
      </c>
      <c r="B51" s="99" t="n">
        <v>0.2518452247773408</v>
      </c>
      <c r="C51" s="99" t="n">
        <v>0.1</v>
      </c>
      <c r="D51" s="99" t="n">
        <v>0.1</v>
      </c>
      <c r="E51" s="99" t="n">
        <v>0.001595087645114531</v>
      </c>
      <c r="F51" s="99" t="n">
        <v>0.7068192514481458</v>
      </c>
    </row>
    <row r="52">
      <c r="A52" s="142" t="inlineStr">
        <is>
          <t>CMIG4</t>
        </is>
      </c>
      <c r="B52" s="109" t="n">
        <v>0.1864318510455433</v>
      </c>
      <c r="C52" s="109" t="n">
        <v>0.1</v>
      </c>
      <c r="D52" s="109" t="n">
        <v>0.1</v>
      </c>
      <c r="E52" s="109" t="n">
        <v>0.005712611392821824</v>
      </c>
      <c r="F52" s="109" t="n">
        <v>0</v>
      </c>
    </row>
    <row r="53">
      <c r="A53" s="137" t="inlineStr">
        <is>
          <t>FIQE3</t>
        </is>
      </c>
      <c r="B53" s="99" t="n">
        <v>0.2110370318806137</v>
      </c>
      <c r="C53" s="99" t="n">
        <v>0.05</v>
      </c>
      <c r="D53" s="99" t="n">
        <v>0.05</v>
      </c>
      <c r="E53" s="99" t="n">
        <v>0</v>
      </c>
      <c r="F53" s="99" t="n">
        <v>0</v>
      </c>
    </row>
    <row r="54">
      <c r="A54" s="142" t="inlineStr">
        <is>
          <t>KLBN11</t>
        </is>
      </c>
      <c r="B54" s="109" t="n">
        <v>0.08360371919407558</v>
      </c>
      <c r="C54" s="109" t="n">
        <v>0.07000000000000001</v>
      </c>
      <c r="D54" s="109" t="n">
        <v>0.07000000000000001</v>
      </c>
      <c r="E54" s="109" t="n">
        <v>0.01641756871525276</v>
      </c>
      <c r="F54" s="109" t="n">
        <v>0</v>
      </c>
    </row>
    <row r="55">
      <c r="A55" s="137" t="inlineStr">
        <is>
          <t>MXRF11</t>
        </is>
      </c>
      <c r="B55" s="99" t="n">
        <v>0.1007888452238437</v>
      </c>
      <c r="C55" s="99" t="n">
        <v>0.05</v>
      </c>
      <c r="D55" s="99" t="n">
        <v>0.05</v>
      </c>
      <c r="E55" s="99" t="n">
        <v>0.5217048150065482</v>
      </c>
      <c r="F55" s="99" t="n">
        <v>0</v>
      </c>
    </row>
    <row r="56">
      <c r="A56" s="142" t="inlineStr">
        <is>
          <t>BRCR11</t>
        </is>
      </c>
      <c r="B56" s="109" t="n">
        <v>0.07503216762867737</v>
      </c>
      <c r="C56" s="109" t="n">
        <v>0.04</v>
      </c>
      <c r="D56" s="109" t="n">
        <v>0.04</v>
      </c>
      <c r="E56" s="109" t="n">
        <v>0.02566057129696255</v>
      </c>
      <c r="F56" s="109" t="n">
        <v>0</v>
      </c>
    </row>
    <row r="57">
      <c r="A57" s="137" t="inlineStr">
        <is>
          <t>XPLG11</t>
        </is>
      </c>
      <c r="B57" s="99" t="n">
        <v>0.08438113756904456</v>
      </c>
      <c r="C57" s="99" t="n">
        <v>0.06</v>
      </c>
      <c r="D57" s="99" t="n">
        <v>0.06</v>
      </c>
      <c r="E57" s="99" t="n">
        <v>0.04244090289227688</v>
      </c>
      <c r="F57" s="99" t="n">
        <v>0</v>
      </c>
    </row>
    <row r="58">
      <c r="A58" s="142" t="inlineStr">
        <is>
          <t>XPML11</t>
        </is>
      </c>
      <c r="B58" s="109" t="n">
        <v>0.1088035693680015</v>
      </c>
      <c r="C58" s="109" t="n">
        <v>0.05</v>
      </c>
      <c r="D58" s="109" t="n">
        <v>0.05</v>
      </c>
      <c r="E58" s="109" t="n">
        <v>0.09591631505197382</v>
      </c>
      <c r="F58" s="109" t="n">
        <v>0</v>
      </c>
    </row>
    <row r="59">
      <c r="A59" s="137" t="inlineStr">
        <is>
          <t>SNAG11</t>
        </is>
      </c>
      <c r="B59" s="99" t="n">
        <v>0.1375107401271393</v>
      </c>
      <c r="C59" s="99" t="n">
        <v>0.06</v>
      </c>
      <c r="D59" s="99" t="n">
        <v>0.06</v>
      </c>
      <c r="E59" s="99" t="n">
        <v>0.213924312782817</v>
      </c>
      <c r="F59" s="99" t="n">
        <v>0.001557225968580656</v>
      </c>
    </row>
    <row r="60">
      <c r="A60" s="142" t="inlineStr">
        <is>
          <t>CPTS11</t>
        </is>
      </c>
      <c r="B60" s="109" t="n">
        <v>0.08112569975679734</v>
      </c>
      <c r="C60" s="109" t="n">
        <v>0.04</v>
      </c>
      <c r="D60" s="109" t="n">
        <v>0.04</v>
      </c>
      <c r="E60" s="109" t="n">
        <v>0.007602286980173182</v>
      </c>
      <c r="F60" s="109" t="n">
        <v>0</v>
      </c>
    </row>
    <row r="61">
      <c r="A61" s="115" t="inlineStr">
        <is>
          <t>Retorno esperado</t>
        </is>
      </c>
      <c r="B61" s="145" t="n"/>
      <c r="C61" s="145" t="n">
        <v>0.151652779210329</v>
      </c>
      <c r="D61" s="145" t="n">
        <v>0.151652779210329</v>
      </c>
      <c r="E61" s="145" t="n">
        <v>0.11387356463528</v>
      </c>
      <c r="F61" s="145" t="n">
        <v>0.2456827676586354</v>
      </c>
    </row>
    <row r="62">
      <c r="A62" s="115" t="inlineStr">
        <is>
          <t>Volatilidade</t>
        </is>
      </c>
      <c r="B62" s="145" t="n"/>
      <c r="C62" s="145" t="n">
        <v>0.1150482801357667</v>
      </c>
      <c r="D62" s="145" t="n">
        <v>0.1150482801357667</v>
      </c>
      <c r="E62" s="145" t="n">
        <v>0.06089088503225415</v>
      </c>
      <c r="F62" s="145" t="n">
        <v>0.1723051837883521</v>
      </c>
    </row>
    <row r="63">
      <c r="A63" s="115" t="inlineStr">
        <is>
          <t>Sharpe</t>
        </is>
      </c>
      <c r="B63" s="145" t="n"/>
      <c r="C63" s="146" t="n">
        <v>0.1012859922510599</v>
      </c>
      <c r="D63" s="146" t="n">
        <v>0.1012859922510599</v>
      </c>
      <c r="E63" s="146" t="n">
        <v>-0.4290697261319278</v>
      </c>
      <c r="F63" s="146" t="n">
        <v>0.6133464202008503</v>
      </c>
    </row>
    <row r="66">
      <c r="A66" s="141" t="inlineStr">
        <is>
          <t>4. Monte Carlo — 5.000 trajetórias de movimento browniano geométrico (μ = 11,1%, σ = 11,5%, aporte mensal das Premissas)</t>
        </is>
      </c>
    </row>
    <row r="67">
      <c r="A67" s="141" t="inlineStr">
        <is>
          <t>Patrimônio em ações + FIIs por percentil (5% dos cenários ficam abaixo de P5)</t>
        </is>
      </c>
    </row>
    <row r="68" ht="32" customHeight="1">
      <c r="A68" s="94" t="inlineStr">
        <is>
          <t>Ano</t>
        </is>
      </c>
      <c r="B68" s="94" t="inlineStr">
        <is>
          <t>P5 (R$)</t>
        </is>
      </c>
      <c r="C68" s="94" t="inlineStr">
        <is>
          <t>P25 (R$)</t>
        </is>
      </c>
      <c r="D68" s="94" t="inlineStr">
        <is>
          <t>Mediana (R$)</t>
        </is>
      </c>
      <c r="E68" s="94" t="inlineStr">
        <is>
          <t>P75 (R$)</t>
        </is>
      </c>
      <c r="F68" s="94" t="inlineStr">
        <is>
          <t>P95 (R$)</t>
        </is>
      </c>
      <c r="G68" s="94" t="inlineStr">
        <is>
          <t>CDI (R$)</t>
        </is>
      </c>
      <c r="H68" s="94" t="inlineStr">
        <is>
          <t>Aportado (R$)</t>
        </is>
      </c>
      <c r="I68" s="94" t="inlineStr">
        <is>
          <t>Prob. vencer CDI</t>
        </is>
      </c>
      <c r="J68" s="94" t="inlineStr">
        <is>
          <t>Prob. abaixo do aportado</t>
        </is>
      </c>
    </row>
    <row r="69">
      <c r="A69" s="137" t="n">
        <v>1</v>
      </c>
      <c r="B69" s="102" t="n">
        <v>34078.62528479703</v>
      </c>
      <c r="C69" s="102" t="n">
        <v>36127.64180866146</v>
      </c>
      <c r="D69" s="102" t="n">
        <v>37699.91580056266</v>
      </c>
      <c r="E69" s="102" t="n">
        <v>39300.18828288086</v>
      </c>
      <c r="F69" s="102" t="n">
        <v>41935.67636433972</v>
      </c>
      <c r="G69" s="102" t="n">
        <v>38255.36603518559</v>
      </c>
      <c r="H69" s="102" t="n">
        <v>36000</v>
      </c>
      <c r="I69" s="99" t="n">
        <v>0.4076</v>
      </c>
      <c r="J69" s="99" t="n">
        <v>0.2338</v>
      </c>
    </row>
    <row r="70">
      <c r="A70" s="142" t="n">
        <v>2</v>
      </c>
      <c r="B70" s="112" t="n">
        <v>68193.74894219849</v>
      </c>
      <c r="C70" s="112" t="n">
        <v>74351.51717155898</v>
      </c>
      <c r="D70" s="112" t="n">
        <v>79220.22850400131</v>
      </c>
      <c r="E70" s="112" t="n">
        <v>84440.67190865977</v>
      </c>
      <c r="F70" s="112" t="n">
        <v>92705.21425327673</v>
      </c>
      <c r="G70" s="112" t="n">
        <v>81866.48331529713</v>
      </c>
      <c r="H70" s="112" t="n">
        <v>72000</v>
      </c>
      <c r="I70" s="109" t="n">
        <v>0.364</v>
      </c>
      <c r="J70" s="109" t="n">
        <v>0.15</v>
      </c>
    </row>
    <row r="71">
      <c r="A71" s="137" t="n">
        <v>3</v>
      </c>
      <c r="B71" s="102" t="n">
        <v>104239.2967451667</v>
      </c>
      <c r="C71" s="102" t="n">
        <v>116467.343915583</v>
      </c>
      <c r="D71" s="102" t="n">
        <v>125497.9029562316</v>
      </c>
      <c r="E71" s="102" t="n">
        <v>136226.0885430453</v>
      </c>
      <c r="F71" s="102" t="n">
        <v>152561.1114256116</v>
      </c>
      <c r="G71" s="102" t="n">
        <v>131583.1570146242</v>
      </c>
      <c r="H71" s="102" t="n">
        <v>108000</v>
      </c>
      <c r="I71" s="99" t="n">
        <v>0.3422</v>
      </c>
      <c r="J71" s="99" t="n">
        <v>0.0988</v>
      </c>
    </row>
    <row r="72">
      <c r="A72" s="142" t="n">
        <v>4</v>
      </c>
      <c r="B72" s="112" t="n">
        <v>141572.9680295329</v>
      </c>
      <c r="C72" s="112" t="n">
        <v>161110.472682422</v>
      </c>
      <c r="D72" s="112" t="n">
        <v>176326.3654498236</v>
      </c>
      <c r="E72" s="112" t="n">
        <v>193917.3361702465</v>
      </c>
      <c r="F72" s="112" t="n">
        <v>223080.000683765</v>
      </c>
      <c r="G72" s="112" t="n">
        <v>188260.165031857</v>
      </c>
      <c r="H72" s="112" t="n">
        <v>144000</v>
      </c>
      <c r="I72" s="109" t="n">
        <v>0.3214</v>
      </c>
      <c r="J72" s="109" t="n">
        <v>0.065</v>
      </c>
    </row>
    <row r="73">
      <c r="A73" s="137" t="n">
        <v>5</v>
      </c>
      <c r="B73" s="102" t="n">
        <v>181318.7109114241</v>
      </c>
      <c r="C73" s="102" t="n">
        <v>209462.549761013</v>
      </c>
      <c r="D73" s="102" t="n">
        <v>232676.6884076957</v>
      </c>
      <c r="E73" s="102" t="n">
        <v>259255.6804702287</v>
      </c>
      <c r="F73" s="102" t="n">
        <v>304720.3716882035</v>
      </c>
      <c r="G73" s="102" t="n">
        <v>252871.9541715024</v>
      </c>
      <c r="H73" s="102" t="n">
        <v>180000</v>
      </c>
      <c r="I73" s="99" t="n">
        <v>0.3036</v>
      </c>
      <c r="J73" s="99" t="n">
        <v>0.0466</v>
      </c>
    </row>
    <row r="74">
      <c r="A74" s="142" t="n">
        <v>6</v>
      </c>
      <c r="B74" s="112" t="n">
        <v>224263.9168350479</v>
      </c>
      <c r="C74" s="112" t="n">
        <v>262150.7042653594</v>
      </c>
      <c r="D74" s="112" t="n">
        <v>293997.2277976944</v>
      </c>
      <c r="E74" s="112" t="n">
        <v>332858.3116449062</v>
      </c>
      <c r="F74" s="112" t="n">
        <v>398179.2230636297</v>
      </c>
      <c r="G74" s="112" t="n">
        <v>326529.3937906981</v>
      </c>
      <c r="H74" s="112" t="n">
        <v>216000</v>
      </c>
      <c r="I74" s="109" t="n">
        <v>0.2848</v>
      </c>
      <c r="J74" s="109" t="n">
        <v>0.0334</v>
      </c>
    </row>
    <row r="75">
      <c r="A75" s="137" t="n">
        <v>7</v>
      </c>
      <c r="B75" s="102" t="n">
        <v>268059.9751063525</v>
      </c>
      <c r="C75" s="102" t="n">
        <v>320709.4040375894</v>
      </c>
      <c r="D75" s="102" t="n">
        <v>362483.3276048236</v>
      </c>
      <c r="E75" s="102" t="n">
        <v>415249.469634217</v>
      </c>
      <c r="F75" s="102" t="n">
        <v>501114.1543093291</v>
      </c>
      <c r="G75" s="102" t="n">
        <v>410498.874956581</v>
      </c>
      <c r="H75" s="102" t="n">
        <v>252000</v>
      </c>
      <c r="I75" s="99" t="n">
        <v>0.2672</v>
      </c>
      <c r="J75" s="99" t="n">
        <v>0.0274</v>
      </c>
    </row>
    <row r="76">
      <c r="A76" s="142" t="n">
        <v>8</v>
      </c>
      <c r="B76" s="112" t="n">
        <v>316967.8627414039</v>
      </c>
      <c r="C76" s="112" t="n">
        <v>383142.7570950736</v>
      </c>
      <c r="D76" s="112" t="n">
        <v>440290.0694671887</v>
      </c>
      <c r="E76" s="112" t="n">
        <v>505791.3218027535</v>
      </c>
      <c r="F76" s="112" t="n">
        <v>624290.1244557357</v>
      </c>
      <c r="G76" s="112" t="n">
        <v>506224.0834856877</v>
      </c>
      <c r="H76" s="112" t="n">
        <v>288000</v>
      </c>
      <c r="I76" s="109" t="n">
        <v>0.2484</v>
      </c>
      <c r="J76" s="109" t="n">
        <v>0.0178</v>
      </c>
    </row>
    <row r="77">
      <c r="A77" s="137" t="n">
        <v>9</v>
      </c>
      <c r="B77" s="102" t="n">
        <v>368507.2078609997</v>
      </c>
      <c r="C77" s="102" t="n">
        <v>451796.7882868184</v>
      </c>
      <c r="D77" s="102" t="n">
        <v>522986.0625239457</v>
      </c>
      <c r="E77" s="102" t="n">
        <v>607654.8232145973</v>
      </c>
      <c r="F77" s="102" t="n">
        <v>759773.8872799022</v>
      </c>
      <c r="G77" s="102" t="n">
        <v>615350.8212088689</v>
      </c>
      <c r="H77" s="102" t="n">
        <v>324000</v>
      </c>
      <c r="I77" s="99" t="n">
        <v>0.2334</v>
      </c>
      <c r="J77" s="99" t="n">
        <v>0.012</v>
      </c>
    </row>
    <row r="78">
      <c r="A78" s="142" t="n">
        <v>10</v>
      </c>
      <c r="B78" s="112" t="n">
        <v>419650.1324788055</v>
      </c>
      <c r="C78" s="112" t="n">
        <v>525871.1418728776</v>
      </c>
      <c r="D78" s="112" t="n">
        <v>613746.7128805895</v>
      </c>
      <c r="E78" s="112" t="n">
        <v>721762.6494406965</v>
      </c>
      <c r="F78" s="112" t="n">
        <v>913060.0562091654</v>
      </c>
      <c r="G78" s="112" t="n">
        <v>739755.3022132954</v>
      </c>
      <c r="H78" s="112" t="n">
        <v>360000</v>
      </c>
      <c r="I78" s="109" t="n">
        <v>0.2208</v>
      </c>
      <c r="J78" s="109" t="n">
        <v>0.0112</v>
      </c>
    </row>
    <row r="80">
      <c r="A80" s="120" t="inlineStr">
        <is>
          <t>Probabilidade de atingir a meta de renda em 10 anos: 0%</t>
        </is>
      </c>
    </row>
    <row r="101">
      <c r="A101" s="120" t="inlineStr">
        <is>
          <t>Como ler</t>
        </is>
      </c>
    </row>
    <row r="102">
      <c r="A102" s="121" t="inlineStr">
        <is>
          <t>• μ esperado de cada ativo = 50% retorno histórico (3a) + 50% CAPM — o encolhimento reduz o erro de estimação.</t>
        </is>
      </c>
    </row>
    <row r="103">
      <c r="A103" s="121" t="inlineStr">
        <is>
          <t>• Fatores: se o Fator 1 explica muito do risco, a carteira depende de um único movimento de mercado.</t>
        </is>
      </c>
    </row>
    <row r="104">
      <c r="A104" s="121" t="inlineStr">
        <is>
          <t>• Markowitz usa o passado; trate as carteiras ótimas como referência para o peso ideal, não como ordem de compra.</t>
        </is>
      </c>
    </row>
    <row r="105">
      <c r="A105" s="121" t="inlineStr">
        <is>
          <t>• Monte Carlo: μ = valorização base + DY (se reinvestir); σ = volatilidade da carteira. Não é garantia de retorno.</t>
        </is>
      </c>
    </row>
  </sheetData>
  <mergeCells count="1">
    <mergeCell ref="A2:Z2"/>
  </mergeCells>
  <conditionalFormatting sqref="B8:B11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B25:D40">
    <cfRule type="colorScale" priority="3">
      <colorScale>
        <cfvo type="num" val="-0.5"/>
        <cfvo type="num" val="0"/>
        <cfvo type="num" val="0.5"/>
        <color rgb="00DBEAFE"/>
        <color rgb="00FFFFFF"/>
        <color rgb="00FCA5A5"/>
      </colorScale>
    </cfRule>
  </conditionalFormatting>
  <conditionalFormatting sqref="C45:C60">
    <cfRule type="dataBar" priority="4">
      <dataBar>
        <cfvo type="num" val="0"/>
        <cfvo type="num" val="0.5"/>
        <color rgb="005B8DB8"/>
      </dataBar>
    </cfRule>
  </conditionalFormatting>
  <conditionalFormatting sqref="D45:D60">
    <cfRule type="dataBar" priority="5">
      <dataBar>
        <cfvo type="num" val="0"/>
        <cfvo type="num" val="0.5"/>
        <color rgb="005B8DB8"/>
      </dataBar>
    </cfRule>
  </conditionalFormatting>
  <conditionalFormatting sqref="E45:E60">
    <cfRule type="dataBar" priority="6">
      <dataBar>
        <cfvo type="num" val="0"/>
        <cfvo type="num" val="0.5"/>
        <color rgb="005B8DB8"/>
      </dataBar>
    </cfRule>
  </conditionalFormatting>
  <conditionalFormatting sqref="F45:F60">
    <cfRule type="dataBar" priority="7">
      <dataBar>
        <cfvo type="num" val="0"/>
        <cfvo type="num" val="0.5"/>
        <color rgb="005B8DB8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 fitToPage="1"/>
  </sheetPr>
  <dimension ref="A1:AN1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  <col width="17" customWidth="1" min="7" max="7"/>
    <col width="16" customWidth="1" min="8" max="8"/>
    <col width="14" customWidth="1" min="9" max="9"/>
    <col width="3" customWidth="1" min="10" max="10"/>
    <col width="7" customWidth="1" min="11" max="11"/>
    <col width="10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Projeção Futura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Parte da posição atual (Carteira) e do aporte mensal (Premissas). Parâmetros em amarelo podem ser alterados aqui.</t>
        </is>
      </c>
    </row>
    <row r="4" ht="32" customHeight="1">
      <c r="A4" s="94" t="inlineStr">
        <is>
          <t>Parâmetro</t>
        </is>
      </c>
      <c r="B4" s="94" t="inlineStr">
        <is>
          <t>Valor</t>
        </is>
      </c>
      <c r="C4" s="94" t="inlineStr">
        <is>
          <t>Origem</t>
        </is>
      </c>
    </row>
    <row r="5">
      <c r="A5" s="137" t="inlineStr">
        <is>
          <t>Patrimônio inicial (ações + FIIs)</t>
        </is>
      </c>
      <c r="B5" s="147">
        <f>Carteira!G36</f>
        <v/>
      </c>
      <c r="C5" s="138" t="inlineStr">
        <is>
          <t>Carteira (posição atual)</t>
        </is>
      </c>
      <c r="K5" s="148" t="inlineStr">
        <is>
          <t>Mês</t>
        </is>
      </c>
      <c r="L5" s="148" t="inlineStr">
        <is>
          <t>Data</t>
        </is>
      </c>
      <c r="M5" s="148" t="inlineStr">
        <is>
          <t>Pessimista (R$)</t>
        </is>
      </c>
      <c r="N5" s="148" t="inlineStr">
        <is>
          <t>Base (R$)</t>
        </is>
      </c>
      <c r="O5" s="148" t="inlineStr">
        <is>
          <t>Otimista (R$)</t>
        </is>
      </c>
      <c r="P5" s="148" t="inlineStr">
        <is>
          <t>CDI (R$)</t>
        </is>
      </c>
      <c r="Q5" s="148" t="inlineStr">
        <is>
          <t>Renda mensal base (R$)</t>
        </is>
      </c>
      <c r="R5" s="148" t="inlineStr">
        <is>
          <t>Total aportado (R$)</t>
        </is>
      </c>
    </row>
    <row r="6">
      <c r="A6" s="137" t="inlineStr">
        <is>
          <t>Aporte mensal</t>
        </is>
      </c>
      <c r="B6" s="147">
        <f>APORTE_MENSAL</f>
        <v/>
      </c>
      <c r="C6" s="138" t="inlineStr">
        <is>
          <t>Premissas</t>
        </is>
      </c>
      <c r="K6" s="149" t="n">
        <v>0</v>
      </c>
      <c r="L6" s="150">
        <f>EDATE(TODAY(),K6)</f>
        <v/>
      </c>
      <c r="M6" s="151">
        <f>PJ_INICIAL</f>
        <v/>
      </c>
      <c r="N6" s="151">
        <f>PJ_INICIAL</f>
        <v/>
      </c>
      <c r="O6" s="151">
        <f>PJ_INICIAL</f>
        <v/>
      </c>
      <c r="P6" s="151">
        <f>PJ_INICIAL</f>
        <v/>
      </c>
      <c r="Q6" s="151">
        <f>N6*PJ_DY/12</f>
        <v/>
      </c>
      <c r="R6" s="151">
        <f>PJ_INICIAL</f>
        <v/>
      </c>
    </row>
    <row r="7">
      <c r="A7" s="137" t="inlineStr">
        <is>
          <t>Dividend yield anual</t>
        </is>
      </c>
      <c r="B7" s="152" t="n">
        <v>0.09857523066724511</v>
      </c>
      <c r="C7" s="138" t="inlineStr">
        <is>
          <t>Proventos 12m ÷ cotação, ponderado pela carteira</t>
        </is>
      </c>
      <c r="K7" s="149" t="n">
        <v>1</v>
      </c>
      <c r="L7" s="150">
        <f>EDATE(TODAY(),K7)</f>
        <v/>
      </c>
      <c r="M7" s="151">
        <f>M6*(1+PJ_G_PESS)^(1/12)+PJ_APORTE+PJ_REINV*M6*PJ_DY/12</f>
        <v/>
      </c>
      <c r="N7" s="151">
        <f>N6*(1+PJ_G_BASE)^(1/12)+PJ_APORTE+PJ_REINV*N6*PJ_DY/12</f>
        <v/>
      </c>
      <c r="O7" s="151">
        <f>O6*(1+PJ_G_OTIM)^(1/12)+PJ_APORTE+PJ_REINV*O6*PJ_DY/12</f>
        <v/>
      </c>
      <c r="P7" s="151">
        <f>P6*(1+PJ_CDI)^(1/12)+PJ_APORTE</f>
        <v/>
      </c>
      <c r="Q7" s="151">
        <f>N7*PJ_DY/12</f>
        <v/>
      </c>
      <c r="R7" s="151">
        <f>R6+PJ_APORTE</f>
        <v/>
      </c>
    </row>
    <row r="8">
      <c r="A8" s="137" t="inlineStr">
        <is>
          <t>Reinvestir proventos (1 = sim)</t>
        </is>
      </c>
      <c r="B8" s="153" t="n">
        <v>1</v>
      </c>
      <c r="C8" s="138" t="inlineStr">
        <is>
          <t>config.json → analise</t>
        </is>
      </c>
      <c r="K8" s="149" t="n">
        <v>2</v>
      </c>
      <c r="L8" s="150">
        <f>EDATE(TODAY(),K8)</f>
        <v/>
      </c>
      <c r="M8" s="151">
        <f>M7*(1+PJ_G_PESS)^(1/12)+PJ_APORTE+PJ_REINV*M7*PJ_DY/12</f>
        <v/>
      </c>
      <c r="N8" s="151">
        <f>N7*(1+PJ_G_BASE)^(1/12)+PJ_APORTE+PJ_REINV*N7*PJ_DY/12</f>
        <v/>
      </c>
      <c r="O8" s="151">
        <f>O7*(1+PJ_G_OTIM)^(1/12)+PJ_APORTE+PJ_REINV*O7*PJ_DY/12</f>
        <v/>
      </c>
      <c r="P8" s="151">
        <f>P7*(1+PJ_CDI)^(1/12)+PJ_APORTE</f>
        <v/>
      </c>
      <c r="Q8" s="151">
        <f>N8*PJ_DY/12</f>
        <v/>
      </c>
      <c r="R8" s="151">
        <f>R7+PJ_APORTE</f>
        <v/>
      </c>
    </row>
    <row r="9">
      <c r="A9" s="137" t="inlineStr">
        <is>
          <t>Valorização anual — pessimista</t>
        </is>
      </c>
      <c r="B9" s="152" t="n">
        <v>-0.02352657084839983</v>
      </c>
      <c r="C9" s="138" t="inlineStr">
        <is>
          <t>Base − 1 desvio-padrão no horizonte</t>
        </is>
      </c>
      <c r="K9" s="149" t="n">
        <v>3</v>
      </c>
      <c r="L9" s="150">
        <f>EDATE(TODAY(),K9)</f>
        <v/>
      </c>
      <c r="M9" s="151">
        <f>M8*(1+PJ_G_PESS)^(1/12)+PJ_APORTE+PJ_REINV*M8*PJ_DY/12</f>
        <v/>
      </c>
      <c r="N9" s="151">
        <f>N8*(1+PJ_G_BASE)^(1/12)+PJ_APORTE+PJ_REINV*N8*PJ_DY/12</f>
        <v/>
      </c>
      <c r="O9" s="151">
        <f>O8*(1+PJ_G_OTIM)^(1/12)+PJ_APORTE+PJ_REINV*O8*PJ_DY/12</f>
        <v/>
      </c>
      <c r="P9" s="151">
        <f>P8*(1+PJ_CDI)^(1/12)+PJ_APORTE</f>
        <v/>
      </c>
      <c r="Q9" s="151">
        <f>N9*PJ_DY/12</f>
        <v/>
      </c>
      <c r="R9" s="151">
        <f>R8+PJ_APORTE</f>
        <v/>
      </c>
    </row>
    <row r="10">
      <c r="A10" s="137" t="inlineStr">
        <is>
          <t>Valorização anual — base</t>
        </is>
      </c>
      <c r="B10" s="152" t="n">
        <v>0.01285488976301302</v>
      </c>
      <c r="C10" s="138" t="inlineStr">
        <is>
          <t>Tendência 3a × R² (limitada a −10%…+20%)</t>
        </is>
      </c>
      <c r="K10" s="149" t="n">
        <v>4</v>
      </c>
      <c r="L10" s="150">
        <f>EDATE(TODAY(),K10)</f>
        <v/>
      </c>
      <c r="M10" s="151">
        <f>M9*(1+PJ_G_PESS)^(1/12)+PJ_APORTE+PJ_REINV*M9*PJ_DY/12</f>
        <v/>
      </c>
      <c r="N10" s="151">
        <f>N9*(1+PJ_G_BASE)^(1/12)+PJ_APORTE+PJ_REINV*N9*PJ_DY/12</f>
        <v/>
      </c>
      <c r="O10" s="151">
        <f>O9*(1+PJ_G_OTIM)^(1/12)+PJ_APORTE+PJ_REINV*O9*PJ_DY/12</f>
        <v/>
      </c>
      <c r="P10" s="151">
        <f>P9*(1+PJ_CDI)^(1/12)+PJ_APORTE</f>
        <v/>
      </c>
      <c r="Q10" s="151">
        <f>N10*PJ_DY/12</f>
        <v/>
      </c>
      <c r="R10" s="151">
        <f>R9+PJ_APORTE</f>
        <v/>
      </c>
    </row>
    <row r="11">
      <c r="A11" s="137" t="inlineStr">
        <is>
          <t>Valorização anual — otimista</t>
        </is>
      </c>
      <c r="B11" s="152" t="n">
        <v>0.04923635037442588</v>
      </c>
      <c r="C11" s="138" t="inlineStr">
        <is>
          <t>Base + 1 desvio-padrão no horizonte</t>
        </is>
      </c>
      <c r="K11" s="149" t="n">
        <v>5</v>
      </c>
      <c r="L11" s="150">
        <f>EDATE(TODAY(),K11)</f>
        <v/>
      </c>
      <c r="M11" s="151">
        <f>M10*(1+PJ_G_PESS)^(1/12)+PJ_APORTE+PJ_REINV*M10*PJ_DY/12</f>
        <v/>
      </c>
      <c r="N11" s="151">
        <f>N10*(1+PJ_G_BASE)^(1/12)+PJ_APORTE+PJ_REINV*N10*PJ_DY/12</f>
        <v/>
      </c>
      <c r="O11" s="151">
        <f>O10*(1+PJ_G_OTIM)^(1/12)+PJ_APORTE+PJ_REINV*O10*PJ_DY/12</f>
        <v/>
      </c>
      <c r="P11" s="151">
        <f>P10*(1+PJ_CDI)^(1/12)+PJ_APORTE</f>
        <v/>
      </c>
      <c r="Q11" s="151">
        <f>N11*PJ_DY/12</f>
        <v/>
      </c>
      <c r="R11" s="151">
        <f>R10+PJ_APORTE</f>
        <v/>
      </c>
    </row>
    <row r="12">
      <c r="A12" s="137" t="inlineStr">
        <is>
          <t>CDI anual (comparação)</t>
        </is>
      </c>
      <c r="B12" s="152" t="n">
        <v>0.14</v>
      </c>
      <c r="C12" s="138" t="inlineStr">
        <is>
          <t>config.json → analise.cdi_anual</t>
        </is>
      </c>
      <c r="K12" s="149" t="n">
        <v>6</v>
      </c>
      <c r="L12" s="150">
        <f>EDATE(TODAY(),K12)</f>
        <v/>
      </c>
      <c r="M12" s="151">
        <f>M11*(1+PJ_G_PESS)^(1/12)+PJ_APORTE+PJ_REINV*M11*PJ_DY/12</f>
        <v/>
      </c>
      <c r="N12" s="151">
        <f>N11*(1+PJ_G_BASE)^(1/12)+PJ_APORTE+PJ_REINV*N11*PJ_DY/12</f>
        <v/>
      </c>
      <c r="O12" s="151">
        <f>O11*(1+PJ_G_OTIM)^(1/12)+PJ_APORTE+PJ_REINV*O11*PJ_DY/12</f>
        <v/>
      </c>
      <c r="P12" s="151">
        <f>P11*(1+PJ_CDI)^(1/12)+PJ_APORTE</f>
        <v/>
      </c>
      <c r="Q12" s="151">
        <f>N12*PJ_DY/12</f>
        <v/>
      </c>
      <c r="R12" s="151">
        <f>R11+PJ_APORTE</f>
        <v/>
      </c>
    </row>
    <row r="13">
      <c r="A13" s="137" t="inlineStr">
        <is>
          <t>Meta de renda mensal total</t>
        </is>
      </c>
      <c r="B13" s="147">
        <f>META_MENSAL*COUNTIF(Carteira!A5:A35,"?*")</f>
        <v/>
      </c>
      <c r="C13" s="138" t="inlineStr">
        <is>
          <t>Meta por ativo × nº de ativos</t>
        </is>
      </c>
      <c r="K13" s="149" t="n">
        <v>7</v>
      </c>
      <c r="L13" s="150">
        <f>EDATE(TODAY(),K13)</f>
        <v/>
      </c>
      <c r="M13" s="151">
        <f>M12*(1+PJ_G_PESS)^(1/12)+PJ_APORTE+PJ_REINV*M12*PJ_DY/12</f>
        <v/>
      </c>
      <c r="N13" s="151">
        <f>N12*(1+PJ_G_BASE)^(1/12)+PJ_APORTE+PJ_REINV*N12*PJ_DY/12</f>
        <v/>
      </c>
      <c r="O13" s="151">
        <f>O12*(1+PJ_G_OTIM)^(1/12)+PJ_APORTE+PJ_REINV*O12*PJ_DY/12</f>
        <v/>
      </c>
      <c r="P13" s="151">
        <f>P12*(1+PJ_CDI)^(1/12)+PJ_APORTE</f>
        <v/>
      </c>
      <c r="Q13" s="151">
        <f>N13*PJ_DY/12</f>
        <v/>
      </c>
      <c r="R13" s="151">
        <f>R12+PJ_APORTE</f>
        <v/>
      </c>
    </row>
    <row r="14">
      <c r="K14" s="149" t="n">
        <v>8</v>
      </c>
      <c r="L14" s="150">
        <f>EDATE(TODAY(),K14)</f>
        <v/>
      </c>
      <c r="M14" s="151">
        <f>M13*(1+PJ_G_PESS)^(1/12)+PJ_APORTE+PJ_REINV*M13*PJ_DY/12</f>
        <v/>
      </c>
      <c r="N14" s="151">
        <f>N13*(1+PJ_G_BASE)^(1/12)+PJ_APORTE+PJ_REINV*N13*PJ_DY/12</f>
        <v/>
      </c>
      <c r="O14" s="151">
        <f>O13*(1+PJ_G_OTIM)^(1/12)+PJ_APORTE+PJ_REINV*O13*PJ_DY/12</f>
        <v/>
      </c>
      <c r="P14" s="151">
        <f>P13*(1+PJ_CDI)^(1/12)+PJ_APORTE</f>
        <v/>
      </c>
      <c r="Q14" s="151">
        <f>N14*PJ_DY/12</f>
        <v/>
      </c>
      <c r="R14" s="151">
        <f>R13+PJ_APORTE</f>
        <v/>
      </c>
    </row>
    <row r="15">
      <c r="K15" s="149" t="n">
        <v>9</v>
      </c>
      <c r="L15" s="150">
        <f>EDATE(TODAY(),K15)</f>
        <v/>
      </c>
      <c r="M15" s="151">
        <f>M14*(1+PJ_G_PESS)^(1/12)+PJ_APORTE+PJ_REINV*M14*PJ_DY/12</f>
        <v/>
      </c>
      <c r="N15" s="151">
        <f>N14*(1+PJ_G_BASE)^(1/12)+PJ_APORTE+PJ_REINV*N14*PJ_DY/12</f>
        <v/>
      </c>
      <c r="O15" s="151">
        <f>O14*(1+PJ_G_OTIM)^(1/12)+PJ_APORTE+PJ_REINV*O14*PJ_DY/12</f>
        <v/>
      </c>
      <c r="P15" s="151">
        <f>P14*(1+PJ_CDI)^(1/12)+PJ_APORTE</f>
        <v/>
      </c>
      <c r="Q15" s="151">
        <f>N15*PJ_DY/12</f>
        <v/>
      </c>
      <c r="R15" s="151">
        <f>R14+PJ_APORTE</f>
        <v/>
      </c>
    </row>
    <row r="16" ht="32" customHeight="1">
      <c r="A16" s="94" t="inlineStr">
        <is>
          <t>Ano</t>
        </is>
      </c>
      <c r="B16" s="94" t="inlineStr">
        <is>
          <t>Pessimista (R$)</t>
        </is>
      </c>
      <c r="C16" s="94" t="inlineStr">
        <is>
          <t>Base (R$)</t>
        </is>
      </c>
      <c r="D16" s="94" t="inlineStr">
        <is>
          <t>Otimista (R$)</t>
        </is>
      </c>
      <c r="E16" s="94" t="inlineStr">
        <is>
          <t>CDI (R$)</t>
        </is>
      </c>
      <c r="F16" s="94" t="inlineStr">
        <is>
          <t>Renda mensal base (R$)</t>
        </is>
      </c>
      <c r="G16" s="94" t="inlineStr">
        <is>
          <t>Total aportado (R$)</t>
        </is>
      </c>
      <c r="H16" s="94" t="inlineStr">
        <is>
          <t>Base − CDI (R$)</t>
        </is>
      </c>
      <c r="I16" s="94" t="inlineStr">
        <is>
          <t>% da meta de renda</t>
        </is>
      </c>
      <c r="K16" s="149" t="n">
        <v>10</v>
      </c>
      <c r="L16" s="150">
        <f>EDATE(TODAY(),K16)</f>
        <v/>
      </c>
      <c r="M16" s="151">
        <f>M15*(1+PJ_G_PESS)^(1/12)+PJ_APORTE+PJ_REINV*M15*PJ_DY/12</f>
        <v/>
      </c>
      <c r="N16" s="151">
        <f>N15*(1+PJ_G_BASE)^(1/12)+PJ_APORTE+PJ_REINV*N15*PJ_DY/12</f>
        <v/>
      </c>
      <c r="O16" s="151">
        <f>O15*(1+PJ_G_OTIM)^(1/12)+PJ_APORTE+PJ_REINV*O15*PJ_DY/12</f>
        <v/>
      </c>
      <c r="P16" s="151">
        <f>P15*(1+PJ_CDI)^(1/12)+PJ_APORTE</f>
        <v/>
      </c>
      <c r="Q16" s="151">
        <f>N16*PJ_DY/12</f>
        <v/>
      </c>
      <c r="R16" s="151">
        <f>R15+PJ_APORTE</f>
        <v/>
      </c>
    </row>
    <row r="17">
      <c r="A17" s="154" t="n">
        <v>1</v>
      </c>
      <c r="B17" s="112">
        <f>M18</f>
        <v/>
      </c>
      <c r="C17" s="112">
        <f>N18</f>
        <v/>
      </c>
      <c r="D17" s="112">
        <f>O18</f>
        <v/>
      </c>
      <c r="E17" s="112">
        <f>P18</f>
        <v/>
      </c>
      <c r="F17" s="112">
        <f>Q18</f>
        <v/>
      </c>
      <c r="G17" s="112">
        <f>R18</f>
        <v/>
      </c>
      <c r="H17" s="112">
        <f>C17-E17</f>
        <v/>
      </c>
      <c r="I17" s="109">
        <f>IF(PJ_META&gt;0,F17/PJ_META,0)</f>
        <v/>
      </c>
      <c r="K17" s="149" t="n">
        <v>11</v>
      </c>
      <c r="L17" s="150">
        <f>EDATE(TODAY(),K17)</f>
        <v/>
      </c>
      <c r="M17" s="151">
        <f>M16*(1+PJ_G_PESS)^(1/12)+PJ_APORTE+PJ_REINV*M16*PJ_DY/12</f>
        <v/>
      </c>
      <c r="N17" s="151">
        <f>N16*(1+PJ_G_BASE)^(1/12)+PJ_APORTE+PJ_REINV*N16*PJ_DY/12</f>
        <v/>
      </c>
      <c r="O17" s="151">
        <f>O16*(1+PJ_G_OTIM)^(1/12)+PJ_APORTE+PJ_REINV*O16*PJ_DY/12</f>
        <v/>
      </c>
      <c r="P17" s="151">
        <f>P16*(1+PJ_CDI)^(1/12)+PJ_APORTE</f>
        <v/>
      </c>
      <c r="Q17" s="151">
        <f>N17*PJ_DY/12</f>
        <v/>
      </c>
      <c r="R17" s="151">
        <f>R16+PJ_APORTE</f>
        <v/>
      </c>
    </row>
    <row r="18">
      <c r="A18" s="155" t="n">
        <v>2</v>
      </c>
      <c r="B18" s="102">
        <f>M30</f>
        <v/>
      </c>
      <c r="C18" s="102">
        <f>N30</f>
        <v/>
      </c>
      <c r="D18" s="102">
        <f>O30</f>
        <v/>
      </c>
      <c r="E18" s="102">
        <f>P30</f>
        <v/>
      </c>
      <c r="F18" s="102">
        <f>Q30</f>
        <v/>
      </c>
      <c r="G18" s="102">
        <f>R30</f>
        <v/>
      </c>
      <c r="H18" s="102">
        <f>C18-E18</f>
        <v/>
      </c>
      <c r="I18" s="99">
        <f>IF(PJ_META&gt;0,F18/PJ_META,0)</f>
        <v/>
      </c>
      <c r="K18" s="149" t="n">
        <v>12</v>
      </c>
      <c r="L18" s="150">
        <f>EDATE(TODAY(),K18)</f>
        <v/>
      </c>
      <c r="M18" s="151">
        <f>M17*(1+PJ_G_PESS)^(1/12)+PJ_APORTE+PJ_REINV*M17*PJ_DY/12</f>
        <v/>
      </c>
      <c r="N18" s="151">
        <f>N17*(1+PJ_G_BASE)^(1/12)+PJ_APORTE+PJ_REINV*N17*PJ_DY/12</f>
        <v/>
      </c>
      <c r="O18" s="151">
        <f>O17*(1+PJ_G_OTIM)^(1/12)+PJ_APORTE+PJ_REINV*O17*PJ_DY/12</f>
        <v/>
      </c>
      <c r="P18" s="151">
        <f>P17*(1+PJ_CDI)^(1/12)+PJ_APORTE</f>
        <v/>
      </c>
      <c r="Q18" s="151">
        <f>N18*PJ_DY/12</f>
        <v/>
      </c>
      <c r="R18" s="151">
        <f>R17+PJ_APORTE</f>
        <v/>
      </c>
    </row>
    <row r="19">
      <c r="A19" s="154" t="n">
        <v>3</v>
      </c>
      <c r="B19" s="112">
        <f>M42</f>
        <v/>
      </c>
      <c r="C19" s="112">
        <f>N42</f>
        <v/>
      </c>
      <c r="D19" s="112">
        <f>O42</f>
        <v/>
      </c>
      <c r="E19" s="112">
        <f>P42</f>
        <v/>
      </c>
      <c r="F19" s="112">
        <f>Q42</f>
        <v/>
      </c>
      <c r="G19" s="112">
        <f>R42</f>
        <v/>
      </c>
      <c r="H19" s="112">
        <f>C19-E19</f>
        <v/>
      </c>
      <c r="I19" s="109">
        <f>IF(PJ_META&gt;0,F19/PJ_META,0)</f>
        <v/>
      </c>
      <c r="K19" s="149" t="n">
        <v>13</v>
      </c>
      <c r="L19" s="150">
        <f>EDATE(TODAY(),K19)</f>
        <v/>
      </c>
      <c r="M19" s="151">
        <f>M18*(1+PJ_G_PESS)^(1/12)+PJ_APORTE+PJ_REINV*M18*PJ_DY/12</f>
        <v/>
      </c>
      <c r="N19" s="151">
        <f>N18*(1+PJ_G_BASE)^(1/12)+PJ_APORTE+PJ_REINV*N18*PJ_DY/12</f>
        <v/>
      </c>
      <c r="O19" s="151">
        <f>O18*(1+PJ_G_OTIM)^(1/12)+PJ_APORTE+PJ_REINV*O18*PJ_DY/12</f>
        <v/>
      </c>
      <c r="P19" s="151">
        <f>P18*(1+PJ_CDI)^(1/12)+PJ_APORTE</f>
        <v/>
      </c>
      <c r="Q19" s="151">
        <f>N19*PJ_DY/12</f>
        <v/>
      </c>
      <c r="R19" s="151">
        <f>R18+PJ_APORTE</f>
        <v/>
      </c>
    </row>
    <row r="20">
      <c r="A20" s="155" t="n">
        <v>4</v>
      </c>
      <c r="B20" s="102">
        <f>M54</f>
        <v/>
      </c>
      <c r="C20" s="102">
        <f>N54</f>
        <v/>
      </c>
      <c r="D20" s="102">
        <f>O54</f>
        <v/>
      </c>
      <c r="E20" s="102">
        <f>P54</f>
        <v/>
      </c>
      <c r="F20" s="102">
        <f>Q54</f>
        <v/>
      </c>
      <c r="G20" s="102">
        <f>R54</f>
        <v/>
      </c>
      <c r="H20" s="102">
        <f>C20-E20</f>
        <v/>
      </c>
      <c r="I20" s="99">
        <f>IF(PJ_META&gt;0,F20/PJ_META,0)</f>
        <v/>
      </c>
      <c r="K20" s="149" t="n">
        <v>14</v>
      </c>
      <c r="L20" s="150">
        <f>EDATE(TODAY(),K20)</f>
        <v/>
      </c>
      <c r="M20" s="151">
        <f>M19*(1+PJ_G_PESS)^(1/12)+PJ_APORTE+PJ_REINV*M19*PJ_DY/12</f>
        <v/>
      </c>
      <c r="N20" s="151">
        <f>N19*(1+PJ_G_BASE)^(1/12)+PJ_APORTE+PJ_REINV*N19*PJ_DY/12</f>
        <v/>
      </c>
      <c r="O20" s="151">
        <f>O19*(1+PJ_G_OTIM)^(1/12)+PJ_APORTE+PJ_REINV*O19*PJ_DY/12</f>
        <v/>
      </c>
      <c r="P20" s="151">
        <f>P19*(1+PJ_CDI)^(1/12)+PJ_APORTE</f>
        <v/>
      </c>
      <c r="Q20" s="151">
        <f>N20*PJ_DY/12</f>
        <v/>
      </c>
      <c r="R20" s="151">
        <f>R19+PJ_APORTE</f>
        <v/>
      </c>
    </row>
    <row r="21">
      <c r="A21" s="154" t="n">
        <v>5</v>
      </c>
      <c r="B21" s="112">
        <f>M66</f>
        <v/>
      </c>
      <c r="C21" s="112">
        <f>N66</f>
        <v/>
      </c>
      <c r="D21" s="112">
        <f>O66</f>
        <v/>
      </c>
      <c r="E21" s="112">
        <f>P66</f>
        <v/>
      </c>
      <c r="F21" s="112">
        <f>Q66</f>
        <v/>
      </c>
      <c r="G21" s="112">
        <f>R66</f>
        <v/>
      </c>
      <c r="H21" s="112">
        <f>C21-E21</f>
        <v/>
      </c>
      <c r="I21" s="109">
        <f>IF(PJ_META&gt;0,F21/PJ_META,0)</f>
        <v/>
      </c>
      <c r="K21" s="149" t="n">
        <v>15</v>
      </c>
      <c r="L21" s="150">
        <f>EDATE(TODAY(),K21)</f>
        <v/>
      </c>
      <c r="M21" s="151">
        <f>M20*(1+PJ_G_PESS)^(1/12)+PJ_APORTE+PJ_REINV*M20*PJ_DY/12</f>
        <v/>
      </c>
      <c r="N21" s="151">
        <f>N20*(1+PJ_G_BASE)^(1/12)+PJ_APORTE+PJ_REINV*N20*PJ_DY/12</f>
        <v/>
      </c>
      <c r="O21" s="151">
        <f>O20*(1+PJ_G_OTIM)^(1/12)+PJ_APORTE+PJ_REINV*O20*PJ_DY/12</f>
        <v/>
      </c>
      <c r="P21" s="151">
        <f>P20*(1+PJ_CDI)^(1/12)+PJ_APORTE</f>
        <v/>
      </c>
      <c r="Q21" s="151">
        <f>N21*PJ_DY/12</f>
        <v/>
      </c>
      <c r="R21" s="151">
        <f>R20+PJ_APORTE</f>
        <v/>
      </c>
    </row>
    <row r="22">
      <c r="A22" s="155" t="n">
        <v>6</v>
      </c>
      <c r="B22" s="102">
        <f>M78</f>
        <v/>
      </c>
      <c r="C22" s="102">
        <f>N78</f>
        <v/>
      </c>
      <c r="D22" s="102">
        <f>O78</f>
        <v/>
      </c>
      <c r="E22" s="102">
        <f>P78</f>
        <v/>
      </c>
      <c r="F22" s="102">
        <f>Q78</f>
        <v/>
      </c>
      <c r="G22" s="102">
        <f>R78</f>
        <v/>
      </c>
      <c r="H22" s="102">
        <f>C22-E22</f>
        <v/>
      </c>
      <c r="I22" s="99">
        <f>IF(PJ_META&gt;0,F22/PJ_META,0)</f>
        <v/>
      </c>
      <c r="K22" s="149" t="n">
        <v>16</v>
      </c>
      <c r="L22" s="150">
        <f>EDATE(TODAY(),K22)</f>
        <v/>
      </c>
      <c r="M22" s="151">
        <f>M21*(1+PJ_G_PESS)^(1/12)+PJ_APORTE+PJ_REINV*M21*PJ_DY/12</f>
        <v/>
      </c>
      <c r="N22" s="151">
        <f>N21*(1+PJ_G_BASE)^(1/12)+PJ_APORTE+PJ_REINV*N21*PJ_DY/12</f>
        <v/>
      </c>
      <c r="O22" s="151">
        <f>O21*(1+PJ_G_OTIM)^(1/12)+PJ_APORTE+PJ_REINV*O21*PJ_DY/12</f>
        <v/>
      </c>
      <c r="P22" s="151">
        <f>P21*(1+PJ_CDI)^(1/12)+PJ_APORTE</f>
        <v/>
      </c>
      <c r="Q22" s="151">
        <f>N22*PJ_DY/12</f>
        <v/>
      </c>
      <c r="R22" s="151">
        <f>R21+PJ_APORTE</f>
        <v/>
      </c>
    </row>
    <row r="23">
      <c r="A23" s="154" t="n">
        <v>7</v>
      </c>
      <c r="B23" s="112">
        <f>M90</f>
        <v/>
      </c>
      <c r="C23" s="112">
        <f>N90</f>
        <v/>
      </c>
      <c r="D23" s="112">
        <f>O90</f>
        <v/>
      </c>
      <c r="E23" s="112">
        <f>P90</f>
        <v/>
      </c>
      <c r="F23" s="112">
        <f>Q90</f>
        <v/>
      </c>
      <c r="G23" s="112">
        <f>R90</f>
        <v/>
      </c>
      <c r="H23" s="112">
        <f>C23-E23</f>
        <v/>
      </c>
      <c r="I23" s="109">
        <f>IF(PJ_META&gt;0,F23/PJ_META,0)</f>
        <v/>
      </c>
      <c r="K23" s="149" t="n">
        <v>17</v>
      </c>
      <c r="L23" s="150">
        <f>EDATE(TODAY(),K23)</f>
        <v/>
      </c>
      <c r="M23" s="151">
        <f>M22*(1+PJ_G_PESS)^(1/12)+PJ_APORTE+PJ_REINV*M22*PJ_DY/12</f>
        <v/>
      </c>
      <c r="N23" s="151">
        <f>N22*(1+PJ_G_BASE)^(1/12)+PJ_APORTE+PJ_REINV*N22*PJ_DY/12</f>
        <v/>
      </c>
      <c r="O23" s="151">
        <f>O22*(1+PJ_G_OTIM)^(1/12)+PJ_APORTE+PJ_REINV*O22*PJ_DY/12</f>
        <v/>
      </c>
      <c r="P23" s="151">
        <f>P22*(1+PJ_CDI)^(1/12)+PJ_APORTE</f>
        <v/>
      </c>
      <c r="Q23" s="151">
        <f>N23*PJ_DY/12</f>
        <v/>
      </c>
      <c r="R23" s="151">
        <f>R22+PJ_APORTE</f>
        <v/>
      </c>
    </row>
    <row r="24">
      <c r="A24" s="155" t="n">
        <v>8</v>
      </c>
      <c r="B24" s="102">
        <f>M102</f>
        <v/>
      </c>
      <c r="C24" s="102">
        <f>N102</f>
        <v/>
      </c>
      <c r="D24" s="102">
        <f>O102</f>
        <v/>
      </c>
      <c r="E24" s="102">
        <f>P102</f>
        <v/>
      </c>
      <c r="F24" s="102">
        <f>Q102</f>
        <v/>
      </c>
      <c r="G24" s="102">
        <f>R102</f>
        <v/>
      </c>
      <c r="H24" s="102">
        <f>C24-E24</f>
        <v/>
      </c>
      <c r="I24" s="99">
        <f>IF(PJ_META&gt;0,F24/PJ_META,0)</f>
        <v/>
      </c>
      <c r="K24" s="149" t="n">
        <v>18</v>
      </c>
      <c r="L24" s="150">
        <f>EDATE(TODAY(),K24)</f>
        <v/>
      </c>
      <c r="M24" s="151">
        <f>M23*(1+PJ_G_PESS)^(1/12)+PJ_APORTE+PJ_REINV*M23*PJ_DY/12</f>
        <v/>
      </c>
      <c r="N24" s="151">
        <f>N23*(1+PJ_G_BASE)^(1/12)+PJ_APORTE+PJ_REINV*N23*PJ_DY/12</f>
        <v/>
      </c>
      <c r="O24" s="151">
        <f>O23*(1+PJ_G_OTIM)^(1/12)+PJ_APORTE+PJ_REINV*O23*PJ_DY/12</f>
        <v/>
      </c>
      <c r="P24" s="151">
        <f>P23*(1+PJ_CDI)^(1/12)+PJ_APORTE</f>
        <v/>
      </c>
      <c r="Q24" s="151">
        <f>N24*PJ_DY/12</f>
        <v/>
      </c>
      <c r="R24" s="151">
        <f>R23+PJ_APORTE</f>
        <v/>
      </c>
    </row>
    <row r="25">
      <c r="A25" s="154" t="n">
        <v>9</v>
      </c>
      <c r="B25" s="112">
        <f>M114</f>
        <v/>
      </c>
      <c r="C25" s="112">
        <f>N114</f>
        <v/>
      </c>
      <c r="D25" s="112">
        <f>O114</f>
        <v/>
      </c>
      <c r="E25" s="112">
        <f>P114</f>
        <v/>
      </c>
      <c r="F25" s="112">
        <f>Q114</f>
        <v/>
      </c>
      <c r="G25" s="112">
        <f>R114</f>
        <v/>
      </c>
      <c r="H25" s="112">
        <f>C25-E25</f>
        <v/>
      </c>
      <c r="I25" s="109">
        <f>IF(PJ_META&gt;0,F25/PJ_META,0)</f>
        <v/>
      </c>
      <c r="K25" s="149" t="n">
        <v>19</v>
      </c>
      <c r="L25" s="150">
        <f>EDATE(TODAY(),K25)</f>
        <v/>
      </c>
      <c r="M25" s="151">
        <f>M24*(1+PJ_G_PESS)^(1/12)+PJ_APORTE+PJ_REINV*M24*PJ_DY/12</f>
        <v/>
      </c>
      <c r="N25" s="151">
        <f>N24*(1+PJ_G_BASE)^(1/12)+PJ_APORTE+PJ_REINV*N24*PJ_DY/12</f>
        <v/>
      </c>
      <c r="O25" s="151">
        <f>O24*(1+PJ_G_OTIM)^(1/12)+PJ_APORTE+PJ_REINV*O24*PJ_DY/12</f>
        <v/>
      </c>
      <c r="P25" s="151">
        <f>P24*(1+PJ_CDI)^(1/12)+PJ_APORTE</f>
        <v/>
      </c>
      <c r="Q25" s="151">
        <f>N25*PJ_DY/12</f>
        <v/>
      </c>
      <c r="R25" s="151">
        <f>R24+PJ_APORTE</f>
        <v/>
      </c>
    </row>
    <row r="26">
      <c r="A26" s="155" t="n">
        <v>10</v>
      </c>
      <c r="B26" s="102">
        <f>M126</f>
        <v/>
      </c>
      <c r="C26" s="102">
        <f>N126</f>
        <v/>
      </c>
      <c r="D26" s="102">
        <f>O126</f>
        <v/>
      </c>
      <c r="E26" s="102">
        <f>P126</f>
        <v/>
      </c>
      <c r="F26" s="102">
        <f>Q126</f>
        <v/>
      </c>
      <c r="G26" s="102">
        <f>R126</f>
        <v/>
      </c>
      <c r="H26" s="102">
        <f>C26-E26</f>
        <v/>
      </c>
      <c r="I26" s="99">
        <f>IF(PJ_META&gt;0,F26/PJ_META,0)</f>
        <v/>
      </c>
      <c r="K26" s="149" t="n">
        <v>20</v>
      </c>
      <c r="L26" s="150">
        <f>EDATE(TODAY(),K26)</f>
        <v/>
      </c>
      <c r="M26" s="151">
        <f>M25*(1+PJ_G_PESS)^(1/12)+PJ_APORTE+PJ_REINV*M25*PJ_DY/12</f>
        <v/>
      </c>
      <c r="N26" s="151">
        <f>N25*(1+PJ_G_BASE)^(1/12)+PJ_APORTE+PJ_REINV*N25*PJ_DY/12</f>
        <v/>
      </c>
      <c r="O26" s="151">
        <f>O25*(1+PJ_G_OTIM)^(1/12)+PJ_APORTE+PJ_REINV*O25*PJ_DY/12</f>
        <v/>
      </c>
      <c r="P26" s="151">
        <f>P25*(1+PJ_CDI)^(1/12)+PJ_APORTE</f>
        <v/>
      </c>
      <c r="Q26" s="151">
        <f>N26*PJ_DY/12</f>
        <v/>
      </c>
      <c r="R26" s="151">
        <f>R25+PJ_APORTE</f>
        <v/>
      </c>
    </row>
    <row r="27">
      <c r="K27" s="149" t="n">
        <v>21</v>
      </c>
      <c r="L27" s="150">
        <f>EDATE(TODAY(),K27)</f>
        <v/>
      </c>
      <c r="M27" s="151">
        <f>M26*(1+PJ_G_PESS)^(1/12)+PJ_APORTE+PJ_REINV*M26*PJ_DY/12</f>
        <v/>
      </c>
      <c r="N27" s="151">
        <f>N26*(1+PJ_G_BASE)^(1/12)+PJ_APORTE+PJ_REINV*N26*PJ_DY/12</f>
        <v/>
      </c>
      <c r="O27" s="151">
        <f>O26*(1+PJ_G_OTIM)^(1/12)+PJ_APORTE+PJ_REINV*O26*PJ_DY/12</f>
        <v/>
      </c>
      <c r="P27" s="151">
        <f>P26*(1+PJ_CDI)^(1/12)+PJ_APORTE</f>
        <v/>
      </c>
      <c r="Q27" s="151">
        <f>N27*PJ_DY/12</f>
        <v/>
      </c>
      <c r="R27" s="151">
        <f>R26+PJ_APORTE</f>
        <v/>
      </c>
    </row>
    <row r="28">
      <c r="A28" s="137" t="inlineStr">
        <is>
          <t>Meses até a meta de renda (base)</t>
        </is>
      </c>
      <c r="B28" s="156">
        <f>IF(PJ_META&lt;=0,"-",IF(COUNTIF(Q6:Q126,"&lt;"&amp;PJ_META)&gt;120,"além de 10 anos",COUNTIF(Q6:Q126,"&lt;"&amp;PJ_META)))</f>
        <v/>
      </c>
      <c r="K28" s="149" t="n">
        <v>22</v>
      </c>
      <c r="L28" s="150">
        <f>EDATE(TODAY(),K28)</f>
        <v/>
      </c>
      <c r="M28" s="151">
        <f>M27*(1+PJ_G_PESS)^(1/12)+PJ_APORTE+PJ_REINV*M27*PJ_DY/12</f>
        <v/>
      </c>
      <c r="N28" s="151">
        <f>N27*(1+PJ_G_BASE)^(1/12)+PJ_APORTE+PJ_REINV*N27*PJ_DY/12</f>
        <v/>
      </c>
      <c r="O28" s="151">
        <f>O27*(1+PJ_G_OTIM)^(1/12)+PJ_APORTE+PJ_REINV*O27*PJ_DY/12</f>
        <v/>
      </c>
      <c r="P28" s="151">
        <f>P27*(1+PJ_CDI)^(1/12)+PJ_APORTE</f>
        <v/>
      </c>
      <c r="Q28" s="151">
        <f>N28*PJ_DY/12</f>
        <v/>
      </c>
      <c r="R28" s="151">
        <f>R27+PJ_APORTE</f>
        <v/>
      </c>
    </row>
    <row r="29">
      <c r="A29" s="137" t="inlineStr">
        <is>
          <t>Renda mensal base no fim do horizonte</t>
        </is>
      </c>
      <c r="B29" s="129">
        <f>Q126</f>
        <v/>
      </c>
      <c r="K29" s="149" t="n">
        <v>23</v>
      </c>
      <c r="L29" s="150">
        <f>EDATE(TODAY(),K29)</f>
        <v/>
      </c>
      <c r="M29" s="151">
        <f>M28*(1+PJ_G_PESS)^(1/12)+PJ_APORTE+PJ_REINV*M28*PJ_DY/12</f>
        <v/>
      </c>
      <c r="N29" s="151">
        <f>N28*(1+PJ_G_BASE)^(1/12)+PJ_APORTE+PJ_REINV*N28*PJ_DY/12</f>
        <v/>
      </c>
      <c r="O29" s="151">
        <f>O28*(1+PJ_G_OTIM)^(1/12)+PJ_APORTE+PJ_REINV*O28*PJ_DY/12</f>
        <v/>
      </c>
      <c r="P29" s="151">
        <f>P28*(1+PJ_CDI)^(1/12)+PJ_APORTE</f>
        <v/>
      </c>
      <c r="Q29" s="151">
        <f>N29*PJ_DY/12</f>
        <v/>
      </c>
      <c r="R29" s="151">
        <f>R28+PJ_APORTE</f>
        <v/>
      </c>
    </row>
    <row r="30">
      <c r="K30" s="149" t="n">
        <v>24</v>
      </c>
      <c r="L30" s="150">
        <f>EDATE(TODAY(),K30)</f>
        <v/>
      </c>
      <c r="M30" s="151">
        <f>M29*(1+PJ_G_PESS)^(1/12)+PJ_APORTE+PJ_REINV*M29*PJ_DY/12</f>
        <v/>
      </c>
      <c r="N30" s="151">
        <f>N29*(1+PJ_G_BASE)^(1/12)+PJ_APORTE+PJ_REINV*N29*PJ_DY/12</f>
        <v/>
      </c>
      <c r="O30" s="151">
        <f>O29*(1+PJ_G_OTIM)^(1/12)+PJ_APORTE+PJ_REINV*O29*PJ_DY/12</f>
        <v/>
      </c>
      <c r="P30" s="151">
        <f>P29*(1+PJ_CDI)^(1/12)+PJ_APORTE</f>
        <v/>
      </c>
      <c r="Q30" s="151">
        <f>N30*PJ_DY/12</f>
        <v/>
      </c>
      <c r="R30" s="151">
        <f>R29+PJ_APORTE</f>
        <v/>
      </c>
    </row>
    <row r="31">
      <c r="K31" s="149" t="n">
        <v>25</v>
      </c>
      <c r="L31" s="150">
        <f>EDATE(TODAY(),K31)</f>
        <v/>
      </c>
      <c r="M31" s="151">
        <f>M30*(1+PJ_G_PESS)^(1/12)+PJ_APORTE+PJ_REINV*M30*PJ_DY/12</f>
        <v/>
      </c>
      <c r="N31" s="151">
        <f>N30*(1+PJ_G_BASE)^(1/12)+PJ_APORTE+PJ_REINV*N30*PJ_DY/12</f>
        <v/>
      </c>
      <c r="O31" s="151">
        <f>O30*(1+PJ_G_OTIM)^(1/12)+PJ_APORTE+PJ_REINV*O30*PJ_DY/12</f>
        <v/>
      </c>
      <c r="P31" s="151">
        <f>P30*(1+PJ_CDI)^(1/12)+PJ_APORTE</f>
        <v/>
      </c>
      <c r="Q31" s="151">
        <f>N31*PJ_DY/12</f>
        <v/>
      </c>
      <c r="R31" s="151">
        <f>R30+PJ_APORTE</f>
        <v/>
      </c>
    </row>
    <row r="32">
      <c r="K32" s="149" t="n">
        <v>26</v>
      </c>
      <c r="L32" s="150">
        <f>EDATE(TODAY(),K32)</f>
        <v/>
      </c>
      <c r="M32" s="151">
        <f>M31*(1+PJ_G_PESS)^(1/12)+PJ_APORTE+PJ_REINV*M31*PJ_DY/12</f>
        <v/>
      </c>
      <c r="N32" s="151">
        <f>N31*(1+PJ_G_BASE)^(1/12)+PJ_APORTE+PJ_REINV*N31*PJ_DY/12</f>
        <v/>
      </c>
      <c r="O32" s="151">
        <f>O31*(1+PJ_G_OTIM)^(1/12)+PJ_APORTE+PJ_REINV*O31*PJ_DY/12</f>
        <v/>
      </c>
      <c r="P32" s="151">
        <f>P31*(1+PJ_CDI)^(1/12)+PJ_APORTE</f>
        <v/>
      </c>
      <c r="Q32" s="151">
        <f>N32*PJ_DY/12</f>
        <v/>
      </c>
      <c r="R32" s="151">
        <f>R31+PJ_APORTE</f>
        <v/>
      </c>
    </row>
    <row r="33">
      <c r="K33" s="149" t="n">
        <v>27</v>
      </c>
      <c r="L33" s="150">
        <f>EDATE(TODAY(),K33)</f>
        <v/>
      </c>
      <c r="M33" s="151">
        <f>M32*(1+PJ_G_PESS)^(1/12)+PJ_APORTE+PJ_REINV*M32*PJ_DY/12</f>
        <v/>
      </c>
      <c r="N33" s="151">
        <f>N32*(1+PJ_G_BASE)^(1/12)+PJ_APORTE+PJ_REINV*N32*PJ_DY/12</f>
        <v/>
      </c>
      <c r="O33" s="151">
        <f>O32*(1+PJ_G_OTIM)^(1/12)+PJ_APORTE+PJ_REINV*O32*PJ_DY/12</f>
        <v/>
      </c>
      <c r="P33" s="151">
        <f>P32*(1+PJ_CDI)^(1/12)+PJ_APORTE</f>
        <v/>
      </c>
      <c r="Q33" s="151">
        <f>N33*PJ_DY/12</f>
        <v/>
      </c>
      <c r="R33" s="151">
        <f>R32+PJ_APORTE</f>
        <v/>
      </c>
    </row>
    <row r="34">
      <c r="K34" s="149" t="n">
        <v>28</v>
      </c>
      <c r="L34" s="150">
        <f>EDATE(TODAY(),K34)</f>
        <v/>
      </c>
      <c r="M34" s="151">
        <f>M33*(1+PJ_G_PESS)^(1/12)+PJ_APORTE+PJ_REINV*M33*PJ_DY/12</f>
        <v/>
      </c>
      <c r="N34" s="151">
        <f>N33*(1+PJ_G_BASE)^(1/12)+PJ_APORTE+PJ_REINV*N33*PJ_DY/12</f>
        <v/>
      </c>
      <c r="O34" s="151">
        <f>O33*(1+PJ_G_OTIM)^(1/12)+PJ_APORTE+PJ_REINV*O33*PJ_DY/12</f>
        <v/>
      </c>
      <c r="P34" s="151">
        <f>P33*(1+PJ_CDI)^(1/12)+PJ_APORTE</f>
        <v/>
      </c>
      <c r="Q34" s="151">
        <f>N34*PJ_DY/12</f>
        <v/>
      </c>
      <c r="R34" s="151">
        <f>R33+PJ_APORTE</f>
        <v/>
      </c>
    </row>
    <row r="35">
      <c r="K35" s="149" t="n">
        <v>29</v>
      </c>
      <c r="L35" s="150">
        <f>EDATE(TODAY(),K35)</f>
        <v/>
      </c>
      <c r="M35" s="151">
        <f>M34*(1+PJ_G_PESS)^(1/12)+PJ_APORTE+PJ_REINV*M34*PJ_DY/12</f>
        <v/>
      </c>
      <c r="N35" s="151">
        <f>N34*(1+PJ_G_BASE)^(1/12)+PJ_APORTE+PJ_REINV*N34*PJ_DY/12</f>
        <v/>
      </c>
      <c r="O35" s="151">
        <f>O34*(1+PJ_G_OTIM)^(1/12)+PJ_APORTE+PJ_REINV*O34*PJ_DY/12</f>
        <v/>
      </c>
      <c r="P35" s="151">
        <f>P34*(1+PJ_CDI)^(1/12)+PJ_APORTE</f>
        <v/>
      </c>
      <c r="Q35" s="151">
        <f>N35*PJ_DY/12</f>
        <v/>
      </c>
      <c r="R35" s="151">
        <f>R34+PJ_APORTE</f>
        <v/>
      </c>
    </row>
    <row r="36">
      <c r="K36" s="149" t="n">
        <v>30</v>
      </c>
      <c r="L36" s="150">
        <f>EDATE(TODAY(),K36)</f>
        <v/>
      </c>
      <c r="M36" s="151">
        <f>M35*(1+PJ_G_PESS)^(1/12)+PJ_APORTE+PJ_REINV*M35*PJ_DY/12</f>
        <v/>
      </c>
      <c r="N36" s="151">
        <f>N35*(1+PJ_G_BASE)^(1/12)+PJ_APORTE+PJ_REINV*N35*PJ_DY/12</f>
        <v/>
      </c>
      <c r="O36" s="151">
        <f>O35*(1+PJ_G_OTIM)^(1/12)+PJ_APORTE+PJ_REINV*O35*PJ_DY/12</f>
        <v/>
      </c>
      <c r="P36" s="151">
        <f>P35*(1+PJ_CDI)^(1/12)+PJ_APORTE</f>
        <v/>
      </c>
      <c r="Q36" s="151">
        <f>N36*PJ_DY/12</f>
        <v/>
      </c>
      <c r="R36" s="151">
        <f>R35+PJ_APORTE</f>
        <v/>
      </c>
    </row>
    <row r="37">
      <c r="K37" s="149" t="n">
        <v>31</v>
      </c>
      <c r="L37" s="150">
        <f>EDATE(TODAY(),K37)</f>
        <v/>
      </c>
      <c r="M37" s="151">
        <f>M36*(1+PJ_G_PESS)^(1/12)+PJ_APORTE+PJ_REINV*M36*PJ_DY/12</f>
        <v/>
      </c>
      <c r="N37" s="151">
        <f>N36*(1+PJ_G_BASE)^(1/12)+PJ_APORTE+PJ_REINV*N36*PJ_DY/12</f>
        <v/>
      </c>
      <c r="O37" s="151">
        <f>O36*(1+PJ_G_OTIM)^(1/12)+PJ_APORTE+PJ_REINV*O36*PJ_DY/12</f>
        <v/>
      </c>
      <c r="P37" s="151">
        <f>P36*(1+PJ_CDI)^(1/12)+PJ_APORTE</f>
        <v/>
      </c>
      <c r="Q37" s="151">
        <f>N37*PJ_DY/12</f>
        <v/>
      </c>
      <c r="R37" s="151">
        <f>R36+PJ_APORTE</f>
        <v/>
      </c>
    </row>
    <row r="38">
      <c r="K38" s="149" t="n">
        <v>32</v>
      </c>
      <c r="L38" s="150">
        <f>EDATE(TODAY(),K38)</f>
        <v/>
      </c>
      <c r="M38" s="151">
        <f>M37*(1+PJ_G_PESS)^(1/12)+PJ_APORTE+PJ_REINV*M37*PJ_DY/12</f>
        <v/>
      </c>
      <c r="N38" s="151">
        <f>N37*(1+PJ_G_BASE)^(1/12)+PJ_APORTE+PJ_REINV*N37*PJ_DY/12</f>
        <v/>
      </c>
      <c r="O38" s="151">
        <f>O37*(1+PJ_G_OTIM)^(1/12)+PJ_APORTE+PJ_REINV*O37*PJ_DY/12</f>
        <v/>
      </c>
      <c r="P38" s="151">
        <f>P37*(1+PJ_CDI)^(1/12)+PJ_APORTE</f>
        <v/>
      </c>
      <c r="Q38" s="151">
        <f>N38*PJ_DY/12</f>
        <v/>
      </c>
      <c r="R38" s="151">
        <f>R37+PJ_APORTE</f>
        <v/>
      </c>
    </row>
    <row r="39">
      <c r="K39" s="149" t="n">
        <v>33</v>
      </c>
      <c r="L39" s="150">
        <f>EDATE(TODAY(),K39)</f>
        <v/>
      </c>
      <c r="M39" s="151">
        <f>M38*(1+PJ_G_PESS)^(1/12)+PJ_APORTE+PJ_REINV*M38*PJ_DY/12</f>
        <v/>
      </c>
      <c r="N39" s="151">
        <f>N38*(1+PJ_G_BASE)^(1/12)+PJ_APORTE+PJ_REINV*N38*PJ_DY/12</f>
        <v/>
      </c>
      <c r="O39" s="151">
        <f>O38*(1+PJ_G_OTIM)^(1/12)+PJ_APORTE+PJ_REINV*O38*PJ_DY/12</f>
        <v/>
      </c>
      <c r="P39" s="151">
        <f>P38*(1+PJ_CDI)^(1/12)+PJ_APORTE</f>
        <v/>
      </c>
      <c r="Q39" s="151">
        <f>N39*PJ_DY/12</f>
        <v/>
      </c>
      <c r="R39" s="151">
        <f>R38+PJ_APORTE</f>
        <v/>
      </c>
    </row>
    <row r="40">
      <c r="K40" s="149" t="n">
        <v>34</v>
      </c>
      <c r="L40" s="150">
        <f>EDATE(TODAY(),K40)</f>
        <v/>
      </c>
      <c r="M40" s="151">
        <f>M39*(1+PJ_G_PESS)^(1/12)+PJ_APORTE+PJ_REINV*M39*PJ_DY/12</f>
        <v/>
      </c>
      <c r="N40" s="151">
        <f>N39*(1+PJ_G_BASE)^(1/12)+PJ_APORTE+PJ_REINV*N39*PJ_DY/12</f>
        <v/>
      </c>
      <c r="O40" s="151">
        <f>O39*(1+PJ_G_OTIM)^(1/12)+PJ_APORTE+PJ_REINV*O39*PJ_DY/12</f>
        <v/>
      </c>
      <c r="P40" s="151">
        <f>P39*(1+PJ_CDI)^(1/12)+PJ_APORTE</f>
        <v/>
      </c>
      <c r="Q40" s="151">
        <f>N40*PJ_DY/12</f>
        <v/>
      </c>
      <c r="R40" s="151">
        <f>R39+PJ_APORTE</f>
        <v/>
      </c>
    </row>
    <row r="41">
      <c r="K41" s="149" t="n">
        <v>35</v>
      </c>
      <c r="L41" s="150">
        <f>EDATE(TODAY(),K41)</f>
        <v/>
      </c>
      <c r="M41" s="151">
        <f>M40*(1+PJ_G_PESS)^(1/12)+PJ_APORTE+PJ_REINV*M40*PJ_DY/12</f>
        <v/>
      </c>
      <c r="N41" s="151">
        <f>N40*(1+PJ_G_BASE)^(1/12)+PJ_APORTE+PJ_REINV*N40*PJ_DY/12</f>
        <v/>
      </c>
      <c r="O41" s="151">
        <f>O40*(1+PJ_G_OTIM)^(1/12)+PJ_APORTE+PJ_REINV*O40*PJ_DY/12</f>
        <v/>
      </c>
      <c r="P41" s="151">
        <f>P40*(1+PJ_CDI)^(1/12)+PJ_APORTE</f>
        <v/>
      </c>
      <c r="Q41" s="151">
        <f>N41*PJ_DY/12</f>
        <v/>
      </c>
      <c r="R41" s="151">
        <f>R40+PJ_APORTE</f>
        <v/>
      </c>
    </row>
    <row r="42">
      <c r="K42" s="149" t="n">
        <v>36</v>
      </c>
      <c r="L42" s="150">
        <f>EDATE(TODAY(),K42)</f>
        <v/>
      </c>
      <c r="M42" s="151">
        <f>M41*(1+PJ_G_PESS)^(1/12)+PJ_APORTE+PJ_REINV*M41*PJ_DY/12</f>
        <v/>
      </c>
      <c r="N42" s="151">
        <f>N41*(1+PJ_G_BASE)^(1/12)+PJ_APORTE+PJ_REINV*N41*PJ_DY/12</f>
        <v/>
      </c>
      <c r="O42" s="151">
        <f>O41*(1+PJ_G_OTIM)^(1/12)+PJ_APORTE+PJ_REINV*O41*PJ_DY/12</f>
        <v/>
      </c>
      <c r="P42" s="151">
        <f>P41*(1+PJ_CDI)^(1/12)+PJ_APORTE</f>
        <v/>
      </c>
      <c r="Q42" s="151">
        <f>N42*PJ_DY/12</f>
        <v/>
      </c>
      <c r="R42" s="151">
        <f>R41+PJ_APORTE</f>
        <v/>
      </c>
    </row>
    <row r="43">
      <c r="K43" s="149" t="n">
        <v>37</v>
      </c>
      <c r="L43" s="150">
        <f>EDATE(TODAY(),K43)</f>
        <v/>
      </c>
      <c r="M43" s="151">
        <f>M42*(1+PJ_G_PESS)^(1/12)+PJ_APORTE+PJ_REINV*M42*PJ_DY/12</f>
        <v/>
      </c>
      <c r="N43" s="151">
        <f>N42*(1+PJ_G_BASE)^(1/12)+PJ_APORTE+PJ_REINV*N42*PJ_DY/12</f>
        <v/>
      </c>
      <c r="O43" s="151">
        <f>O42*(1+PJ_G_OTIM)^(1/12)+PJ_APORTE+PJ_REINV*O42*PJ_DY/12</f>
        <v/>
      </c>
      <c r="P43" s="151">
        <f>P42*(1+PJ_CDI)^(1/12)+PJ_APORTE</f>
        <v/>
      </c>
      <c r="Q43" s="151">
        <f>N43*PJ_DY/12</f>
        <v/>
      </c>
      <c r="R43" s="151">
        <f>R42+PJ_APORTE</f>
        <v/>
      </c>
    </row>
    <row r="44">
      <c r="K44" s="149" t="n">
        <v>38</v>
      </c>
      <c r="L44" s="150">
        <f>EDATE(TODAY(),K44)</f>
        <v/>
      </c>
      <c r="M44" s="151">
        <f>M43*(1+PJ_G_PESS)^(1/12)+PJ_APORTE+PJ_REINV*M43*PJ_DY/12</f>
        <v/>
      </c>
      <c r="N44" s="151">
        <f>N43*(1+PJ_G_BASE)^(1/12)+PJ_APORTE+PJ_REINV*N43*PJ_DY/12</f>
        <v/>
      </c>
      <c r="O44" s="151">
        <f>O43*(1+PJ_G_OTIM)^(1/12)+PJ_APORTE+PJ_REINV*O43*PJ_DY/12</f>
        <v/>
      </c>
      <c r="P44" s="151">
        <f>P43*(1+PJ_CDI)^(1/12)+PJ_APORTE</f>
        <v/>
      </c>
      <c r="Q44" s="151">
        <f>N44*PJ_DY/12</f>
        <v/>
      </c>
      <c r="R44" s="151">
        <f>R43+PJ_APORTE</f>
        <v/>
      </c>
    </row>
    <row r="45">
      <c r="K45" s="149" t="n">
        <v>39</v>
      </c>
      <c r="L45" s="150">
        <f>EDATE(TODAY(),K45)</f>
        <v/>
      </c>
      <c r="M45" s="151">
        <f>M44*(1+PJ_G_PESS)^(1/12)+PJ_APORTE+PJ_REINV*M44*PJ_DY/12</f>
        <v/>
      </c>
      <c r="N45" s="151">
        <f>N44*(1+PJ_G_BASE)^(1/12)+PJ_APORTE+PJ_REINV*N44*PJ_DY/12</f>
        <v/>
      </c>
      <c r="O45" s="151">
        <f>O44*(1+PJ_G_OTIM)^(1/12)+PJ_APORTE+PJ_REINV*O44*PJ_DY/12</f>
        <v/>
      </c>
      <c r="P45" s="151">
        <f>P44*(1+PJ_CDI)^(1/12)+PJ_APORTE</f>
        <v/>
      </c>
      <c r="Q45" s="151">
        <f>N45*PJ_DY/12</f>
        <v/>
      </c>
      <c r="R45" s="151">
        <f>R44+PJ_APORTE</f>
        <v/>
      </c>
    </row>
    <row r="46">
      <c r="K46" s="149" t="n">
        <v>40</v>
      </c>
      <c r="L46" s="150">
        <f>EDATE(TODAY(),K46)</f>
        <v/>
      </c>
      <c r="M46" s="151">
        <f>M45*(1+PJ_G_PESS)^(1/12)+PJ_APORTE+PJ_REINV*M45*PJ_DY/12</f>
        <v/>
      </c>
      <c r="N46" s="151">
        <f>N45*(1+PJ_G_BASE)^(1/12)+PJ_APORTE+PJ_REINV*N45*PJ_DY/12</f>
        <v/>
      </c>
      <c r="O46" s="151">
        <f>O45*(1+PJ_G_OTIM)^(1/12)+PJ_APORTE+PJ_REINV*O45*PJ_DY/12</f>
        <v/>
      </c>
      <c r="P46" s="151">
        <f>P45*(1+PJ_CDI)^(1/12)+PJ_APORTE</f>
        <v/>
      </c>
      <c r="Q46" s="151">
        <f>N46*PJ_DY/12</f>
        <v/>
      </c>
      <c r="R46" s="151">
        <f>R45+PJ_APORTE</f>
        <v/>
      </c>
    </row>
    <row r="47">
      <c r="K47" s="149" t="n">
        <v>41</v>
      </c>
      <c r="L47" s="150">
        <f>EDATE(TODAY(),K47)</f>
        <v/>
      </c>
      <c r="M47" s="151">
        <f>M46*(1+PJ_G_PESS)^(1/12)+PJ_APORTE+PJ_REINV*M46*PJ_DY/12</f>
        <v/>
      </c>
      <c r="N47" s="151">
        <f>N46*(1+PJ_G_BASE)^(1/12)+PJ_APORTE+PJ_REINV*N46*PJ_DY/12</f>
        <v/>
      </c>
      <c r="O47" s="151">
        <f>O46*(1+PJ_G_OTIM)^(1/12)+PJ_APORTE+PJ_REINV*O46*PJ_DY/12</f>
        <v/>
      </c>
      <c r="P47" s="151">
        <f>P46*(1+PJ_CDI)^(1/12)+PJ_APORTE</f>
        <v/>
      </c>
      <c r="Q47" s="151">
        <f>N47*PJ_DY/12</f>
        <v/>
      </c>
      <c r="R47" s="151">
        <f>R46+PJ_APORTE</f>
        <v/>
      </c>
    </row>
    <row r="48">
      <c r="K48" s="149" t="n">
        <v>42</v>
      </c>
      <c r="L48" s="150">
        <f>EDATE(TODAY(),K48)</f>
        <v/>
      </c>
      <c r="M48" s="151">
        <f>M47*(1+PJ_G_PESS)^(1/12)+PJ_APORTE+PJ_REINV*M47*PJ_DY/12</f>
        <v/>
      </c>
      <c r="N48" s="151">
        <f>N47*(1+PJ_G_BASE)^(1/12)+PJ_APORTE+PJ_REINV*N47*PJ_DY/12</f>
        <v/>
      </c>
      <c r="O48" s="151">
        <f>O47*(1+PJ_G_OTIM)^(1/12)+PJ_APORTE+PJ_REINV*O47*PJ_DY/12</f>
        <v/>
      </c>
      <c r="P48" s="151">
        <f>P47*(1+PJ_CDI)^(1/12)+PJ_APORTE</f>
        <v/>
      </c>
      <c r="Q48" s="151">
        <f>N48*PJ_DY/12</f>
        <v/>
      </c>
      <c r="R48" s="151">
        <f>R47+PJ_APORTE</f>
        <v/>
      </c>
    </row>
    <row r="49">
      <c r="K49" s="149" t="n">
        <v>43</v>
      </c>
      <c r="L49" s="150">
        <f>EDATE(TODAY(),K49)</f>
        <v/>
      </c>
      <c r="M49" s="151">
        <f>M48*(1+PJ_G_PESS)^(1/12)+PJ_APORTE+PJ_REINV*M48*PJ_DY/12</f>
        <v/>
      </c>
      <c r="N49" s="151">
        <f>N48*(1+PJ_G_BASE)^(1/12)+PJ_APORTE+PJ_REINV*N48*PJ_DY/12</f>
        <v/>
      </c>
      <c r="O49" s="151">
        <f>O48*(1+PJ_G_OTIM)^(1/12)+PJ_APORTE+PJ_REINV*O48*PJ_DY/12</f>
        <v/>
      </c>
      <c r="P49" s="151">
        <f>P48*(1+PJ_CDI)^(1/12)+PJ_APORTE</f>
        <v/>
      </c>
      <c r="Q49" s="151">
        <f>N49*PJ_DY/12</f>
        <v/>
      </c>
      <c r="R49" s="151">
        <f>R48+PJ_APORTE</f>
        <v/>
      </c>
    </row>
    <row r="50">
      <c r="K50" s="149" t="n">
        <v>44</v>
      </c>
      <c r="L50" s="150">
        <f>EDATE(TODAY(),K50)</f>
        <v/>
      </c>
      <c r="M50" s="151">
        <f>M49*(1+PJ_G_PESS)^(1/12)+PJ_APORTE+PJ_REINV*M49*PJ_DY/12</f>
        <v/>
      </c>
      <c r="N50" s="151">
        <f>N49*(1+PJ_G_BASE)^(1/12)+PJ_APORTE+PJ_REINV*N49*PJ_DY/12</f>
        <v/>
      </c>
      <c r="O50" s="151">
        <f>O49*(1+PJ_G_OTIM)^(1/12)+PJ_APORTE+PJ_REINV*O49*PJ_DY/12</f>
        <v/>
      </c>
      <c r="P50" s="151">
        <f>P49*(1+PJ_CDI)^(1/12)+PJ_APORTE</f>
        <v/>
      </c>
      <c r="Q50" s="151">
        <f>N50*PJ_DY/12</f>
        <v/>
      </c>
      <c r="R50" s="151">
        <f>R49+PJ_APORTE</f>
        <v/>
      </c>
    </row>
    <row r="51">
      <c r="K51" s="149" t="n">
        <v>45</v>
      </c>
      <c r="L51" s="150">
        <f>EDATE(TODAY(),K51)</f>
        <v/>
      </c>
      <c r="M51" s="151">
        <f>M50*(1+PJ_G_PESS)^(1/12)+PJ_APORTE+PJ_REINV*M50*PJ_DY/12</f>
        <v/>
      </c>
      <c r="N51" s="151">
        <f>N50*(1+PJ_G_BASE)^(1/12)+PJ_APORTE+PJ_REINV*N50*PJ_DY/12</f>
        <v/>
      </c>
      <c r="O51" s="151">
        <f>O50*(1+PJ_G_OTIM)^(1/12)+PJ_APORTE+PJ_REINV*O50*PJ_DY/12</f>
        <v/>
      </c>
      <c r="P51" s="151">
        <f>P50*(1+PJ_CDI)^(1/12)+PJ_APORTE</f>
        <v/>
      </c>
      <c r="Q51" s="151">
        <f>N51*PJ_DY/12</f>
        <v/>
      </c>
      <c r="R51" s="151">
        <f>R50+PJ_APORTE</f>
        <v/>
      </c>
    </row>
    <row r="52">
      <c r="K52" s="149" t="n">
        <v>46</v>
      </c>
      <c r="L52" s="150">
        <f>EDATE(TODAY(),K52)</f>
        <v/>
      </c>
      <c r="M52" s="151">
        <f>M51*(1+PJ_G_PESS)^(1/12)+PJ_APORTE+PJ_REINV*M51*PJ_DY/12</f>
        <v/>
      </c>
      <c r="N52" s="151">
        <f>N51*(1+PJ_G_BASE)^(1/12)+PJ_APORTE+PJ_REINV*N51*PJ_DY/12</f>
        <v/>
      </c>
      <c r="O52" s="151">
        <f>O51*(1+PJ_G_OTIM)^(1/12)+PJ_APORTE+PJ_REINV*O51*PJ_DY/12</f>
        <v/>
      </c>
      <c r="P52" s="151">
        <f>P51*(1+PJ_CDI)^(1/12)+PJ_APORTE</f>
        <v/>
      </c>
      <c r="Q52" s="151">
        <f>N52*PJ_DY/12</f>
        <v/>
      </c>
      <c r="R52" s="151">
        <f>R51+PJ_APORTE</f>
        <v/>
      </c>
    </row>
    <row r="53">
      <c r="K53" s="149" t="n">
        <v>47</v>
      </c>
      <c r="L53" s="150">
        <f>EDATE(TODAY(),K53)</f>
        <v/>
      </c>
      <c r="M53" s="151">
        <f>M52*(1+PJ_G_PESS)^(1/12)+PJ_APORTE+PJ_REINV*M52*PJ_DY/12</f>
        <v/>
      </c>
      <c r="N53" s="151">
        <f>N52*(1+PJ_G_BASE)^(1/12)+PJ_APORTE+PJ_REINV*N52*PJ_DY/12</f>
        <v/>
      </c>
      <c r="O53" s="151">
        <f>O52*(1+PJ_G_OTIM)^(1/12)+PJ_APORTE+PJ_REINV*O52*PJ_DY/12</f>
        <v/>
      </c>
      <c r="P53" s="151">
        <f>P52*(1+PJ_CDI)^(1/12)+PJ_APORTE</f>
        <v/>
      </c>
      <c r="Q53" s="151">
        <f>N53*PJ_DY/12</f>
        <v/>
      </c>
      <c r="R53" s="151">
        <f>R52+PJ_APORTE</f>
        <v/>
      </c>
    </row>
    <row r="54">
      <c r="K54" s="149" t="n">
        <v>48</v>
      </c>
      <c r="L54" s="150">
        <f>EDATE(TODAY(),K54)</f>
        <v/>
      </c>
      <c r="M54" s="151">
        <f>M53*(1+PJ_G_PESS)^(1/12)+PJ_APORTE+PJ_REINV*M53*PJ_DY/12</f>
        <v/>
      </c>
      <c r="N54" s="151">
        <f>N53*(1+PJ_G_BASE)^(1/12)+PJ_APORTE+PJ_REINV*N53*PJ_DY/12</f>
        <v/>
      </c>
      <c r="O54" s="151">
        <f>O53*(1+PJ_G_OTIM)^(1/12)+PJ_APORTE+PJ_REINV*O53*PJ_DY/12</f>
        <v/>
      </c>
      <c r="P54" s="151">
        <f>P53*(1+PJ_CDI)^(1/12)+PJ_APORTE</f>
        <v/>
      </c>
      <c r="Q54" s="151">
        <f>N54*PJ_DY/12</f>
        <v/>
      </c>
      <c r="R54" s="151">
        <f>R53+PJ_APORTE</f>
        <v/>
      </c>
    </row>
    <row r="55">
      <c r="K55" s="149" t="n">
        <v>49</v>
      </c>
      <c r="L55" s="150">
        <f>EDATE(TODAY(),K55)</f>
        <v/>
      </c>
      <c r="M55" s="151">
        <f>M54*(1+PJ_G_PESS)^(1/12)+PJ_APORTE+PJ_REINV*M54*PJ_DY/12</f>
        <v/>
      </c>
      <c r="N55" s="151">
        <f>N54*(1+PJ_G_BASE)^(1/12)+PJ_APORTE+PJ_REINV*N54*PJ_DY/12</f>
        <v/>
      </c>
      <c r="O55" s="151">
        <f>O54*(1+PJ_G_OTIM)^(1/12)+PJ_APORTE+PJ_REINV*O54*PJ_DY/12</f>
        <v/>
      </c>
      <c r="P55" s="151">
        <f>P54*(1+PJ_CDI)^(1/12)+PJ_APORTE</f>
        <v/>
      </c>
      <c r="Q55" s="151">
        <f>N55*PJ_DY/12</f>
        <v/>
      </c>
      <c r="R55" s="151">
        <f>R54+PJ_APORTE</f>
        <v/>
      </c>
    </row>
    <row r="56">
      <c r="K56" s="149" t="n">
        <v>50</v>
      </c>
      <c r="L56" s="150">
        <f>EDATE(TODAY(),K56)</f>
        <v/>
      </c>
      <c r="M56" s="151">
        <f>M55*(1+PJ_G_PESS)^(1/12)+PJ_APORTE+PJ_REINV*M55*PJ_DY/12</f>
        <v/>
      </c>
      <c r="N56" s="151">
        <f>N55*(1+PJ_G_BASE)^(1/12)+PJ_APORTE+PJ_REINV*N55*PJ_DY/12</f>
        <v/>
      </c>
      <c r="O56" s="151">
        <f>O55*(1+PJ_G_OTIM)^(1/12)+PJ_APORTE+PJ_REINV*O55*PJ_DY/12</f>
        <v/>
      </c>
      <c r="P56" s="151">
        <f>P55*(1+PJ_CDI)^(1/12)+PJ_APORTE</f>
        <v/>
      </c>
      <c r="Q56" s="151">
        <f>N56*PJ_DY/12</f>
        <v/>
      </c>
      <c r="R56" s="151">
        <f>R55+PJ_APORTE</f>
        <v/>
      </c>
    </row>
    <row r="57">
      <c r="K57" s="149" t="n">
        <v>51</v>
      </c>
      <c r="L57" s="150">
        <f>EDATE(TODAY(),K57)</f>
        <v/>
      </c>
      <c r="M57" s="151">
        <f>M56*(1+PJ_G_PESS)^(1/12)+PJ_APORTE+PJ_REINV*M56*PJ_DY/12</f>
        <v/>
      </c>
      <c r="N57" s="151">
        <f>N56*(1+PJ_G_BASE)^(1/12)+PJ_APORTE+PJ_REINV*N56*PJ_DY/12</f>
        <v/>
      </c>
      <c r="O57" s="151">
        <f>O56*(1+PJ_G_OTIM)^(1/12)+PJ_APORTE+PJ_REINV*O56*PJ_DY/12</f>
        <v/>
      </c>
      <c r="P57" s="151">
        <f>P56*(1+PJ_CDI)^(1/12)+PJ_APORTE</f>
        <v/>
      </c>
      <c r="Q57" s="151">
        <f>N57*PJ_DY/12</f>
        <v/>
      </c>
      <c r="R57" s="151">
        <f>R56+PJ_APORTE</f>
        <v/>
      </c>
    </row>
    <row r="58">
      <c r="K58" s="149" t="n">
        <v>52</v>
      </c>
      <c r="L58" s="150">
        <f>EDATE(TODAY(),K58)</f>
        <v/>
      </c>
      <c r="M58" s="151">
        <f>M57*(1+PJ_G_PESS)^(1/12)+PJ_APORTE+PJ_REINV*M57*PJ_DY/12</f>
        <v/>
      </c>
      <c r="N58" s="151">
        <f>N57*(1+PJ_G_BASE)^(1/12)+PJ_APORTE+PJ_REINV*N57*PJ_DY/12</f>
        <v/>
      </c>
      <c r="O58" s="151">
        <f>O57*(1+PJ_G_OTIM)^(1/12)+PJ_APORTE+PJ_REINV*O57*PJ_DY/12</f>
        <v/>
      </c>
      <c r="P58" s="151">
        <f>P57*(1+PJ_CDI)^(1/12)+PJ_APORTE</f>
        <v/>
      </c>
      <c r="Q58" s="151">
        <f>N58*PJ_DY/12</f>
        <v/>
      </c>
      <c r="R58" s="151">
        <f>R57+PJ_APORTE</f>
        <v/>
      </c>
    </row>
    <row r="59">
      <c r="K59" s="149" t="n">
        <v>53</v>
      </c>
      <c r="L59" s="150">
        <f>EDATE(TODAY(),K59)</f>
        <v/>
      </c>
      <c r="M59" s="151">
        <f>M58*(1+PJ_G_PESS)^(1/12)+PJ_APORTE+PJ_REINV*M58*PJ_DY/12</f>
        <v/>
      </c>
      <c r="N59" s="151">
        <f>N58*(1+PJ_G_BASE)^(1/12)+PJ_APORTE+PJ_REINV*N58*PJ_DY/12</f>
        <v/>
      </c>
      <c r="O59" s="151">
        <f>O58*(1+PJ_G_OTIM)^(1/12)+PJ_APORTE+PJ_REINV*O58*PJ_DY/12</f>
        <v/>
      </c>
      <c r="P59" s="151">
        <f>P58*(1+PJ_CDI)^(1/12)+PJ_APORTE</f>
        <v/>
      </c>
      <c r="Q59" s="151">
        <f>N59*PJ_DY/12</f>
        <v/>
      </c>
      <c r="R59" s="151">
        <f>R58+PJ_APORTE</f>
        <v/>
      </c>
    </row>
    <row r="60">
      <c r="K60" s="149" t="n">
        <v>54</v>
      </c>
      <c r="L60" s="150">
        <f>EDATE(TODAY(),K60)</f>
        <v/>
      </c>
      <c r="M60" s="151">
        <f>M59*(1+PJ_G_PESS)^(1/12)+PJ_APORTE+PJ_REINV*M59*PJ_DY/12</f>
        <v/>
      </c>
      <c r="N60" s="151">
        <f>N59*(1+PJ_G_BASE)^(1/12)+PJ_APORTE+PJ_REINV*N59*PJ_DY/12</f>
        <v/>
      </c>
      <c r="O60" s="151">
        <f>O59*(1+PJ_G_OTIM)^(1/12)+PJ_APORTE+PJ_REINV*O59*PJ_DY/12</f>
        <v/>
      </c>
      <c r="P60" s="151">
        <f>P59*(1+PJ_CDI)^(1/12)+PJ_APORTE</f>
        <v/>
      </c>
      <c r="Q60" s="151">
        <f>N60*PJ_DY/12</f>
        <v/>
      </c>
      <c r="R60" s="151">
        <f>R59+PJ_APORTE</f>
        <v/>
      </c>
    </row>
    <row r="61">
      <c r="K61" s="149" t="n">
        <v>55</v>
      </c>
      <c r="L61" s="150">
        <f>EDATE(TODAY(),K61)</f>
        <v/>
      </c>
      <c r="M61" s="151">
        <f>M60*(1+PJ_G_PESS)^(1/12)+PJ_APORTE+PJ_REINV*M60*PJ_DY/12</f>
        <v/>
      </c>
      <c r="N61" s="151">
        <f>N60*(1+PJ_G_BASE)^(1/12)+PJ_APORTE+PJ_REINV*N60*PJ_DY/12</f>
        <v/>
      </c>
      <c r="O61" s="151">
        <f>O60*(1+PJ_G_OTIM)^(1/12)+PJ_APORTE+PJ_REINV*O60*PJ_DY/12</f>
        <v/>
      </c>
      <c r="P61" s="151">
        <f>P60*(1+PJ_CDI)^(1/12)+PJ_APORTE</f>
        <v/>
      </c>
      <c r="Q61" s="151">
        <f>N61*PJ_DY/12</f>
        <v/>
      </c>
      <c r="R61" s="151">
        <f>R60+PJ_APORTE</f>
        <v/>
      </c>
    </row>
    <row r="62">
      <c r="K62" s="149" t="n">
        <v>56</v>
      </c>
      <c r="L62" s="150">
        <f>EDATE(TODAY(),K62)</f>
        <v/>
      </c>
      <c r="M62" s="151">
        <f>M61*(1+PJ_G_PESS)^(1/12)+PJ_APORTE+PJ_REINV*M61*PJ_DY/12</f>
        <v/>
      </c>
      <c r="N62" s="151">
        <f>N61*(1+PJ_G_BASE)^(1/12)+PJ_APORTE+PJ_REINV*N61*PJ_DY/12</f>
        <v/>
      </c>
      <c r="O62" s="151">
        <f>O61*(1+PJ_G_OTIM)^(1/12)+PJ_APORTE+PJ_REINV*O61*PJ_DY/12</f>
        <v/>
      </c>
      <c r="P62" s="151">
        <f>P61*(1+PJ_CDI)^(1/12)+PJ_APORTE</f>
        <v/>
      </c>
      <c r="Q62" s="151">
        <f>N62*PJ_DY/12</f>
        <v/>
      </c>
      <c r="R62" s="151">
        <f>R61+PJ_APORTE</f>
        <v/>
      </c>
    </row>
    <row r="63">
      <c r="K63" s="149" t="n">
        <v>57</v>
      </c>
      <c r="L63" s="150">
        <f>EDATE(TODAY(),K63)</f>
        <v/>
      </c>
      <c r="M63" s="151">
        <f>M62*(1+PJ_G_PESS)^(1/12)+PJ_APORTE+PJ_REINV*M62*PJ_DY/12</f>
        <v/>
      </c>
      <c r="N63" s="151">
        <f>N62*(1+PJ_G_BASE)^(1/12)+PJ_APORTE+PJ_REINV*N62*PJ_DY/12</f>
        <v/>
      </c>
      <c r="O63" s="151">
        <f>O62*(1+PJ_G_OTIM)^(1/12)+PJ_APORTE+PJ_REINV*O62*PJ_DY/12</f>
        <v/>
      </c>
      <c r="P63" s="151">
        <f>P62*(1+PJ_CDI)^(1/12)+PJ_APORTE</f>
        <v/>
      </c>
      <c r="Q63" s="151">
        <f>N63*PJ_DY/12</f>
        <v/>
      </c>
      <c r="R63" s="151">
        <f>R62+PJ_APORTE</f>
        <v/>
      </c>
    </row>
    <row r="64">
      <c r="K64" s="149" t="n">
        <v>58</v>
      </c>
      <c r="L64" s="150">
        <f>EDATE(TODAY(),K64)</f>
        <v/>
      </c>
      <c r="M64" s="151">
        <f>M63*(1+PJ_G_PESS)^(1/12)+PJ_APORTE+PJ_REINV*M63*PJ_DY/12</f>
        <v/>
      </c>
      <c r="N64" s="151">
        <f>N63*(1+PJ_G_BASE)^(1/12)+PJ_APORTE+PJ_REINV*N63*PJ_DY/12</f>
        <v/>
      </c>
      <c r="O64" s="151">
        <f>O63*(1+PJ_G_OTIM)^(1/12)+PJ_APORTE+PJ_REINV*O63*PJ_DY/12</f>
        <v/>
      </c>
      <c r="P64" s="151">
        <f>P63*(1+PJ_CDI)^(1/12)+PJ_APORTE</f>
        <v/>
      </c>
      <c r="Q64" s="151">
        <f>N64*PJ_DY/12</f>
        <v/>
      </c>
      <c r="R64" s="151">
        <f>R63+PJ_APORTE</f>
        <v/>
      </c>
    </row>
    <row r="65">
      <c r="K65" s="149" t="n">
        <v>59</v>
      </c>
      <c r="L65" s="150">
        <f>EDATE(TODAY(),K65)</f>
        <v/>
      </c>
      <c r="M65" s="151">
        <f>M64*(1+PJ_G_PESS)^(1/12)+PJ_APORTE+PJ_REINV*M64*PJ_DY/12</f>
        <v/>
      </c>
      <c r="N65" s="151">
        <f>N64*(1+PJ_G_BASE)^(1/12)+PJ_APORTE+PJ_REINV*N64*PJ_DY/12</f>
        <v/>
      </c>
      <c r="O65" s="151">
        <f>O64*(1+PJ_G_OTIM)^(1/12)+PJ_APORTE+PJ_REINV*O64*PJ_DY/12</f>
        <v/>
      </c>
      <c r="P65" s="151">
        <f>P64*(1+PJ_CDI)^(1/12)+PJ_APORTE</f>
        <v/>
      </c>
      <c r="Q65" s="151">
        <f>N65*PJ_DY/12</f>
        <v/>
      </c>
      <c r="R65" s="151">
        <f>R64+PJ_APORTE</f>
        <v/>
      </c>
    </row>
    <row r="66">
      <c r="K66" s="149" t="n">
        <v>60</v>
      </c>
      <c r="L66" s="150">
        <f>EDATE(TODAY(),K66)</f>
        <v/>
      </c>
      <c r="M66" s="151">
        <f>M65*(1+PJ_G_PESS)^(1/12)+PJ_APORTE+PJ_REINV*M65*PJ_DY/12</f>
        <v/>
      </c>
      <c r="N66" s="151">
        <f>N65*(1+PJ_G_BASE)^(1/12)+PJ_APORTE+PJ_REINV*N65*PJ_DY/12</f>
        <v/>
      </c>
      <c r="O66" s="151">
        <f>O65*(1+PJ_G_OTIM)^(1/12)+PJ_APORTE+PJ_REINV*O65*PJ_DY/12</f>
        <v/>
      </c>
      <c r="P66" s="151">
        <f>P65*(1+PJ_CDI)^(1/12)+PJ_APORTE</f>
        <v/>
      </c>
      <c r="Q66" s="151">
        <f>N66*PJ_DY/12</f>
        <v/>
      </c>
      <c r="R66" s="151">
        <f>R65+PJ_APORTE</f>
        <v/>
      </c>
    </row>
    <row r="67">
      <c r="K67" s="149" t="n">
        <v>61</v>
      </c>
      <c r="L67" s="150">
        <f>EDATE(TODAY(),K67)</f>
        <v/>
      </c>
      <c r="M67" s="151">
        <f>M66*(1+PJ_G_PESS)^(1/12)+PJ_APORTE+PJ_REINV*M66*PJ_DY/12</f>
        <v/>
      </c>
      <c r="N67" s="151">
        <f>N66*(1+PJ_G_BASE)^(1/12)+PJ_APORTE+PJ_REINV*N66*PJ_DY/12</f>
        <v/>
      </c>
      <c r="O67" s="151">
        <f>O66*(1+PJ_G_OTIM)^(1/12)+PJ_APORTE+PJ_REINV*O66*PJ_DY/12</f>
        <v/>
      </c>
      <c r="P67" s="151">
        <f>P66*(1+PJ_CDI)^(1/12)+PJ_APORTE</f>
        <v/>
      </c>
      <c r="Q67" s="151">
        <f>N67*PJ_DY/12</f>
        <v/>
      </c>
      <c r="R67" s="151">
        <f>R66+PJ_APORTE</f>
        <v/>
      </c>
    </row>
    <row r="68">
      <c r="K68" s="149" t="n">
        <v>62</v>
      </c>
      <c r="L68" s="150">
        <f>EDATE(TODAY(),K68)</f>
        <v/>
      </c>
      <c r="M68" s="151">
        <f>M67*(1+PJ_G_PESS)^(1/12)+PJ_APORTE+PJ_REINV*M67*PJ_DY/12</f>
        <v/>
      </c>
      <c r="N68" s="151">
        <f>N67*(1+PJ_G_BASE)^(1/12)+PJ_APORTE+PJ_REINV*N67*PJ_DY/12</f>
        <v/>
      </c>
      <c r="O68" s="151">
        <f>O67*(1+PJ_G_OTIM)^(1/12)+PJ_APORTE+PJ_REINV*O67*PJ_DY/12</f>
        <v/>
      </c>
      <c r="P68" s="151">
        <f>P67*(1+PJ_CDI)^(1/12)+PJ_APORTE</f>
        <v/>
      </c>
      <c r="Q68" s="151">
        <f>N68*PJ_DY/12</f>
        <v/>
      </c>
      <c r="R68" s="151">
        <f>R67+PJ_APORTE</f>
        <v/>
      </c>
    </row>
    <row r="69">
      <c r="K69" s="149" t="n">
        <v>63</v>
      </c>
      <c r="L69" s="150">
        <f>EDATE(TODAY(),K69)</f>
        <v/>
      </c>
      <c r="M69" s="151">
        <f>M68*(1+PJ_G_PESS)^(1/12)+PJ_APORTE+PJ_REINV*M68*PJ_DY/12</f>
        <v/>
      </c>
      <c r="N69" s="151">
        <f>N68*(1+PJ_G_BASE)^(1/12)+PJ_APORTE+PJ_REINV*N68*PJ_DY/12</f>
        <v/>
      </c>
      <c r="O69" s="151">
        <f>O68*(1+PJ_G_OTIM)^(1/12)+PJ_APORTE+PJ_REINV*O68*PJ_DY/12</f>
        <v/>
      </c>
      <c r="P69" s="151">
        <f>P68*(1+PJ_CDI)^(1/12)+PJ_APORTE</f>
        <v/>
      </c>
      <c r="Q69" s="151">
        <f>N69*PJ_DY/12</f>
        <v/>
      </c>
      <c r="R69" s="151">
        <f>R68+PJ_APORTE</f>
        <v/>
      </c>
    </row>
    <row r="70">
      <c r="K70" s="149" t="n">
        <v>64</v>
      </c>
      <c r="L70" s="150">
        <f>EDATE(TODAY(),K70)</f>
        <v/>
      </c>
      <c r="M70" s="151">
        <f>M69*(1+PJ_G_PESS)^(1/12)+PJ_APORTE+PJ_REINV*M69*PJ_DY/12</f>
        <v/>
      </c>
      <c r="N70" s="151">
        <f>N69*(1+PJ_G_BASE)^(1/12)+PJ_APORTE+PJ_REINV*N69*PJ_DY/12</f>
        <v/>
      </c>
      <c r="O70" s="151">
        <f>O69*(1+PJ_G_OTIM)^(1/12)+PJ_APORTE+PJ_REINV*O69*PJ_DY/12</f>
        <v/>
      </c>
      <c r="P70" s="151">
        <f>P69*(1+PJ_CDI)^(1/12)+PJ_APORTE</f>
        <v/>
      </c>
      <c r="Q70" s="151">
        <f>N70*PJ_DY/12</f>
        <v/>
      </c>
      <c r="R70" s="151">
        <f>R69+PJ_APORTE</f>
        <v/>
      </c>
    </row>
    <row r="71">
      <c r="K71" s="149" t="n">
        <v>65</v>
      </c>
      <c r="L71" s="150">
        <f>EDATE(TODAY(),K71)</f>
        <v/>
      </c>
      <c r="M71" s="151">
        <f>M70*(1+PJ_G_PESS)^(1/12)+PJ_APORTE+PJ_REINV*M70*PJ_DY/12</f>
        <v/>
      </c>
      <c r="N71" s="151">
        <f>N70*(1+PJ_G_BASE)^(1/12)+PJ_APORTE+PJ_REINV*N70*PJ_DY/12</f>
        <v/>
      </c>
      <c r="O71" s="151">
        <f>O70*(1+PJ_G_OTIM)^(1/12)+PJ_APORTE+PJ_REINV*O70*PJ_DY/12</f>
        <v/>
      </c>
      <c r="P71" s="151">
        <f>P70*(1+PJ_CDI)^(1/12)+PJ_APORTE</f>
        <v/>
      </c>
      <c r="Q71" s="151">
        <f>N71*PJ_DY/12</f>
        <v/>
      </c>
      <c r="R71" s="151">
        <f>R70+PJ_APORTE</f>
        <v/>
      </c>
    </row>
    <row r="72">
      <c r="K72" s="149" t="n">
        <v>66</v>
      </c>
      <c r="L72" s="150">
        <f>EDATE(TODAY(),K72)</f>
        <v/>
      </c>
      <c r="M72" s="151">
        <f>M71*(1+PJ_G_PESS)^(1/12)+PJ_APORTE+PJ_REINV*M71*PJ_DY/12</f>
        <v/>
      </c>
      <c r="N72" s="151">
        <f>N71*(1+PJ_G_BASE)^(1/12)+PJ_APORTE+PJ_REINV*N71*PJ_DY/12</f>
        <v/>
      </c>
      <c r="O72" s="151">
        <f>O71*(1+PJ_G_OTIM)^(1/12)+PJ_APORTE+PJ_REINV*O71*PJ_DY/12</f>
        <v/>
      </c>
      <c r="P72" s="151">
        <f>P71*(1+PJ_CDI)^(1/12)+PJ_APORTE</f>
        <v/>
      </c>
      <c r="Q72" s="151">
        <f>N72*PJ_DY/12</f>
        <v/>
      </c>
      <c r="R72" s="151">
        <f>R71+PJ_APORTE</f>
        <v/>
      </c>
    </row>
    <row r="73">
      <c r="K73" s="149" t="n">
        <v>67</v>
      </c>
      <c r="L73" s="150">
        <f>EDATE(TODAY(),K73)</f>
        <v/>
      </c>
      <c r="M73" s="151">
        <f>M72*(1+PJ_G_PESS)^(1/12)+PJ_APORTE+PJ_REINV*M72*PJ_DY/12</f>
        <v/>
      </c>
      <c r="N73" s="151">
        <f>N72*(1+PJ_G_BASE)^(1/12)+PJ_APORTE+PJ_REINV*N72*PJ_DY/12</f>
        <v/>
      </c>
      <c r="O73" s="151">
        <f>O72*(1+PJ_G_OTIM)^(1/12)+PJ_APORTE+PJ_REINV*O72*PJ_DY/12</f>
        <v/>
      </c>
      <c r="P73" s="151">
        <f>P72*(1+PJ_CDI)^(1/12)+PJ_APORTE</f>
        <v/>
      </c>
      <c r="Q73" s="151">
        <f>N73*PJ_DY/12</f>
        <v/>
      </c>
      <c r="R73" s="151">
        <f>R72+PJ_APORTE</f>
        <v/>
      </c>
    </row>
    <row r="74">
      <c r="K74" s="149" t="n">
        <v>68</v>
      </c>
      <c r="L74" s="150">
        <f>EDATE(TODAY(),K74)</f>
        <v/>
      </c>
      <c r="M74" s="151">
        <f>M73*(1+PJ_G_PESS)^(1/12)+PJ_APORTE+PJ_REINV*M73*PJ_DY/12</f>
        <v/>
      </c>
      <c r="N74" s="151">
        <f>N73*(1+PJ_G_BASE)^(1/12)+PJ_APORTE+PJ_REINV*N73*PJ_DY/12</f>
        <v/>
      </c>
      <c r="O74" s="151">
        <f>O73*(1+PJ_G_OTIM)^(1/12)+PJ_APORTE+PJ_REINV*O73*PJ_DY/12</f>
        <v/>
      </c>
      <c r="P74" s="151">
        <f>P73*(1+PJ_CDI)^(1/12)+PJ_APORTE</f>
        <v/>
      </c>
      <c r="Q74" s="151">
        <f>N74*PJ_DY/12</f>
        <v/>
      </c>
      <c r="R74" s="151">
        <f>R73+PJ_APORTE</f>
        <v/>
      </c>
    </row>
    <row r="75">
      <c r="K75" s="149" t="n">
        <v>69</v>
      </c>
      <c r="L75" s="150">
        <f>EDATE(TODAY(),K75)</f>
        <v/>
      </c>
      <c r="M75" s="151">
        <f>M74*(1+PJ_G_PESS)^(1/12)+PJ_APORTE+PJ_REINV*M74*PJ_DY/12</f>
        <v/>
      </c>
      <c r="N75" s="151">
        <f>N74*(1+PJ_G_BASE)^(1/12)+PJ_APORTE+PJ_REINV*N74*PJ_DY/12</f>
        <v/>
      </c>
      <c r="O75" s="151">
        <f>O74*(1+PJ_G_OTIM)^(1/12)+PJ_APORTE+PJ_REINV*O74*PJ_DY/12</f>
        <v/>
      </c>
      <c r="P75" s="151">
        <f>P74*(1+PJ_CDI)^(1/12)+PJ_APORTE</f>
        <v/>
      </c>
      <c r="Q75" s="151">
        <f>N75*PJ_DY/12</f>
        <v/>
      </c>
      <c r="R75" s="151">
        <f>R74+PJ_APORTE</f>
        <v/>
      </c>
    </row>
    <row r="76">
      <c r="K76" s="149" t="n">
        <v>70</v>
      </c>
      <c r="L76" s="150">
        <f>EDATE(TODAY(),K76)</f>
        <v/>
      </c>
      <c r="M76" s="151">
        <f>M75*(1+PJ_G_PESS)^(1/12)+PJ_APORTE+PJ_REINV*M75*PJ_DY/12</f>
        <v/>
      </c>
      <c r="N76" s="151">
        <f>N75*(1+PJ_G_BASE)^(1/12)+PJ_APORTE+PJ_REINV*N75*PJ_DY/12</f>
        <v/>
      </c>
      <c r="O76" s="151">
        <f>O75*(1+PJ_G_OTIM)^(1/12)+PJ_APORTE+PJ_REINV*O75*PJ_DY/12</f>
        <v/>
      </c>
      <c r="P76" s="151">
        <f>P75*(1+PJ_CDI)^(1/12)+PJ_APORTE</f>
        <v/>
      </c>
      <c r="Q76" s="151">
        <f>N76*PJ_DY/12</f>
        <v/>
      </c>
      <c r="R76" s="151">
        <f>R75+PJ_APORTE</f>
        <v/>
      </c>
    </row>
    <row r="77">
      <c r="K77" s="149" t="n">
        <v>71</v>
      </c>
      <c r="L77" s="150">
        <f>EDATE(TODAY(),K77)</f>
        <v/>
      </c>
      <c r="M77" s="151">
        <f>M76*(1+PJ_G_PESS)^(1/12)+PJ_APORTE+PJ_REINV*M76*PJ_DY/12</f>
        <v/>
      </c>
      <c r="N77" s="151">
        <f>N76*(1+PJ_G_BASE)^(1/12)+PJ_APORTE+PJ_REINV*N76*PJ_DY/12</f>
        <v/>
      </c>
      <c r="O77" s="151">
        <f>O76*(1+PJ_G_OTIM)^(1/12)+PJ_APORTE+PJ_REINV*O76*PJ_DY/12</f>
        <v/>
      </c>
      <c r="P77" s="151">
        <f>P76*(1+PJ_CDI)^(1/12)+PJ_APORTE</f>
        <v/>
      </c>
      <c r="Q77" s="151">
        <f>N77*PJ_DY/12</f>
        <v/>
      </c>
      <c r="R77" s="151">
        <f>R76+PJ_APORTE</f>
        <v/>
      </c>
    </row>
    <row r="78">
      <c r="K78" s="149" t="n">
        <v>72</v>
      </c>
      <c r="L78" s="150">
        <f>EDATE(TODAY(),K78)</f>
        <v/>
      </c>
      <c r="M78" s="151">
        <f>M77*(1+PJ_G_PESS)^(1/12)+PJ_APORTE+PJ_REINV*M77*PJ_DY/12</f>
        <v/>
      </c>
      <c r="N78" s="151">
        <f>N77*(1+PJ_G_BASE)^(1/12)+PJ_APORTE+PJ_REINV*N77*PJ_DY/12</f>
        <v/>
      </c>
      <c r="O78" s="151">
        <f>O77*(1+PJ_G_OTIM)^(1/12)+PJ_APORTE+PJ_REINV*O77*PJ_DY/12</f>
        <v/>
      </c>
      <c r="P78" s="151">
        <f>P77*(1+PJ_CDI)^(1/12)+PJ_APORTE</f>
        <v/>
      </c>
      <c r="Q78" s="151">
        <f>N78*PJ_DY/12</f>
        <v/>
      </c>
      <c r="R78" s="151">
        <f>R77+PJ_APORTE</f>
        <v/>
      </c>
    </row>
    <row r="79">
      <c r="K79" s="149" t="n">
        <v>73</v>
      </c>
      <c r="L79" s="150">
        <f>EDATE(TODAY(),K79)</f>
        <v/>
      </c>
      <c r="M79" s="151">
        <f>M78*(1+PJ_G_PESS)^(1/12)+PJ_APORTE+PJ_REINV*M78*PJ_DY/12</f>
        <v/>
      </c>
      <c r="N79" s="151">
        <f>N78*(1+PJ_G_BASE)^(1/12)+PJ_APORTE+PJ_REINV*N78*PJ_DY/12</f>
        <v/>
      </c>
      <c r="O79" s="151">
        <f>O78*(1+PJ_G_OTIM)^(1/12)+PJ_APORTE+PJ_REINV*O78*PJ_DY/12</f>
        <v/>
      </c>
      <c r="P79" s="151">
        <f>P78*(1+PJ_CDI)^(1/12)+PJ_APORTE</f>
        <v/>
      </c>
      <c r="Q79" s="151">
        <f>N79*PJ_DY/12</f>
        <v/>
      </c>
      <c r="R79" s="151">
        <f>R78+PJ_APORTE</f>
        <v/>
      </c>
    </row>
    <row r="80">
      <c r="K80" s="149" t="n">
        <v>74</v>
      </c>
      <c r="L80" s="150">
        <f>EDATE(TODAY(),K80)</f>
        <v/>
      </c>
      <c r="M80" s="151">
        <f>M79*(1+PJ_G_PESS)^(1/12)+PJ_APORTE+PJ_REINV*M79*PJ_DY/12</f>
        <v/>
      </c>
      <c r="N80" s="151">
        <f>N79*(1+PJ_G_BASE)^(1/12)+PJ_APORTE+PJ_REINV*N79*PJ_DY/12</f>
        <v/>
      </c>
      <c r="O80" s="151">
        <f>O79*(1+PJ_G_OTIM)^(1/12)+PJ_APORTE+PJ_REINV*O79*PJ_DY/12</f>
        <v/>
      </c>
      <c r="P80" s="151">
        <f>P79*(1+PJ_CDI)^(1/12)+PJ_APORTE</f>
        <v/>
      </c>
      <c r="Q80" s="151">
        <f>N80*PJ_DY/12</f>
        <v/>
      </c>
      <c r="R80" s="151">
        <f>R79+PJ_APORTE</f>
        <v/>
      </c>
    </row>
    <row r="81">
      <c r="K81" s="149" t="n">
        <v>75</v>
      </c>
      <c r="L81" s="150">
        <f>EDATE(TODAY(),K81)</f>
        <v/>
      </c>
      <c r="M81" s="151">
        <f>M80*(1+PJ_G_PESS)^(1/12)+PJ_APORTE+PJ_REINV*M80*PJ_DY/12</f>
        <v/>
      </c>
      <c r="N81" s="151">
        <f>N80*(1+PJ_G_BASE)^(1/12)+PJ_APORTE+PJ_REINV*N80*PJ_DY/12</f>
        <v/>
      </c>
      <c r="O81" s="151">
        <f>O80*(1+PJ_G_OTIM)^(1/12)+PJ_APORTE+PJ_REINV*O80*PJ_DY/12</f>
        <v/>
      </c>
      <c r="P81" s="151">
        <f>P80*(1+PJ_CDI)^(1/12)+PJ_APORTE</f>
        <v/>
      </c>
      <c r="Q81" s="151">
        <f>N81*PJ_DY/12</f>
        <v/>
      </c>
      <c r="R81" s="151">
        <f>R80+PJ_APORTE</f>
        <v/>
      </c>
    </row>
    <row r="82">
      <c r="K82" s="149" t="n">
        <v>76</v>
      </c>
      <c r="L82" s="150">
        <f>EDATE(TODAY(),K82)</f>
        <v/>
      </c>
      <c r="M82" s="151">
        <f>M81*(1+PJ_G_PESS)^(1/12)+PJ_APORTE+PJ_REINV*M81*PJ_DY/12</f>
        <v/>
      </c>
      <c r="N82" s="151">
        <f>N81*(1+PJ_G_BASE)^(1/12)+PJ_APORTE+PJ_REINV*N81*PJ_DY/12</f>
        <v/>
      </c>
      <c r="O82" s="151">
        <f>O81*(1+PJ_G_OTIM)^(1/12)+PJ_APORTE+PJ_REINV*O81*PJ_DY/12</f>
        <v/>
      </c>
      <c r="P82" s="151">
        <f>P81*(1+PJ_CDI)^(1/12)+PJ_APORTE</f>
        <v/>
      </c>
      <c r="Q82" s="151">
        <f>N82*PJ_DY/12</f>
        <v/>
      </c>
      <c r="R82" s="151">
        <f>R81+PJ_APORTE</f>
        <v/>
      </c>
    </row>
    <row r="83">
      <c r="K83" s="149" t="n">
        <v>77</v>
      </c>
      <c r="L83" s="150">
        <f>EDATE(TODAY(),K83)</f>
        <v/>
      </c>
      <c r="M83" s="151">
        <f>M82*(1+PJ_G_PESS)^(1/12)+PJ_APORTE+PJ_REINV*M82*PJ_DY/12</f>
        <v/>
      </c>
      <c r="N83" s="151">
        <f>N82*(1+PJ_G_BASE)^(1/12)+PJ_APORTE+PJ_REINV*N82*PJ_DY/12</f>
        <v/>
      </c>
      <c r="O83" s="151">
        <f>O82*(1+PJ_G_OTIM)^(1/12)+PJ_APORTE+PJ_REINV*O82*PJ_DY/12</f>
        <v/>
      </c>
      <c r="P83" s="151">
        <f>P82*(1+PJ_CDI)^(1/12)+PJ_APORTE</f>
        <v/>
      </c>
      <c r="Q83" s="151">
        <f>N83*PJ_DY/12</f>
        <v/>
      </c>
      <c r="R83" s="151">
        <f>R82+PJ_APORTE</f>
        <v/>
      </c>
    </row>
    <row r="84">
      <c r="K84" s="149" t="n">
        <v>78</v>
      </c>
      <c r="L84" s="150">
        <f>EDATE(TODAY(),K84)</f>
        <v/>
      </c>
      <c r="M84" s="151">
        <f>M83*(1+PJ_G_PESS)^(1/12)+PJ_APORTE+PJ_REINV*M83*PJ_DY/12</f>
        <v/>
      </c>
      <c r="N84" s="151">
        <f>N83*(1+PJ_G_BASE)^(1/12)+PJ_APORTE+PJ_REINV*N83*PJ_DY/12</f>
        <v/>
      </c>
      <c r="O84" s="151">
        <f>O83*(1+PJ_G_OTIM)^(1/12)+PJ_APORTE+PJ_REINV*O83*PJ_DY/12</f>
        <v/>
      </c>
      <c r="P84" s="151">
        <f>P83*(1+PJ_CDI)^(1/12)+PJ_APORTE</f>
        <v/>
      </c>
      <c r="Q84" s="151">
        <f>N84*PJ_DY/12</f>
        <v/>
      </c>
      <c r="R84" s="151">
        <f>R83+PJ_APORTE</f>
        <v/>
      </c>
    </row>
    <row r="85">
      <c r="K85" s="149" t="n">
        <v>79</v>
      </c>
      <c r="L85" s="150">
        <f>EDATE(TODAY(),K85)</f>
        <v/>
      </c>
      <c r="M85" s="151">
        <f>M84*(1+PJ_G_PESS)^(1/12)+PJ_APORTE+PJ_REINV*M84*PJ_DY/12</f>
        <v/>
      </c>
      <c r="N85" s="151">
        <f>N84*(1+PJ_G_BASE)^(1/12)+PJ_APORTE+PJ_REINV*N84*PJ_DY/12</f>
        <v/>
      </c>
      <c r="O85" s="151">
        <f>O84*(1+PJ_G_OTIM)^(1/12)+PJ_APORTE+PJ_REINV*O84*PJ_DY/12</f>
        <v/>
      </c>
      <c r="P85" s="151">
        <f>P84*(1+PJ_CDI)^(1/12)+PJ_APORTE</f>
        <v/>
      </c>
      <c r="Q85" s="151">
        <f>N85*PJ_DY/12</f>
        <v/>
      </c>
      <c r="R85" s="151">
        <f>R84+PJ_APORTE</f>
        <v/>
      </c>
    </row>
    <row r="86">
      <c r="K86" s="149" t="n">
        <v>80</v>
      </c>
      <c r="L86" s="150">
        <f>EDATE(TODAY(),K86)</f>
        <v/>
      </c>
      <c r="M86" s="151">
        <f>M85*(1+PJ_G_PESS)^(1/12)+PJ_APORTE+PJ_REINV*M85*PJ_DY/12</f>
        <v/>
      </c>
      <c r="N86" s="151">
        <f>N85*(1+PJ_G_BASE)^(1/12)+PJ_APORTE+PJ_REINV*N85*PJ_DY/12</f>
        <v/>
      </c>
      <c r="O86" s="151">
        <f>O85*(1+PJ_G_OTIM)^(1/12)+PJ_APORTE+PJ_REINV*O85*PJ_DY/12</f>
        <v/>
      </c>
      <c r="P86" s="151">
        <f>P85*(1+PJ_CDI)^(1/12)+PJ_APORTE</f>
        <v/>
      </c>
      <c r="Q86" s="151">
        <f>N86*PJ_DY/12</f>
        <v/>
      </c>
      <c r="R86" s="151">
        <f>R85+PJ_APORTE</f>
        <v/>
      </c>
    </row>
    <row r="87">
      <c r="K87" s="149" t="n">
        <v>81</v>
      </c>
      <c r="L87" s="150">
        <f>EDATE(TODAY(),K87)</f>
        <v/>
      </c>
      <c r="M87" s="151">
        <f>M86*(1+PJ_G_PESS)^(1/12)+PJ_APORTE+PJ_REINV*M86*PJ_DY/12</f>
        <v/>
      </c>
      <c r="N87" s="151">
        <f>N86*(1+PJ_G_BASE)^(1/12)+PJ_APORTE+PJ_REINV*N86*PJ_DY/12</f>
        <v/>
      </c>
      <c r="O87" s="151">
        <f>O86*(1+PJ_G_OTIM)^(1/12)+PJ_APORTE+PJ_REINV*O86*PJ_DY/12</f>
        <v/>
      </c>
      <c r="P87" s="151">
        <f>P86*(1+PJ_CDI)^(1/12)+PJ_APORTE</f>
        <v/>
      </c>
      <c r="Q87" s="151">
        <f>N87*PJ_DY/12</f>
        <v/>
      </c>
      <c r="R87" s="151">
        <f>R86+PJ_APORTE</f>
        <v/>
      </c>
    </row>
    <row r="88">
      <c r="K88" s="149" t="n">
        <v>82</v>
      </c>
      <c r="L88" s="150">
        <f>EDATE(TODAY(),K88)</f>
        <v/>
      </c>
      <c r="M88" s="151">
        <f>M87*(1+PJ_G_PESS)^(1/12)+PJ_APORTE+PJ_REINV*M87*PJ_DY/12</f>
        <v/>
      </c>
      <c r="N88" s="151">
        <f>N87*(1+PJ_G_BASE)^(1/12)+PJ_APORTE+PJ_REINV*N87*PJ_DY/12</f>
        <v/>
      </c>
      <c r="O88" s="151">
        <f>O87*(1+PJ_G_OTIM)^(1/12)+PJ_APORTE+PJ_REINV*O87*PJ_DY/12</f>
        <v/>
      </c>
      <c r="P88" s="151">
        <f>P87*(1+PJ_CDI)^(1/12)+PJ_APORTE</f>
        <v/>
      </c>
      <c r="Q88" s="151">
        <f>N88*PJ_DY/12</f>
        <v/>
      </c>
      <c r="R88" s="151">
        <f>R87+PJ_APORTE</f>
        <v/>
      </c>
    </row>
    <row r="89">
      <c r="K89" s="149" t="n">
        <v>83</v>
      </c>
      <c r="L89" s="150">
        <f>EDATE(TODAY(),K89)</f>
        <v/>
      </c>
      <c r="M89" s="151">
        <f>M88*(1+PJ_G_PESS)^(1/12)+PJ_APORTE+PJ_REINV*M88*PJ_DY/12</f>
        <v/>
      </c>
      <c r="N89" s="151">
        <f>N88*(1+PJ_G_BASE)^(1/12)+PJ_APORTE+PJ_REINV*N88*PJ_DY/12</f>
        <v/>
      </c>
      <c r="O89" s="151">
        <f>O88*(1+PJ_G_OTIM)^(1/12)+PJ_APORTE+PJ_REINV*O88*PJ_DY/12</f>
        <v/>
      </c>
      <c r="P89" s="151">
        <f>P88*(1+PJ_CDI)^(1/12)+PJ_APORTE</f>
        <v/>
      </c>
      <c r="Q89" s="151">
        <f>N89*PJ_DY/12</f>
        <v/>
      </c>
      <c r="R89" s="151">
        <f>R88+PJ_APORTE</f>
        <v/>
      </c>
    </row>
    <row r="90">
      <c r="K90" s="149" t="n">
        <v>84</v>
      </c>
      <c r="L90" s="150">
        <f>EDATE(TODAY(),K90)</f>
        <v/>
      </c>
      <c r="M90" s="151">
        <f>M89*(1+PJ_G_PESS)^(1/12)+PJ_APORTE+PJ_REINV*M89*PJ_DY/12</f>
        <v/>
      </c>
      <c r="N90" s="151">
        <f>N89*(1+PJ_G_BASE)^(1/12)+PJ_APORTE+PJ_REINV*N89*PJ_DY/12</f>
        <v/>
      </c>
      <c r="O90" s="151">
        <f>O89*(1+PJ_G_OTIM)^(1/12)+PJ_APORTE+PJ_REINV*O89*PJ_DY/12</f>
        <v/>
      </c>
      <c r="P90" s="151">
        <f>P89*(1+PJ_CDI)^(1/12)+PJ_APORTE</f>
        <v/>
      </c>
      <c r="Q90" s="151">
        <f>N90*PJ_DY/12</f>
        <v/>
      </c>
      <c r="R90" s="151">
        <f>R89+PJ_APORTE</f>
        <v/>
      </c>
    </row>
    <row r="91">
      <c r="K91" s="149" t="n">
        <v>85</v>
      </c>
      <c r="L91" s="150">
        <f>EDATE(TODAY(),K91)</f>
        <v/>
      </c>
      <c r="M91" s="151">
        <f>M90*(1+PJ_G_PESS)^(1/12)+PJ_APORTE+PJ_REINV*M90*PJ_DY/12</f>
        <v/>
      </c>
      <c r="N91" s="151">
        <f>N90*(1+PJ_G_BASE)^(1/12)+PJ_APORTE+PJ_REINV*N90*PJ_DY/12</f>
        <v/>
      </c>
      <c r="O91" s="151">
        <f>O90*(1+PJ_G_OTIM)^(1/12)+PJ_APORTE+PJ_REINV*O90*PJ_DY/12</f>
        <v/>
      </c>
      <c r="P91" s="151">
        <f>P90*(1+PJ_CDI)^(1/12)+PJ_APORTE</f>
        <v/>
      </c>
      <c r="Q91" s="151">
        <f>N91*PJ_DY/12</f>
        <v/>
      </c>
      <c r="R91" s="151">
        <f>R90+PJ_APORTE</f>
        <v/>
      </c>
    </row>
    <row r="92">
      <c r="K92" s="149" t="n">
        <v>86</v>
      </c>
      <c r="L92" s="150">
        <f>EDATE(TODAY(),K92)</f>
        <v/>
      </c>
      <c r="M92" s="151">
        <f>M91*(1+PJ_G_PESS)^(1/12)+PJ_APORTE+PJ_REINV*M91*PJ_DY/12</f>
        <v/>
      </c>
      <c r="N92" s="151">
        <f>N91*(1+PJ_G_BASE)^(1/12)+PJ_APORTE+PJ_REINV*N91*PJ_DY/12</f>
        <v/>
      </c>
      <c r="O92" s="151">
        <f>O91*(1+PJ_G_OTIM)^(1/12)+PJ_APORTE+PJ_REINV*O91*PJ_DY/12</f>
        <v/>
      </c>
      <c r="P92" s="151">
        <f>P91*(1+PJ_CDI)^(1/12)+PJ_APORTE</f>
        <v/>
      </c>
      <c r="Q92" s="151">
        <f>N92*PJ_DY/12</f>
        <v/>
      </c>
      <c r="R92" s="151">
        <f>R91+PJ_APORTE</f>
        <v/>
      </c>
    </row>
    <row r="93">
      <c r="K93" s="149" t="n">
        <v>87</v>
      </c>
      <c r="L93" s="150">
        <f>EDATE(TODAY(),K93)</f>
        <v/>
      </c>
      <c r="M93" s="151">
        <f>M92*(1+PJ_G_PESS)^(1/12)+PJ_APORTE+PJ_REINV*M92*PJ_DY/12</f>
        <v/>
      </c>
      <c r="N93" s="151">
        <f>N92*(1+PJ_G_BASE)^(1/12)+PJ_APORTE+PJ_REINV*N92*PJ_DY/12</f>
        <v/>
      </c>
      <c r="O93" s="151">
        <f>O92*(1+PJ_G_OTIM)^(1/12)+PJ_APORTE+PJ_REINV*O92*PJ_DY/12</f>
        <v/>
      </c>
      <c r="P93" s="151">
        <f>P92*(1+PJ_CDI)^(1/12)+PJ_APORTE</f>
        <v/>
      </c>
      <c r="Q93" s="151">
        <f>N93*PJ_DY/12</f>
        <v/>
      </c>
      <c r="R93" s="151">
        <f>R92+PJ_APORTE</f>
        <v/>
      </c>
    </row>
    <row r="94">
      <c r="K94" s="149" t="n">
        <v>88</v>
      </c>
      <c r="L94" s="150">
        <f>EDATE(TODAY(),K94)</f>
        <v/>
      </c>
      <c r="M94" s="151">
        <f>M93*(1+PJ_G_PESS)^(1/12)+PJ_APORTE+PJ_REINV*M93*PJ_DY/12</f>
        <v/>
      </c>
      <c r="N94" s="151">
        <f>N93*(1+PJ_G_BASE)^(1/12)+PJ_APORTE+PJ_REINV*N93*PJ_DY/12</f>
        <v/>
      </c>
      <c r="O94" s="151">
        <f>O93*(1+PJ_G_OTIM)^(1/12)+PJ_APORTE+PJ_REINV*O93*PJ_DY/12</f>
        <v/>
      </c>
      <c r="P94" s="151">
        <f>P93*(1+PJ_CDI)^(1/12)+PJ_APORTE</f>
        <v/>
      </c>
      <c r="Q94" s="151">
        <f>N94*PJ_DY/12</f>
        <v/>
      </c>
      <c r="R94" s="151">
        <f>R93+PJ_APORTE</f>
        <v/>
      </c>
    </row>
    <row r="95">
      <c r="K95" s="149" t="n">
        <v>89</v>
      </c>
      <c r="L95" s="150">
        <f>EDATE(TODAY(),K95)</f>
        <v/>
      </c>
      <c r="M95" s="151">
        <f>M94*(1+PJ_G_PESS)^(1/12)+PJ_APORTE+PJ_REINV*M94*PJ_DY/12</f>
        <v/>
      </c>
      <c r="N95" s="151">
        <f>N94*(1+PJ_G_BASE)^(1/12)+PJ_APORTE+PJ_REINV*N94*PJ_DY/12</f>
        <v/>
      </c>
      <c r="O95" s="151">
        <f>O94*(1+PJ_G_OTIM)^(1/12)+PJ_APORTE+PJ_REINV*O94*PJ_DY/12</f>
        <v/>
      </c>
      <c r="P95" s="151">
        <f>P94*(1+PJ_CDI)^(1/12)+PJ_APORTE</f>
        <v/>
      </c>
      <c r="Q95" s="151">
        <f>N95*PJ_DY/12</f>
        <v/>
      </c>
      <c r="R95" s="151">
        <f>R94+PJ_APORTE</f>
        <v/>
      </c>
    </row>
    <row r="96">
      <c r="K96" s="149" t="n">
        <v>90</v>
      </c>
      <c r="L96" s="150">
        <f>EDATE(TODAY(),K96)</f>
        <v/>
      </c>
      <c r="M96" s="151">
        <f>M95*(1+PJ_G_PESS)^(1/12)+PJ_APORTE+PJ_REINV*M95*PJ_DY/12</f>
        <v/>
      </c>
      <c r="N96" s="151">
        <f>N95*(1+PJ_G_BASE)^(1/12)+PJ_APORTE+PJ_REINV*N95*PJ_DY/12</f>
        <v/>
      </c>
      <c r="O96" s="151">
        <f>O95*(1+PJ_G_OTIM)^(1/12)+PJ_APORTE+PJ_REINV*O95*PJ_DY/12</f>
        <v/>
      </c>
      <c r="P96" s="151">
        <f>P95*(1+PJ_CDI)^(1/12)+PJ_APORTE</f>
        <v/>
      </c>
      <c r="Q96" s="151">
        <f>N96*PJ_DY/12</f>
        <v/>
      </c>
      <c r="R96" s="151">
        <f>R95+PJ_APORTE</f>
        <v/>
      </c>
    </row>
    <row r="97">
      <c r="K97" s="149" t="n">
        <v>91</v>
      </c>
      <c r="L97" s="150">
        <f>EDATE(TODAY(),K97)</f>
        <v/>
      </c>
      <c r="M97" s="151">
        <f>M96*(1+PJ_G_PESS)^(1/12)+PJ_APORTE+PJ_REINV*M96*PJ_DY/12</f>
        <v/>
      </c>
      <c r="N97" s="151">
        <f>N96*(1+PJ_G_BASE)^(1/12)+PJ_APORTE+PJ_REINV*N96*PJ_DY/12</f>
        <v/>
      </c>
      <c r="O97" s="151">
        <f>O96*(1+PJ_G_OTIM)^(1/12)+PJ_APORTE+PJ_REINV*O96*PJ_DY/12</f>
        <v/>
      </c>
      <c r="P97" s="151">
        <f>P96*(1+PJ_CDI)^(1/12)+PJ_APORTE</f>
        <v/>
      </c>
      <c r="Q97" s="151">
        <f>N97*PJ_DY/12</f>
        <v/>
      </c>
      <c r="R97" s="151">
        <f>R96+PJ_APORTE</f>
        <v/>
      </c>
    </row>
    <row r="98">
      <c r="K98" s="149" t="n">
        <v>92</v>
      </c>
      <c r="L98" s="150">
        <f>EDATE(TODAY(),K98)</f>
        <v/>
      </c>
      <c r="M98" s="151">
        <f>M97*(1+PJ_G_PESS)^(1/12)+PJ_APORTE+PJ_REINV*M97*PJ_DY/12</f>
        <v/>
      </c>
      <c r="N98" s="151">
        <f>N97*(1+PJ_G_BASE)^(1/12)+PJ_APORTE+PJ_REINV*N97*PJ_DY/12</f>
        <v/>
      </c>
      <c r="O98" s="151">
        <f>O97*(1+PJ_G_OTIM)^(1/12)+PJ_APORTE+PJ_REINV*O97*PJ_DY/12</f>
        <v/>
      </c>
      <c r="P98" s="151">
        <f>P97*(1+PJ_CDI)^(1/12)+PJ_APORTE</f>
        <v/>
      </c>
      <c r="Q98" s="151">
        <f>N98*PJ_DY/12</f>
        <v/>
      </c>
      <c r="R98" s="151">
        <f>R97+PJ_APORTE</f>
        <v/>
      </c>
    </row>
    <row r="99">
      <c r="K99" s="149" t="n">
        <v>93</v>
      </c>
      <c r="L99" s="150">
        <f>EDATE(TODAY(),K99)</f>
        <v/>
      </c>
      <c r="M99" s="151">
        <f>M98*(1+PJ_G_PESS)^(1/12)+PJ_APORTE+PJ_REINV*M98*PJ_DY/12</f>
        <v/>
      </c>
      <c r="N99" s="151">
        <f>N98*(1+PJ_G_BASE)^(1/12)+PJ_APORTE+PJ_REINV*N98*PJ_DY/12</f>
        <v/>
      </c>
      <c r="O99" s="151">
        <f>O98*(1+PJ_G_OTIM)^(1/12)+PJ_APORTE+PJ_REINV*O98*PJ_DY/12</f>
        <v/>
      </c>
      <c r="P99" s="151">
        <f>P98*(1+PJ_CDI)^(1/12)+PJ_APORTE</f>
        <v/>
      </c>
      <c r="Q99" s="151">
        <f>N99*PJ_DY/12</f>
        <v/>
      </c>
      <c r="R99" s="151">
        <f>R98+PJ_APORTE</f>
        <v/>
      </c>
    </row>
    <row r="100">
      <c r="K100" s="149" t="n">
        <v>94</v>
      </c>
      <c r="L100" s="150">
        <f>EDATE(TODAY(),K100)</f>
        <v/>
      </c>
      <c r="M100" s="151">
        <f>M99*(1+PJ_G_PESS)^(1/12)+PJ_APORTE+PJ_REINV*M99*PJ_DY/12</f>
        <v/>
      </c>
      <c r="N100" s="151">
        <f>N99*(1+PJ_G_BASE)^(1/12)+PJ_APORTE+PJ_REINV*N99*PJ_DY/12</f>
        <v/>
      </c>
      <c r="O100" s="151">
        <f>O99*(1+PJ_G_OTIM)^(1/12)+PJ_APORTE+PJ_REINV*O99*PJ_DY/12</f>
        <v/>
      </c>
      <c r="P100" s="151">
        <f>P99*(1+PJ_CDI)^(1/12)+PJ_APORTE</f>
        <v/>
      </c>
      <c r="Q100" s="151">
        <f>N100*PJ_DY/12</f>
        <v/>
      </c>
      <c r="R100" s="151">
        <f>R99+PJ_APORTE</f>
        <v/>
      </c>
    </row>
    <row r="101">
      <c r="K101" s="149" t="n">
        <v>95</v>
      </c>
      <c r="L101" s="150">
        <f>EDATE(TODAY(),K101)</f>
        <v/>
      </c>
      <c r="M101" s="151">
        <f>M100*(1+PJ_G_PESS)^(1/12)+PJ_APORTE+PJ_REINV*M100*PJ_DY/12</f>
        <v/>
      </c>
      <c r="N101" s="151">
        <f>N100*(1+PJ_G_BASE)^(1/12)+PJ_APORTE+PJ_REINV*N100*PJ_DY/12</f>
        <v/>
      </c>
      <c r="O101" s="151">
        <f>O100*(1+PJ_G_OTIM)^(1/12)+PJ_APORTE+PJ_REINV*O100*PJ_DY/12</f>
        <v/>
      </c>
      <c r="P101" s="151">
        <f>P100*(1+PJ_CDI)^(1/12)+PJ_APORTE</f>
        <v/>
      </c>
      <c r="Q101" s="151">
        <f>N101*PJ_DY/12</f>
        <v/>
      </c>
      <c r="R101" s="151">
        <f>R100+PJ_APORTE</f>
        <v/>
      </c>
    </row>
    <row r="102">
      <c r="K102" s="149" t="n">
        <v>96</v>
      </c>
      <c r="L102" s="150">
        <f>EDATE(TODAY(),K102)</f>
        <v/>
      </c>
      <c r="M102" s="151">
        <f>M101*(1+PJ_G_PESS)^(1/12)+PJ_APORTE+PJ_REINV*M101*PJ_DY/12</f>
        <v/>
      </c>
      <c r="N102" s="151">
        <f>N101*(1+PJ_G_BASE)^(1/12)+PJ_APORTE+PJ_REINV*N101*PJ_DY/12</f>
        <v/>
      </c>
      <c r="O102" s="151">
        <f>O101*(1+PJ_G_OTIM)^(1/12)+PJ_APORTE+PJ_REINV*O101*PJ_DY/12</f>
        <v/>
      </c>
      <c r="P102" s="151">
        <f>P101*(1+PJ_CDI)^(1/12)+PJ_APORTE</f>
        <v/>
      </c>
      <c r="Q102" s="151">
        <f>N102*PJ_DY/12</f>
        <v/>
      </c>
      <c r="R102" s="151">
        <f>R101+PJ_APORTE</f>
        <v/>
      </c>
    </row>
    <row r="103">
      <c r="K103" s="149" t="n">
        <v>97</v>
      </c>
      <c r="L103" s="150">
        <f>EDATE(TODAY(),K103)</f>
        <v/>
      </c>
      <c r="M103" s="151">
        <f>M102*(1+PJ_G_PESS)^(1/12)+PJ_APORTE+PJ_REINV*M102*PJ_DY/12</f>
        <v/>
      </c>
      <c r="N103" s="151">
        <f>N102*(1+PJ_G_BASE)^(1/12)+PJ_APORTE+PJ_REINV*N102*PJ_DY/12</f>
        <v/>
      </c>
      <c r="O103" s="151">
        <f>O102*(1+PJ_G_OTIM)^(1/12)+PJ_APORTE+PJ_REINV*O102*PJ_DY/12</f>
        <v/>
      </c>
      <c r="P103" s="151">
        <f>P102*(1+PJ_CDI)^(1/12)+PJ_APORTE</f>
        <v/>
      </c>
      <c r="Q103" s="151">
        <f>N103*PJ_DY/12</f>
        <v/>
      </c>
      <c r="R103" s="151">
        <f>R102+PJ_APORTE</f>
        <v/>
      </c>
    </row>
    <row r="104">
      <c r="K104" s="149" t="n">
        <v>98</v>
      </c>
      <c r="L104" s="150">
        <f>EDATE(TODAY(),K104)</f>
        <v/>
      </c>
      <c r="M104" s="151">
        <f>M103*(1+PJ_G_PESS)^(1/12)+PJ_APORTE+PJ_REINV*M103*PJ_DY/12</f>
        <v/>
      </c>
      <c r="N104" s="151">
        <f>N103*(1+PJ_G_BASE)^(1/12)+PJ_APORTE+PJ_REINV*N103*PJ_DY/12</f>
        <v/>
      </c>
      <c r="O104" s="151">
        <f>O103*(1+PJ_G_OTIM)^(1/12)+PJ_APORTE+PJ_REINV*O103*PJ_DY/12</f>
        <v/>
      </c>
      <c r="P104" s="151">
        <f>P103*(1+PJ_CDI)^(1/12)+PJ_APORTE</f>
        <v/>
      </c>
      <c r="Q104" s="151">
        <f>N104*PJ_DY/12</f>
        <v/>
      </c>
      <c r="R104" s="151">
        <f>R103+PJ_APORTE</f>
        <v/>
      </c>
    </row>
    <row r="105">
      <c r="K105" s="149" t="n">
        <v>99</v>
      </c>
      <c r="L105" s="150">
        <f>EDATE(TODAY(),K105)</f>
        <v/>
      </c>
      <c r="M105" s="151">
        <f>M104*(1+PJ_G_PESS)^(1/12)+PJ_APORTE+PJ_REINV*M104*PJ_DY/12</f>
        <v/>
      </c>
      <c r="N105" s="151">
        <f>N104*(1+PJ_G_BASE)^(1/12)+PJ_APORTE+PJ_REINV*N104*PJ_DY/12</f>
        <v/>
      </c>
      <c r="O105" s="151">
        <f>O104*(1+PJ_G_OTIM)^(1/12)+PJ_APORTE+PJ_REINV*O104*PJ_DY/12</f>
        <v/>
      </c>
      <c r="P105" s="151">
        <f>P104*(1+PJ_CDI)^(1/12)+PJ_APORTE</f>
        <v/>
      </c>
      <c r="Q105" s="151">
        <f>N105*PJ_DY/12</f>
        <v/>
      </c>
      <c r="R105" s="151">
        <f>R104+PJ_APORTE</f>
        <v/>
      </c>
    </row>
    <row r="106">
      <c r="K106" s="149" t="n">
        <v>100</v>
      </c>
      <c r="L106" s="150">
        <f>EDATE(TODAY(),K106)</f>
        <v/>
      </c>
      <c r="M106" s="151">
        <f>M105*(1+PJ_G_PESS)^(1/12)+PJ_APORTE+PJ_REINV*M105*PJ_DY/12</f>
        <v/>
      </c>
      <c r="N106" s="151">
        <f>N105*(1+PJ_G_BASE)^(1/12)+PJ_APORTE+PJ_REINV*N105*PJ_DY/12</f>
        <v/>
      </c>
      <c r="O106" s="151">
        <f>O105*(1+PJ_G_OTIM)^(1/12)+PJ_APORTE+PJ_REINV*O105*PJ_DY/12</f>
        <v/>
      </c>
      <c r="P106" s="151">
        <f>P105*(1+PJ_CDI)^(1/12)+PJ_APORTE</f>
        <v/>
      </c>
      <c r="Q106" s="151">
        <f>N106*PJ_DY/12</f>
        <v/>
      </c>
      <c r="R106" s="151">
        <f>R105+PJ_APORTE</f>
        <v/>
      </c>
    </row>
    <row r="107">
      <c r="K107" s="149" t="n">
        <v>101</v>
      </c>
      <c r="L107" s="150">
        <f>EDATE(TODAY(),K107)</f>
        <v/>
      </c>
      <c r="M107" s="151">
        <f>M106*(1+PJ_G_PESS)^(1/12)+PJ_APORTE+PJ_REINV*M106*PJ_DY/12</f>
        <v/>
      </c>
      <c r="N107" s="151">
        <f>N106*(1+PJ_G_BASE)^(1/12)+PJ_APORTE+PJ_REINV*N106*PJ_DY/12</f>
        <v/>
      </c>
      <c r="O107" s="151">
        <f>O106*(1+PJ_G_OTIM)^(1/12)+PJ_APORTE+PJ_REINV*O106*PJ_DY/12</f>
        <v/>
      </c>
      <c r="P107" s="151">
        <f>P106*(1+PJ_CDI)^(1/12)+PJ_APORTE</f>
        <v/>
      </c>
      <c r="Q107" s="151">
        <f>N107*PJ_DY/12</f>
        <v/>
      </c>
      <c r="R107" s="151">
        <f>R106+PJ_APORTE</f>
        <v/>
      </c>
    </row>
    <row r="108">
      <c r="K108" s="149" t="n">
        <v>102</v>
      </c>
      <c r="L108" s="150">
        <f>EDATE(TODAY(),K108)</f>
        <v/>
      </c>
      <c r="M108" s="151">
        <f>M107*(1+PJ_G_PESS)^(1/12)+PJ_APORTE+PJ_REINV*M107*PJ_DY/12</f>
        <v/>
      </c>
      <c r="N108" s="151">
        <f>N107*(1+PJ_G_BASE)^(1/12)+PJ_APORTE+PJ_REINV*N107*PJ_DY/12</f>
        <v/>
      </c>
      <c r="O108" s="151">
        <f>O107*(1+PJ_G_OTIM)^(1/12)+PJ_APORTE+PJ_REINV*O107*PJ_DY/12</f>
        <v/>
      </c>
      <c r="P108" s="151">
        <f>P107*(1+PJ_CDI)^(1/12)+PJ_APORTE</f>
        <v/>
      </c>
      <c r="Q108" s="151">
        <f>N108*PJ_DY/12</f>
        <v/>
      </c>
      <c r="R108" s="151">
        <f>R107+PJ_APORTE</f>
        <v/>
      </c>
    </row>
    <row r="109">
      <c r="K109" s="149" t="n">
        <v>103</v>
      </c>
      <c r="L109" s="150">
        <f>EDATE(TODAY(),K109)</f>
        <v/>
      </c>
      <c r="M109" s="151">
        <f>M108*(1+PJ_G_PESS)^(1/12)+PJ_APORTE+PJ_REINV*M108*PJ_DY/12</f>
        <v/>
      </c>
      <c r="N109" s="151">
        <f>N108*(1+PJ_G_BASE)^(1/12)+PJ_APORTE+PJ_REINV*N108*PJ_DY/12</f>
        <v/>
      </c>
      <c r="O109" s="151">
        <f>O108*(1+PJ_G_OTIM)^(1/12)+PJ_APORTE+PJ_REINV*O108*PJ_DY/12</f>
        <v/>
      </c>
      <c r="P109" s="151">
        <f>P108*(1+PJ_CDI)^(1/12)+PJ_APORTE</f>
        <v/>
      </c>
      <c r="Q109" s="151">
        <f>N109*PJ_DY/12</f>
        <v/>
      </c>
      <c r="R109" s="151">
        <f>R108+PJ_APORTE</f>
        <v/>
      </c>
    </row>
    <row r="110">
      <c r="K110" s="149" t="n">
        <v>104</v>
      </c>
      <c r="L110" s="150">
        <f>EDATE(TODAY(),K110)</f>
        <v/>
      </c>
      <c r="M110" s="151">
        <f>M109*(1+PJ_G_PESS)^(1/12)+PJ_APORTE+PJ_REINV*M109*PJ_DY/12</f>
        <v/>
      </c>
      <c r="N110" s="151">
        <f>N109*(1+PJ_G_BASE)^(1/12)+PJ_APORTE+PJ_REINV*N109*PJ_DY/12</f>
        <v/>
      </c>
      <c r="O110" s="151">
        <f>O109*(1+PJ_G_OTIM)^(1/12)+PJ_APORTE+PJ_REINV*O109*PJ_DY/12</f>
        <v/>
      </c>
      <c r="P110" s="151">
        <f>P109*(1+PJ_CDI)^(1/12)+PJ_APORTE</f>
        <v/>
      </c>
      <c r="Q110" s="151">
        <f>N110*PJ_DY/12</f>
        <v/>
      </c>
      <c r="R110" s="151">
        <f>R109+PJ_APORTE</f>
        <v/>
      </c>
    </row>
    <row r="111">
      <c r="K111" s="149" t="n">
        <v>105</v>
      </c>
      <c r="L111" s="150">
        <f>EDATE(TODAY(),K111)</f>
        <v/>
      </c>
      <c r="M111" s="151">
        <f>M110*(1+PJ_G_PESS)^(1/12)+PJ_APORTE+PJ_REINV*M110*PJ_DY/12</f>
        <v/>
      </c>
      <c r="N111" s="151">
        <f>N110*(1+PJ_G_BASE)^(1/12)+PJ_APORTE+PJ_REINV*N110*PJ_DY/12</f>
        <v/>
      </c>
      <c r="O111" s="151">
        <f>O110*(1+PJ_G_OTIM)^(1/12)+PJ_APORTE+PJ_REINV*O110*PJ_DY/12</f>
        <v/>
      </c>
      <c r="P111" s="151">
        <f>P110*(1+PJ_CDI)^(1/12)+PJ_APORTE</f>
        <v/>
      </c>
      <c r="Q111" s="151">
        <f>N111*PJ_DY/12</f>
        <v/>
      </c>
      <c r="R111" s="151">
        <f>R110+PJ_APORTE</f>
        <v/>
      </c>
    </row>
    <row r="112">
      <c r="K112" s="149" t="n">
        <v>106</v>
      </c>
      <c r="L112" s="150">
        <f>EDATE(TODAY(),K112)</f>
        <v/>
      </c>
      <c r="M112" s="151">
        <f>M111*(1+PJ_G_PESS)^(1/12)+PJ_APORTE+PJ_REINV*M111*PJ_DY/12</f>
        <v/>
      </c>
      <c r="N112" s="151">
        <f>N111*(1+PJ_G_BASE)^(1/12)+PJ_APORTE+PJ_REINV*N111*PJ_DY/12</f>
        <v/>
      </c>
      <c r="O112" s="151">
        <f>O111*(1+PJ_G_OTIM)^(1/12)+PJ_APORTE+PJ_REINV*O111*PJ_DY/12</f>
        <v/>
      </c>
      <c r="P112" s="151">
        <f>P111*(1+PJ_CDI)^(1/12)+PJ_APORTE</f>
        <v/>
      </c>
      <c r="Q112" s="151">
        <f>N112*PJ_DY/12</f>
        <v/>
      </c>
      <c r="R112" s="151">
        <f>R111+PJ_APORTE</f>
        <v/>
      </c>
    </row>
    <row r="113">
      <c r="K113" s="149" t="n">
        <v>107</v>
      </c>
      <c r="L113" s="150">
        <f>EDATE(TODAY(),K113)</f>
        <v/>
      </c>
      <c r="M113" s="151">
        <f>M112*(1+PJ_G_PESS)^(1/12)+PJ_APORTE+PJ_REINV*M112*PJ_DY/12</f>
        <v/>
      </c>
      <c r="N113" s="151">
        <f>N112*(1+PJ_G_BASE)^(1/12)+PJ_APORTE+PJ_REINV*N112*PJ_DY/12</f>
        <v/>
      </c>
      <c r="O113" s="151">
        <f>O112*(1+PJ_G_OTIM)^(1/12)+PJ_APORTE+PJ_REINV*O112*PJ_DY/12</f>
        <v/>
      </c>
      <c r="P113" s="151">
        <f>P112*(1+PJ_CDI)^(1/12)+PJ_APORTE</f>
        <v/>
      </c>
      <c r="Q113" s="151">
        <f>N113*PJ_DY/12</f>
        <v/>
      </c>
      <c r="R113" s="151">
        <f>R112+PJ_APORTE</f>
        <v/>
      </c>
    </row>
    <row r="114">
      <c r="K114" s="149" t="n">
        <v>108</v>
      </c>
      <c r="L114" s="150">
        <f>EDATE(TODAY(),K114)</f>
        <v/>
      </c>
      <c r="M114" s="151">
        <f>M113*(1+PJ_G_PESS)^(1/12)+PJ_APORTE+PJ_REINV*M113*PJ_DY/12</f>
        <v/>
      </c>
      <c r="N114" s="151">
        <f>N113*(1+PJ_G_BASE)^(1/12)+PJ_APORTE+PJ_REINV*N113*PJ_DY/12</f>
        <v/>
      </c>
      <c r="O114" s="151">
        <f>O113*(1+PJ_G_OTIM)^(1/12)+PJ_APORTE+PJ_REINV*O113*PJ_DY/12</f>
        <v/>
      </c>
      <c r="P114" s="151">
        <f>P113*(1+PJ_CDI)^(1/12)+PJ_APORTE</f>
        <v/>
      </c>
      <c r="Q114" s="151">
        <f>N114*PJ_DY/12</f>
        <v/>
      </c>
      <c r="R114" s="151">
        <f>R113+PJ_APORTE</f>
        <v/>
      </c>
    </row>
    <row r="115">
      <c r="K115" s="149" t="n">
        <v>109</v>
      </c>
      <c r="L115" s="150">
        <f>EDATE(TODAY(),K115)</f>
        <v/>
      </c>
      <c r="M115" s="151">
        <f>M114*(1+PJ_G_PESS)^(1/12)+PJ_APORTE+PJ_REINV*M114*PJ_DY/12</f>
        <v/>
      </c>
      <c r="N115" s="151">
        <f>N114*(1+PJ_G_BASE)^(1/12)+PJ_APORTE+PJ_REINV*N114*PJ_DY/12</f>
        <v/>
      </c>
      <c r="O115" s="151">
        <f>O114*(1+PJ_G_OTIM)^(1/12)+PJ_APORTE+PJ_REINV*O114*PJ_DY/12</f>
        <v/>
      </c>
      <c r="P115" s="151">
        <f>P114*(1+PJ_CDI)^(1/12)+PJ_APORTE</f>
        <v/>
      </c>
      <c r="Q115" s="151">
        <f>N115*PJ_DY/12</f>
        <v/>
      </c>
      <c r="R115" s="151">
        <f>R114+PJ_APORTE</f>
        <v/>
      </c>
    </row>
    <row r="116">
      <c r="K116" s="149" t="n">
        <v>110</v>
      </c>
      <c r="L116" s="150">
        <f>EDATE(TODAY(),K116)</f>
        <v/>
      </c>
      <c r="M116" s="151">
        <f>M115*(1+PJ_G_PESS)^(1/12)+PJ_APORTE+PJ_REINV*M115*PJ_DY/12</f>
        <v/>
      </c>
      <c r="N116" s="151">
        <f>N115*(1+PJ_G_BASE)^(1/12)+PJ_APORTE+PJ_REINV*N115*PJ_DY/12</f>
        <v/>
      </c>
      <c r="O116" s="151">
        <f>O115*(1+PJ_G_OTIM)^(1/12)+PJ_APORTE+PJ_REINV*O115*PJ_DY/12</f>
        <v/>
      </c>
      <c r="P116" s="151">
        <f>P115*(1+PJ_CDI)^(1/12)+PJ_APORTE</f>
        <v/>
      </c>
      <c r="Q116" s="151">
        <f>N116*PJ_DY/12</f>
        <v/>
      </c>
      <c r="R116" s="151">
        <f>R115+PJ_APORTE</f>
        <v/>
      </c>
    </row>
    <row r="117">
      <c r="K117" s="149" t="n">
        <v>111</v>
      </c>
      <c r="L117" s="150">
        <f>EDATE(TODAY(),K117)</f>
        <v/>
      </c>
      <c r="M117" s="151">
        <f>M116*(1+PJ_G_PESS)^(1/12)+PJ_APORTE+PJ_REINV*M116*PJ_DY/12</f>
        <v/>
      </c>
      <c r="N117" s="151">
        <f>N116*(1+PJ_G_BASE)^(1/12)+PJ_APORTE+PJ_REINV*N116*PJ_DY/12</f>
        <v/>
      </c>
      <c r="O117" s="151">
        <f>O116*(1+PJ_G_OTIM)^(1/12)+PJ_APORTE+PJ_REINV*O116*PJ_DY/12</f>
        <v/>
      </c>
      <c r="P117" s="151">
        <f>P116*(1+PJ_CDI)^(1/12)+PJ_APORTE</f>
        <v/>
      </c>
      <c r="Q117" s="151">
        <f>N117*PJ_DY/12</f>
        <v/>
      </c>
      <c r="R117" s="151">
        <f>R116+PJ_APORTE</f>
        <v/>
      </c>
    </row>
    <row r="118">
      <c r="K118" s="149" t="n">
        <v>112</v>
      </c>
      <c r="L118" s="150">
        <f>EDATE(TODAY(),K118)</f>
        <v/>
      </c>
      <c r="M118" s="151">
        <f>M117*(1+PJ_G_PESS)^(1/12)+PJ_APORTE+PJ_REINV*M117*PJ_DY/12</f>
        <v/>
      </c>
      <c r="N118" s="151">
        <f>N117*(1+PJ_G_BASE)^(1/12)+PJ_APORTE+PJ_REINV*N117*PJ_DY/12</f>
        <v/>
      </c>
      <c r="O118" s="151">
        <f>O117*(1+PJ_G_OTIM)^(1/12)+PJ_APORTE+PJ_REINV*O117*PJ_DY/12</f>
        <v/>
      </c>
      <c r="P118" s="151">
        <f>P117*(1+PJ_CDI)^(1/12)+PJ_APORTE</f>
        <v/>
      </c>
      <c r="Q118" s="151">
        <f>N118*PJ_DY/12</f>
        <v/>
      </c>
      <c r="R118" s="151">
        <f>R117+PJ_APORTE</f>
        <v/>
      </c>
    </row>
    <row r="119">
      <c r="K119" s="149" t="n">
        <v>113</v>
      </c>
      <c r="L119" s="150">
        <f>EDATE(TODAY(),K119)</f>
        <v/>
      </c>
      <c r="M119" s="151">
        <f>M118*(1+PJ_G_PESS)^(1/12)+PJ_APORTE+PJ_REINV*M118*PJ_DY/12</f>
        <v/>
      </c>
      <c r="N119" s="151">
        <f>N118*(1+PJ_G_BASE)^(1/12)+PJ_APORTE+PJ_REINV*N118*PJ_DY/12</f>
        <v/>
      </c>
      <c r="O119" s="151">
        <f>O118*(1+PJ_G_OTIM)^(1/12)+PJ_APORTE+PJ_REINV*O118*PJ_DY/12</f>
        <v/>
      </c>
      <c r="P119" s="151">
        <f>P118*(1+PJ_CDI)^(1/12)+PJ_APORTE</f>
        <v/>
      </c>
      <c r="Q119" s="151">
        <f>N119*PJ_DY/12</f>
        <v/>
      </c>
      <c r="R119" s="151">
        <f>R118+PJ_APORTE</f>
        <v/>
      </c>
    </row>
    <row r="120">
      <c r="K120" s="149" t="n">
        <v>114</v>
      </c>
      <c r="L120" s="150">
        <f>EDATE(TODAY(),K120)</f>
        <v/>
      </c>
      <c r="M120" s="151">
        <f>M119*(1+PJ_G_PESS)^(1/12)+PJ_APORTE+PJ_REINV*M119*PJ_DY/12</f>
        <v/>
      </c>
      <c r="N120" s="151">
        <f>N119*(1+PJ_G_BASE)^(1/12)+PJ_APORTE+PJ_REINV*N119*PJ_DY/12</f>
        <v/>
      </c>
      <c r="O120" s="151">
        <f>O119*(1+PJ_G_OTIM)^(1/12)+PJ_APORTE+PJ_REINV*O119*PJ_DY/12</f>
        <v/>
      </c>
      <c r="P120" s="151">
        <f>P119*(1+PJ_CDI)^(1/12)+PJ_APORTE</f>
        <v/>
      </c>
      <c r="Q120" s="151">
        <f>N120*PJ_DY/12</f>
        <v/>
      </c>
      <c r="R120" s="151">
        <f>R119+PJ_APORTE</f>
        <v/>
      </c>
    </row>
    <row r="121">
      <c r="K121" s="149" t="n">
        <v>115</v>
      </c>
      <c r="L121" s="150">
        <f>EDATE(TODAY(),K121)</f>
        <v/>
      </c>
      <c r="M121" s="151">
        <f>M120*(1+PJ_G_PESS)^(1/12)+PJ_APORTE+PJ_REINV*M120*PJ_DY/12</f>
        <v/>
      </c>
      <c r="N121" s="151">
        <f>N120*(1+PJ_G_BASE)^(1/12)+PJ_APORTE+PJ_REINV*N120*PJ_DY/12</f>
        <v/>
      </c>
      <c r="O121" s="151">
        <f>O120*(1+PJ_G_OTIM)^(1/12)+PJ_APORTE+PJ_REINV*O120*PJ_DY/12</f>
        <v/>
      </c>
      <c r="P121" s="151">
        <f>P120*(1+PJ_CDI)^(1/12)+PJ_APORTE</f>
        <v/>
      </c>
      <c r="Q121" s="151">
        <f>N121*PJ_DY/12</f>
        <v/>
      </c>
      <c r="R121" s="151">
        <f>R120+PJ_APORTE</f>
        <v/>
      </c>
    </row>
    <row r="122">
      <c r="K122" s="149" t="n">
        <v>116</v>
      </c>
      <c r="L122" s="150">
        <f>EDATE(TODAY(),K122)</f>
        <v/>
      </c>
      <c r="M122" s="151">
        <f>M121*(1+PJ_G_PESS)^(1/12)+PJ_APORTE+PJ_REINV*M121*PJ_DY/12</f>
        <v/>
      </c>
      <c r="N122" s="151">
        <f>N121*(1+PJ_G_BASE)^(1/12)+PJ_APORTE+PJ_REINV*N121*PJ_DY/12</f>
        <v/>
      </c>
      <c r="O122" s="151">
        <f>O121*(1+PJ_G_OTIM)^(1/12)+PJ_APORTE+PJ_REINV*O121*PJ_DY/12</f>
        <v/>
      </c>
      <c r="P122" s="151">
        <f>P121*(1+PJ_CDI)^(1/12)+PJ_APORTE</f>
        <v/>
      </c>
      <c r="Q122" s="151">
        <f>N122*PJ_DY/12</f>
        <v/>
      </c>
      <c r="R122" s="151">
        <f>R121+PJ_APORTE</f>
        <v/>
      </c>
    </row>
    <row r="123">
      <c r="K123" s="149" t="n">
        <v>117</v>
      </c>
      <c r="L123" s="150">
        <f>EDATE(TODAY(),K123)</f>
        <v/>
      </c>
      <c r="M123" s="151">
        <f>M122*(1+PJ_G_PESS)^(1/12)+PJ_APORTE+PJ_REINV*M122*PJ_DY/12</f>
        <v/>
      </c>
      <c r="N123" s="151">
        <f>N122*(1+PJ_G_BASE)^(1/12)+PJ_APORTE+PJ_REINV*N122*PJ_DY/12</f>
        <v/>
      </c>
      <c r="O123" s="151">
        <f>O122*(1+PJ_G_OTIM)^(1/12)+PJ_APORTE+PJ_REINV*O122*PJ_DY/12</f>
        <v/>
      </c>
      <c r="P123" s="151">
        <f>P122*(1+PJ_CDI)^(1/12)+PJ_APORTE</f>
        <v/>
      </c>
      <c r="Q123" s="151">
        <f>N123*PJ_DY/12</f>
        <v/>
      </c>
      <c r="R123" s="151">
        <f>R122+PJ_APORTE</f>
        <v/>
      </c>
    </row>
    <row r="124">
      <c r="K124" s="149" t="n">
        <v>118</v>
      </c>
      <c r="L124" s="150">
        <f>EDATE(TODAY(),K124)</f>
        <v/>
      </c>
      <c r="M124" s="151">
        <f>M123*(1+PJ_G_PESS)^(1/12)+PJ_APORTE+PJ_REINV*M123*PJ_DY/12</f>
        <v/>
      </c>
      <c r="N124" s="151">
        <f>N123*(1+PJ_G_BASE)^(1/12)+PJ_APORTE+PJ_REINV*N123*PJ_DY/12</f>
        <v/>
      </c>
      <c r="O124" s="151">
        <f>O123*(1+PJ_G_OTIM)^(1/12)+PJ_APORTE+PJ_REINV*O123*PJ_DY/12</f>
        <v/>
      </c>
      <c r="P124" s="151">
        <f>P123*(1+PJ_CDI)^(1/12)+PJ_APORTE</f>
        <v/>
      </c>
      <c r="Q124" s="151">
        <f>N124*PJ_DY/12</f>
        <v/>
      </c>
      <c r="R124" s="151">
        <f>R123+PJ_APORTE</f>
        <v/>
      </c>
    </row>
    <row r="125">
      <c r="K125" s="149" t="n">
        <v>119</v>
      </c>
      <c r="L125" s="150">
        <f>EDATE(TODAY(),K125)</f>
        <v/>
      </c>
      <c r="M125" s="151">
        <f>M124*(1+PJ_G_PESS)^(1/12)+PJ_APORTE+PJ_REINV*M124*PJ_DY/12</f>
        <v/>
      </c>
      <c r="N125" s="151">
        <f>N124*(1+PJ_G_BASE)^(1/12)+PJ_APORTE+PJ_REINV*N124*PJ_DY/12</f>
        <v/>
      </c>
      <c r="O125" s="151">
        <f>O124*(1+PJ_G_OTIM)^(1/12)+PJ_APORTE+PJ_REINV*O124*PJ_DY/12</f>
        <v/>
      </c>
      <c r="P125" s="151">
        <f>P124*(1+PJ_CDI)^(1/12)+PJ_APORTE</f>
        <v/>
      </c>
      <c r="Q125" s="151">
        <f>N125*PJ_DY/12</f>
        <v/>
      </c>
      <c r="R125" s="151">
        <f>R124+PJ_APORTE</f>
        <v/>
      </c>
    </row>
    <row r="126">
      <c r="K126" s="149" t="n">
        <v>120</v>
      </c>
      <c r="L126" s="150">
        <f>EDATE(TODAY(),K126)</f>
        <v/>
      </c>
      <c r="M126" s="151">
        <f>M125*(1+PJ_G_PESS)^(1/12)+PJ_APORTE+PJ_REINV*M125*PJ_DY/12</f>
        <v/>
      </c>
      <c r="N126" s="151">
        <f>N125*(1+PJ_G_BASE)^(1/12)+PJ_APORTE+PJ_REINV*N125*PJ_DY/12</f>
        <v/>
      </c>
      <c r="O126" s="151">
        <f>O125*(1+PJ_G_OTIM)^(1/12)+PJ_APORTE+PJ_REINV*O125*PJ_DY/12</f>
        <v/>
      </c>
      <c r="P126" s="151">
        <f>P125*(1+PJ_CDI)^(1/12)+PJ_APORTE</f>
        <v/>
      </c>
      <c r="Q126" s="151">
        <f>N126*PJ_DY/12</f>
        <v/>
      </c>
      <c r="R126" s="151">
        <f>R125+PJ_APORTE</f>
        <v/>
      </c>
    </row>
    <row r="150">
      <c r="A150" s="120" t="inlineStr">
        <is>
          <t>Como ler</t>
        </is>
      </c>
    </row>
    <row r="151">
      <c r="A151" s="121" t="inlineStr">
        <is>
          <t>• Cada mês: patrimônio × (1 + valorização)^(1/12) + aporte + proventos reinvestidos (se PJ_REINV = 1).</t>
        </is>
      </c>
    </row>
    <row r="152">
      <c r="A152" s="121" t="inlineStr">
        <is>
          <t>• Cenários: base = tendência de 3 anos ponderada pela confiança (R²); pessimista/otimista = ± 1 desvio-padrão do retorno médio no horizonte (volatilidade ÷ √anos).</t>
        </is>
      </c>
    </row>
    <row r="153">
      <c r="A153" s="121" t="inlineStr">
        <is>
          <t>• CDI: mesmo aporte aplicado ao CDI da premissa, sem IR — serve de régua para o custo de oportunidade.</t>
        </is>
      </c>
    </row>
    <row r="154">
      <c r="A154" s="121" t="inlineStr">
        <is>
          <t>• Projeção é estimativa estatística a partir do passado; não é garantia de retorno.</t>
        </is>
      </c>
    </row>
  </sheetData>
  <mergeCells count="1">
    <mergeCell ref="A2:Z2"/>
  </mergeCells>
  <conditionalFormatting sqref="H17:H26">
    <cfRule type="cellIs" priority="1" operator="lessThan" dxfId="2">
      <formula>0</formula>
    </cfRule>
    <cfRule type="cellIs" priority="2" operator="greaterThan" dxfId="8">
      <formula>0</formula>
    </cfRule>
  </conditionalFormatting>
  <conditionalFormatting sqref="I17:I26">
    <cfRule type="dataBar" priority="3">
      <dataBar>
        <cfvo type="num" val="0"/>
        <cfvo type="num" val="1"/>
        <color rgb="000D9488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6A34A"/>
    <outlinePr summaryBelow="1" summaryRight="1"/>
    <pageSetUpPr fitToPage="1"/>
  </sheetPr>
  <dimension ref="A1:AN28"/>
  <sheetViews>
    <sheetView showGridLines="0" showRowColHeader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3" customWidth="1" min="4" max="4"/>
    <col width="30" customWidth="1" min="5" max="5"/>
    <col width="20" customWidth="1" min="6" max="6"/>
    <col width="3" customWidth="1" min="7" max="7"/>
    <col width="11" customWidth="1" min="8" max="8"/>
    <col width="10" customWidth="1" min="9" max="9"/>
    <col width="10" customWidth="1" min="10" max="10"/>
    <col width="9" customWidth="1" min="11" max="11"/>
    <col width="12" customWidth="1" min="12" max="12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Novo Lançamento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Escolha o ticker, informe a quantidade e clique em Registrar — o resto vem do cadastro do ativo.</t>
        </is>
      </c>
      <c r="L3" s="157" t="inlineStr">
        <is>
          <t>cadastro-formulario-v3</t>
        </is>
      </c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</row>
    <row r="5">
      <c r="A5" s="8" t="n"/>
      <c r="B5" s="158" t="inlineStr">
        <is>
          <t>Amarelo = você preenche   •   Cinza ⟲ = automático   •   Marque a caixa Registrar (ou menu InvestERP › Registrar)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</row>
    <row r="7" ht="30" customHeight="1">
      <c r="A7" s="8" t="n"/>
      <c r="B7" s="159" t="inlineStr">
        <is>
          <t>✚  Compra / venda de cotas</t>
        </is>
      </c>
      <c r="C7" s="160" t="n"/>
      <c r="D7" s="8" t="n"/>
      <c r="E7" s="161" t="inlineStr">
        <is>
          <t>◈  Provento recebido</t>
        </is>
      </c>
      <c r="F7" s="162" t="n"/>
      <c r="G7" s="8" t="n"/>
      <c r="H7" s="161" t="inlineStr">
        <is>
          <t>Últimos lançamentos</t>
        </is>
      </c>
      <c r="I7" s="162" t="n"/>
      <c r="J7" s="162" t="n"/>
      <c r="K7" s="162" t="n"/>
      <c r="L7" s="162" t="n"/>
      <c r="M7" s="8" t="n"/>
    </row>
    <row r="8" ht="24" customHeight="1">
      <c r="A8" s="8" t="n"/>
      <c r="B8" s="163" t="inlineStr">
        <is>
          <t>Data  (vazio = hoje)</t>
        </is>
      </c>
      <c r="C8" s="164" t="n"/>
      <c r="D8" s="8" t="n"/>
      <c r="E8" s="163" t="inlineStr">
        <is>
          <t>Data pagamento  (vazio = hoje)</t>
        </is>
      </c>
      <c r="F8" s="164" t="n"/>
      <c r="G8" s="8" t="n"/>
      <c r="H8" s="165" t="inlineStr">
        <is>
          <t>Data</t>
        </is>
      </c>
      <c r="I8" s="165" t="inlineStr">
        <is>
          <t>Ticker</t>
        </is>
      </c>
      <c r="J8" s="165" t="inlineStr">
        <is>
          <t>Operação</t>
        </is>
      </c>
      <c r="K8" s="165" t="inlineStr">
        <is>
          <t>Cotas</t>
        </is>
      </c>
      <c r="L8" s="165" t="inlineStr">
        <is>
          <t>Preço (R$)</t>
        </is>
      </c>
      <c r="M8" s="8" t="n"/>
    </row>
    <row r="9" ht="24" customHeight="1">
      <c r="A9" s="8" t="n"/>
      <c r="B9" s="163" t="inlineStr">
        <is>
          <t>Ticker</t>
        </is>
      </c>
      <c r="C9" s="166" t="n"/>
      <c r="D9" s="8" t="n"/>
      <c r="E9" s="163" t="inlineStr">
        <is>
          <t>Ticker</t>
        </is>
      </c>
      <c r="F9" s="166" t="n"/>
      <c r="G9" s="8" t="n"/>
      <c r="H9" s="167">
        <f>IF((COUNTA('Lançamentos'!$B:$B)+3-0)&lt;5,"",INDEX('Lançamentos'!$A:$A,(COUNTA('Lançamentos'!$B:$B)+3-0)))</f>
        <v/>
      </c>
      <c r="I9" s="168">
        <f>IF((COUNTA('Lançamentos'!$B:$B)+3-0)&lt;5,"",INDEX('Lançamentos'!$B:$B,(COUNTA('Lançamentos'!$B:$B)+3-0)))</f>
        <v/>
      </c>
      <c r="J9" s="169">
        <f>IF((COUNTA('Lançamentos'!$B:$B)+3-0)&lt;5,"",INDEX('Lançamentos'!$C:$C,(COUNTA('Lançamentos'!$B:$B)+3-0)))</f>
        <v/>
      </c>
      <c r="K9" s="170">
        <f>IF((COUNTA('Lançamentos'!$B:$B)+3-0)&lt;5,"",INDEX('Lançamentos'!$D:$D,(COUNTA('Lançamentos'!$B:$B)+3-0)))</f>
        <v/>
      </c>
      <c r="L9" s="171">
        <f>IF((COUNTA('Lançamentos'!$B:$B)+3-0)&lt;5,"",INDEX('Lançamentos'!$E:$E,(COUNTA('Lançamentos'!$B:$B)+3-0)))</f>
        <v/>
      </c>
      <c r="M9" s="8" t="n"/>
    </row>
    <row r="10" ht="24" customHeight="1">
      <c r="A10" s="8" t="n"/>
      <c r="B10" s="163" t="inlineStr">
        <is>
          <t>Operação  (vazio = compra)</t>
        </is>
      </c>
      <c r="C10" s="166" t="n"/>
      <c r="D10" s="8" t="n"/>
      <c r="E10" s="163" t="inlineStr">
        <is>
          <t>Tipo de provento</t>
        </is>
      </c>
      <c r="F10" s="166" t="n"/>
      <c r="G10" s="8" t="n"/>
      <c r="H10" s="167">
        <f>IF((COUNTA('Lançamentos'!$B:$B)+3-1)&lt;5,"",INDEX('Lançamentos'!$A:$A,(COUNTA('Lançamentos'!$B:$B)+3-1)))</f>
        <v/>
      </c>
      <c r="I10" s="168">
        <f>IF((COUNTA('Lançamentos'!$B:$B)+3-1)&lt;5,"",INDEX('Lançamentos'!$B:$B,(COUNTA('Lançamentos'!$B:$B)+3-1)))</f>
        <v/>
      </c>
      <c r="J10" s="169">
        <f>IF((COUNTA('Lançamentos'!$B:$B)+3-1)&lt;5,"",INDEX('Lançamentos'!$C:$C,(COUNTA('Lançamentos'!$B:$B)+3-1)))</f>
        <v/>
      </c>
      <c r="K10" s="170">
        <f>IF((COUNTA('Lançamentos'!$B:$B)+3-1)&lt;5,"",INDEX('Lançamentos'!$D:$D,(COUNTA('Lançamentos'!$B:$B)+3-1)))</f>
        <v/>
      </c>
      <c r="L10" s="171">
        <f>IF((COUNTA('Lançamentos'!$B:$B)+3-1)&lt;5,"",INDEX('Lançamentos'!$E:$E,(COUNTA('Lançamentos'!$B:$B)+3-1)))</f>
        <v/>
      </c>
      <c r="M10" s="8" t="n"/>
    </row>
    <row r="11" ht="24" customHeight="1">
      <c r="A11" s="8" t="n"/>
      <c r="B11" s="163" t="inlineStr">
        <is>
          <t>Quantidade de cotas</t>
        </is>
      </c>
      <c r="C11" s="172" t="n"/>
      <c r="D11" s="8" t="n"/>
      <c r="E11" s="163" t="inlineStr">
        <is>
          <t>Valor por cota (R$)</t>
        </is>
      </c>
      <c r="F11" s="173" t="n"/>
      <c r="G11" s="8" t="n"/>
      <c r="H11" s="167">
        <f>IF((COUNTA('Lançamentos'!$B:$B)+3-2)&lt;5,"",INDEX('Lançamentos'!$A:$A,(COUNTA('Lançamentos'!$B:$B)+3-2)))</f>
        <v/>
      </c>
      <c r="I11" s="168">
        <f>IF((COUNTA('Lançamentos'!$B:$B)+3-2)&lt;5,"",INDEX('Lançamentos'!$B:$B,(COUNTA('Lançamentos'!$B:$B)+3-2)))</f>
        <v/>
      </c>
      <c r="J11" s="169">
        <f>IF((COUNTA('Lançamentos'!$B:$B)+3-2)&lt;5,"",INDEX('Lançamentos'!$C:$C,(COUNTA('Lançamentos'!$B:$B)+3-2)))</f>
        <v/>
      </c>
      <c r="K11" s="170">
        <f>IF((COUNTA('Lançamentos'!$B:$B)+3-2)&lt;5,"",INDEX('Lançamentos'!$D:$D,(COUNTA('Lançamentos'!$B:$B)+3-2)))</f>
        <v/>
      </c>
      <c r="L11" s="171">
        <f>IF((COUNTA('Lançamentos'!$B:$B)+3-2)&lt;5,"",INDEX('Lançamentos'!$E:$E,(COUNTA('Lançamentos'!$B:$B)+3-2)))</f>
        <v/>
      </c>
      <c r="M11" s="8" t="n"/>
    </row>
    <row r="12" ht="24" customHeight="1">
      <c r="A12" s="8" t="n"/>
      <c r="B12" s="163" t="inlineStr">
        <is>
          <t>Preço por cota  (vazio = cotação)</t>
        </is>
      </c>
      <c r="C12" s="174" t="n"/>
      <c r="D12" s="8" t="n"/>
      <c r="E12" s="163" t="inlineStr">
        <is>
          <t>Qtd de cotas  (vazio = suas cotas)</t>
        </is>
      </c>
      <c r="F12" s="172" t="n"/>
      <c r="G12" s="8" t="n"/>
      <c r="H12" s="167">
        <f>IF((COUNTA('Lançamentos'!$B:$B)+3-3)&lt;5,"",INDEX('Lançamentos'!$A:$A,(COUNTA('Lançamentos'!$B:$B)+3-3)))</f>
        <v/>
      </c>
      <c r="I12" s="168">
        <f>IF((COUNTA('Lançamentos'!$B:$B)+3-3)&lt;5,"",INDEX('Lançamentos'!$B:$B,(COUNTA('Lançamentos'!$B:$B)+3-3)))</f>
        <v/>
      </c>
      <c r="J12" s="169">
        <f>IF((COUNTA('Lançamentos'!$B:$B)+3-3)&lt;5,"",INDEX('Lançamentos'!$C:$C,(COUNTA('Lançamentos'!$B:$B)+3-3)))</f>
        <v/>
      </c>
      <c r="K12" s="170">
        <f>IF((COUNTA('Lançamentos'!$B:$B)+3-3)&lt;5,"",INDEX('Lançamentos'!$D:$D,(COUNTA('Lançamentos'!$B:$B)+3-3)))</f>
        <v/>
      </c>
      <c r="L12" s="171">
        <f>IF((COUNTA('Lançamentos'!$B:$B)+3-3)&lt;5,"",INDEX('Lançamentos'!$E:$E,(COUNTA('Lançamentos'!$B:$B)+3-3)))</f>
        <v/>
      </c>
      <c r="M12" s="8" t="n"/>
    </row>
    <row r="13" ht="18" customHeight="1">
      <c r="A13" s="8" t="n"/>
      <c r="B13" s="163" t="inlineStr">
        <is>
          <t>Custos / taxas (R$)</t>
        </is>
      </c>
      <c r="C13" s="174" t="n"/>
      <c r="D13" s="8" t="n"/>
      <c r="E13" s="175" t="inlineStr">
        <is>
          <t>AUTOMÁTICO  ⟲</t>
        </is>
      </c>
      <c r="F13" s="16" t="n"/>
      <c r="G13" s="8" t="n"/>
      <c r="H13" s="167">
        <f>IF((COUNTA('Lançamentos'!$B:$B)+3-4)&lt;5,"",INDEX('Lançamentos'!$A:$A,(COUNTA('Lançamentos'!$B:$B)+3-4)))</f>
        <v/>
      </c>
      <c r="I13" s="168">
        <f>IF((COUNTA('Lançamentos'!$B:$B)+3-4)&lt;5,"",INDEX('Lançamentos'!$B:$B,(COUNTA('Lançamentos'!$B:$B)+3-4)))</f>
        <v/>
      </c>
      <c r="J13" s="169">
        <f>IF((COUNTA('Lançamentos'!$B:$B)+3-4)&lt;5,"",INDEX('Lançamentos'!$C:$C,(COUNTA('Lançamentos'!$B:$B)+3-4)))</f>
        <v/>
      </c>
      <c r="K13" s="170">
        <f>IF((COUNTA('Lançamentos'!$B:$B)+3-4)&lt;5,"",INDEX('Lançamentos'!$D:$D,(COUNTA('Lançamentos'!$B:$B)+3-4)))</f>
        <v/>
      </c>
      <c r="L13" s="171">
        <f>IF((COUNTA('Lançamentos'!$B:$B)+3-4)&lt;5,"",INDEX('Lançamentos'!$E:$E,(COUNTA('Lançamentos'!$B:$B)+3-4)))</f>
        <v/>
      </c>
      <c r="M13" s="8" t="n"/>
    </row>
    <row r="14" ht="21" customHeight="1">
      <c r="A14" s="8" t="n"/>
      <c r="B14" s="175" t="inlineStr">
        <is>
          <t>DADOS DO ATIVO  ⟲ automático</t>
        </is>
      </c>
      <c r="C14" s="16" t="n"/>
      <c r="D14" s="8" t="n"/>
      <c r="E14" s="163" t="inlineStr">
        <is>
          <t>Cotas que você tem</t>
        </is>
      </c>
      <c r="F14" s="176">
        <f>IF(pv_ticker="","",IFERROR(INDEX(Carteira!$C$5:$C$35,MATCH(pv_ticker,Carteira!$A$5:$A$35,0)),0))</f>
        <v/>
      </c>
      <c r="G14" s="8" t="n"/>
      <c r="H14" s="167">
        <f>IF((COUNTA('Lançamentos'!$B:$B)+3-5)&lt;5,"",INDEX('Lançamentos'!$A:$A,(COUNTA('Lançamentos'!$B:$B)+3-5)))</f>
        <v/>
      </c>
      <c r="I14" s="168">
        <f>IF((COUNTA('Lançamentos'!$B:$B)+3-5)&lt;5,"",INDEX('Lançamentos'!$B:$B,(COUNTA('Lançamentos'!$B:$B)+3-5)))</f>
        <v/>
      </c>
      <c r="J14" s="169">
        <f>IF((COUNTA('Lançamentos'!$B:$B)+3-5)&lt;5,"",INDEX('Lançamentos'!$C:$C,(COUNTA('Lançamentos'!$B:$B)+3-5)))</f>
        <v/>
      </c>
      <c r="K14" s="170">
        <f>IF((COUNTA('Lançamentos'!$B:$B)+3-5)&lt;5,"",INDEX('Lançamentos'!$D:$D,(COUNTA('Lançamentos'!$B:$B)+3-5)))</f>
        <v/>
      </c>
      <c r="L14" s="171">
        <f>IF((COUNTA('Lançamentos'!$B:$B)+3-5)&lt;5,"",INDEX('Lançamentos'!$E:$E,(COUNTA('Lançamentos'!$B:$B)+3-5)))</f>
        <v/>
      </c>
      <c r="M14" s="8" t="n"/>
    </row>
    <row r="15" ht="21" customHeight="1">
      <c r="A15" s="8" t="n"/>
      <c r="B15" s="163" t="inlineStr">
        <is>
          <t>Ativo</t>
        </is>
      </c>
      <c r="C15" s="177">
        <f>IF(lc_ticker="","",IFERROR(INDEX(Ativos!$B$5:$B$35,MATCH(lc_ticker,Ativos!$A$5:$A$35,0))&amp;"  •  "&amp;INDEX(Ativos!$C$5:$C$35,MATCH(lc_ticker,Ativos!$A$5:$A$35,0)),"Ticker novo — preencha Tipo e Segmento abaixo"))</f>
        <v/>
      </c>
      <c r="D15" s="8" t="n"/>
      <c r="E15" s="163" t="inlineStr">
        <is>
          <t>Total recebido</t>
        </is>
      </c>
      <c r="F15" s="178">
        <f>IF(pv_valor="","",pv_valor*IF(pv_qtd="",N(pv_tem),pv_qtd))</f>
        <v/>
      </c>
      <c r="G15" s="8" t="n"/>
      <c r="H15" s="167">
        <f>IF((COUNTA('Lançamentos'!$B:$B)+3-6)&lt;5,"",INDEX('Lançamentos'!$A:$A,(COUNTA('Lançamentos'!$B:$B)+3-6)))</f>
        <v/>
      </c>
      <c r="I15" s="168">
        <f>IF((COUNTA('Lançamentos'!$B:$B)+3-6)&lt;5,"",INDEX('Lançamentos'!$B:$B,(COUNTA('Lançamentos'!$B:$B)+3-6)))</f>
        <v/>
      </c>
      <c r="J15" s="169">
        <f>IF((COUNTA('Lançamentos'!$B:$B)+3-6)&lt;5,"",INDEX('Lançamentos'!$C:$C,(COUNTA('Lançamentos'!$B:$B)+3-6)))</f>
        <v/>
      </c>
      <c r="K15" s="170">
        <f>IF((COUNTA('Lançamentos'!$B:$B)+3-6)&lt;5,"",INDEX('Lançamentos'!$D:$D,(COUNTA('Lançamentos'!$B:$B)+3-6)))</f>
        <v/>
      </c>
      <c r="L15" s="171">
        <f>IF((COUNTA('Lançamentos'!$B:$B)+3-6)&lt;5,"",INDEX('Lançamentos'!$E:$E,(COUNTA('Lançamentos'!$B:$B)+3-6)))</f>
        <v/>
      </c>
      <c r="M15" s="8" t="n"/>
    </row>
    <row r="16" ht="30" customHeight="1">
      <c r="A16" s="8" t="n"/>
      <c r="B16" s="163" t="inlineStr">
        <is>
          <t>Cotação atual (R$)</t>
        </is>
      </c>
      <c r="C16" s="179">
        <f>IF(lc_ticker="","",IFERROR(INDEX(Ativos!$D$5:$D$35,MATCH(lc_ticker,Ativos!$A$5:$A$35,0)),""))</f>
        <v/>
      </c>
      <c r="D16" s="8" t="n"/>
      <c r="E16" s="180" t="n"/>
      <c r="F16" s="49" t="n"/>
      <c r="G16" s="8" t="n"/>
      <c r="H16" s="167">
        <f>IF((COUNTA('Lançamentos'!$B:$B)+3-7)&lt;5,"",INDEX('Lançamentos'!$A:$A,(COUNTA('Lançamentos'!$B:$B)+3-7)))</f>
        <v/>
      </c>
      <c r="I16" s="168">
        <f>IF((COUNTA('Lançamentos'!$B:$B)+3-7)&lt;5,"",INDEX('Lançamentos'!$B:$B,(COUNTA('Lançamentos'!$B:$B)+3-7)))</f>
        <v/>
      </c>
      <c r="J16" s="169">
        <f>IF((COUNTA('Lançamentos'!$B:$B)+3-7)&lt;5,"",INDEX('Lançamentos'!$C:$C,(COUNTA('Lançamentos'!$B:$B)+3-7)))</f>
        <v/>
      </c>
      <c r="K16" s="170">
        <f>IF((COUNTA('Lançamentos'!$B:$B)+3-7)&lt;5,"",INDEX('Lançamentos'!$D:$D,(COUNTA('Lançamentos'!$B:$B)+3-7)))</f>
        <v/>
      </c>
      <c r="L16" s="171">
        <f>IF((COUNTA('Lançamentos'!$B:$B)+3-7)&lt;5,"",INDEX('Lançamentos'!$E:$E,(COUNTA('Lançamentos'!$B:$B)+3-7)))</f>
        <v/>
      </c>
      <c r="M16" s="8" t="n"/>
    </row>
    <row r="17" ht="15" customHeight="1">
      <c r="A17" s="8" t="n"/>
      <c r="B17" s="163" t="inlineStr">
        <is>
          <t>Cotas que você tem</t>
        </is>
      </c>
      <c r="C17" s="176">
        <f>IF(lc_ticker="","",IFERROR(INDEX(Carteira!$C$5:$C$35,MATCH(lc_ticker,Carteira!$A$5:$A$35,0)),0))</f>
        <v/>
      </c>
      <c r="D17" s="8" t="n"/>
      <c r="E17" s="8" t="n"/>
      <c r="F17" s="8" t="n"/>
      <c r="G17" s="8" t="n"/>
      <c r="H17" s="167">
        <f>IF((COUNTA('Lançamentos'!$B:$B)+3-8)&lt;5,"",INDEX('Lançamentos'!$A:$A,(COUNTA('Lançamentos'!$B:$B)+3-8)))</f>
        <v/>
      </c>
      <c r="I17" s="168">
        <f>IF((COUNTA('Lançamentos'!$B:$B)+3-8)&lt;5,"",INDEX('Lançamentos'!$B:$B,(COUNTA('Lançamentos'!$B:$B)+3-8)))</f>
        <v/>
      </c>
      <c r="J17" s="169">
        <f>IF((COUNTA('Lançamentos'!$B:$B)+3-8)&lt;5,"",INDEX('Lançamentos'!$C:$C,(COUNTA('Lançamentos'!$B:$B)+3-8)))</f>
        <v/>
      </c>
      <c r="K17" s="170">
        <f>IF((COUNTA('Lançamentos'!$B:$B)+3-8)&lt;5,"",INDEX('Lançamentos'!$D:$D,(COUNTA('Lançamentos'!$B:$B)+3-8)))</f>
        <v/>
      </c>
      <c r="L17" s="171">
        <f>IF((COUNTA('Lançamentos'!$B:$B)+3-8)&lt;5,"",INDEX('Lançamentos'!$E:$E,(COUNTA('Lançamentos'!$B:$B)+3-8)))</f>
        <v/>
      </c>
      <c r="M17" s="8" t="n"/>
    </row>
    <row r="18" ht="32" customHeight="1">
      <c r="A18" s="8" t="n"/>
      <c r="B18" s="175" t="inlineStr">
        <is>
          <t>SÓ PARA TICKER NOVO</t>
        </is>
      </c>
      <c r="C18" s="16" t="n"/>
      <c r="D18" s="8" t="n"/>
      <c r="E18" s="181" t="inlineStr">
        <is>
          <t>✔  Registrar provento  →</t>
        </is>
      </c>
      <c r="F18" s="182" t="b">
        <v>0</v>
      </c>
      <c r="G18" s="8" t="n"/>
      <c r="H18" s="167">
        <f>IF((COUNTA('Lançamentos'!$B:$B)+3-9)&lt;5,"",INDEX('Lançamentos'!$A:$A,(COUNTA('Lançamentos'!$B:$B)+3-9)))</f>
        <v/>
      </c>
      <c r="I18" s="168">
        <f>IF((COUNTA('Lançamentos'!$B:$B)+3-9)&lt;5,"",INDEX('Lançamentos'!$B:$B,(COUNTA('Lançamentos'!$B:$B)+3-9)))</f>
        <v/>
      </c>
      <c r="J18" s="169">
        <f>IF((COUNTA('Lançamentos'!$B:$B)+3-9)&lt;5,"",INDEX('Lançamentos'!$C:$C,(COUNTA('Lançamentos'!$B:$B)+3-9)))</f>
        <v/>
      </c>
      <c r="K18" s="170">
        <f>IF((COUNTA('Lançamentos'!$B:$B)+3-9)&lt;5,"",INDEX('Lançamentos'!$D:$D,(COUNTA('Lançamentos'!$B:$B)+3-9)))</f>
        <v/>
      </c>
      <c r="L18" s="171">
        <f>IF((COUNTA('Lançamentos'!$B:$B)+3-9)&lt;5,"",INDEX('Lançamentos'!$E:$E,(COUNTA('Lançamentos'!$B:$B)+3-9)))</f>
        <v/>
      </c>
      <c r="M18" s="8" t="n"/>
    </row>
    <row r="19" ht="24" customHeight="1">
      <c r="A19" s="8" t="n"/>
      <c r="B19" s="163" t="inlineStr">
        <is>
          <t>Tipo do ativo (AÇÃO / FII)</t>
        </is>
      </c>
      <c r="C19" s="166" t="n"/>
      <c r="D19" s="8" t="n"/>
      <c r="E19" s="8" t="n"/>
      <c r="F19" s="8" t="n"/>
      <c r="G19" s="8" t="n"/>
      <c r="H19" s="167">
        <f>IF((COUNTA('Lançamentos'!$B:$B)+3-10)&lt;5,"",INDEX('Lançamentos'!$A:$A,(COUNTA('Lançamentos'!$B:$B)+3-10)))</f>
        <v/>
      </c>
      <c r="I19" s="168">
        <f>IF((COUNTA('Lançamentos'!$B:$B)+3-10)&lt;5,"",INDEX('Lançamentos'!$B:$B,(COUNTA('Lançamentos'!$B:$B)+3-10)))</f>
        <v/>
      </c>
      <c r="J19" s="169">
        <f>IF((COUNTA('Lançamentos'!$B:$B)+3-10)&lt;5,"",INDEX('Lançamentos'!$C:$C,(COUNTA('Lançamentos'!$B:$B)+3-10)))</f>
        <v/>
      </c>
      <c r="K19" s="170">
        <f>IF((COUNTA('Lançamentos'!$B:$B)+3-10)&lt;5,"",INDEX('Lançamentos'!$D:$D,(COUNTA('Lançamentos'!$B:$B)+3-10)))</f>
        <v/>
      </c>
      <c r="L19" s="171">
        <f>IF((COUNTA('Lançamentos'!$B:$B)+3-10)&lt;5,"",INDEX('Lançamentos'!$E:$E,(COUNTA('Lançamentos'!$B:$B)+3-10)))</f>
        <v/>
      </c>
      <c r="M19" s="8" t="n"/>
    </row>
    <row r="20" ht="24" customHeight="1">
      <c r="A20" s="8" t="n"/>
      <c r="B20" s="163" t="inlineStr">
        <is>
          <t>Segmento</t>
        </is>
      </c>
      <c r="C20" s="166" t="n"/>
      <c r="D20" s="8" t="n"/>
      <c r="E20" s="8" t="n"/>
      <c r="F20" s="8" t="n"/>
      <c r="G20" s="8" t="n"/>
      <c r="H20" s="167">
        <f>IF((COUNTA('Lançamentos'!$B:$B)+3-11)&lt;5,"",INDEX('Lançamentos'!$A:$A,(COUNTA('Lançamentos'!$B:$B)+3-11)))</f>
        <v/>
      </c>
      <c r="I20" s="168">
        <f>IF((COUNTA('Lançamentos'!$B:$B)+3-11)&lt;5,"",INDEX('Lançamentos'!$B:$B,(COUNTA('Lançamentos'!$B:$B)+3-11)))</f>
        <v/>
      </c>
      <c r="J20" s="169">
        <f>IF((COUNTA('Lançamentos'!$B:$B)+3-11)&lt;5,"",INDEX('Lançamentos'!$C:$C,(COUNTA('Lançamentos'!$B:$B)+3-11)))</f>
        <v/>
      </c>
      <c r="K20" s="170">
        <f>IF((COUNTA('Lançamentos'!$B:$B)+3-11)&lt;5,"",INDEX('Lançamentos'!$D:$D,(COUNTA('Lançamentos'!$B:$B)+3-11)))</f>
        <v/>
      </c>
      <c r="L20" s="171">
        <f>IF((COUNTA('Lançamentos'!$B:$B)+3-11)&lt;5,"",INDEX('Lançamentos'!$E:$E,(COUNTA('Lançamentos'!$B:$B)+3-11)))</f>
        <v/>
      </c>
      <c r="M20" s="8" t="n"/>
    </row>
    <row r="21" ht="18" customHeight="1">
      <c r="A21" s="8" t="n"/>
      <c r="B21" s="175" t="inlineStr">
        <is>
          <t>RESUMO</t>
        </is>
      </c>
      <c r="C21" s="16" t="n"/>
      <c r="D21" s="8" t="n"/>
      <c r="E21" s="8" t="n"/>
      <c r="F21" s="8" t="n"/>
      <c r="G21" s="8" t="n"/>
      <c r="H21" s="167">
        <f>IF((COUNTA('Lançamentos'!$B:$B)+3-12)&lt;5,"",INDEX('Lançamentos'!$A:$A,(COUNTA('Lançamentos'!$B:$B)+3-12)))</f>
        <v/>
      </c>
      <c r="I21" s="168">
        <f>IF((COUNTA('Lançamentos'!$B:$B)+3-12)&lt;5,"",INDEX('Lançamentos'!$B:$B,(COUNTA('Lançamentos'!$B:$B)+3-12)))</f>
        <v/>
      </c>
      <c r="J21" s="169">
        <f>IF((COUNTA('Lançamentos'!$B:$B)+3-12)&lt;5,"",INDEX('Lançamentos'!$C:$C,(COUNTA('Lançamentos'!$B:$B)+3-12)))</f>
        <v/>
      </c>
      <c r="K21" s="170">
        <f>IF((COUNTA('Lançamentos'!$B:$B)+3-12)&lt;5,"",INDEX('Lançamentos'!$D:$D,(COUNTA('Lançamentos'!$B:$B)+3-12)))</f>
        <v/>
      </c>
      <c r="L21" s="171">
        <f>IF((COUNTA('Lançamentos'!$B:$B)+3-12)&lt;5,"",INDEX('Lançamentos'!$E:$E,(COUNTA('Lançamentos'!$B:$B)+3-12)))</f>
        <v/>
      </c>
      <c r="M21" s="8" t="n"/>
    </row>
    <row r="22" ht="21" customHeight="1">
      <c r="A22" s="8" t="n"/>
      <c r="B22" s="163" t="inlineStr">
        <is>
          <t>Total do lançamento</t>
        </is>
      </c>
      <c r="C22" s="178">
        <f>IF(lc_qtd="","",lc_qtd*IF(lc_preco="",N(lc_cot),lc_preco)+N(lc_custos))</f>
        <v/>
      </c>
      <c r="D22" s="8" t="n"/>
      <c r="E22" s="8" t="n"/>
      <c r="F22" s="8" t="n"/>
      <c r="G22" s="8" t="n"/>
      <c r="H22" s="167">
        <f>IF((COUNTA('Lançamentos'!$B:$B)+3-13)&lt;5,"",INDEX('Lançamentos'!$A:$A,(COUNTA('Lançamentos'!$B:$B)+3-13)))</f>
        <v/>
      </c>
      <c r="I22" s="168">
        <f>IF((COUNTA('Lançamentos'!$B:$B)+3-13)&lt;5,"",INDEX('Lançamentos'!$B:$B,(COUNTA('Lançamentos'!$B:$B)+3-13)))</f>
        <v/>
      </c>
      <c r="J22" s="169">
        <f>IF((COUNTA('Lançamentos'!$B:$B)+3-13)&lt;5,"",INDEX('Lançamentos'!$C:$C,(COUNTA('Lançamentos'!$B:$B)+3-13)))</f>
        <v/>
      </c>
      <c r="K22" s="170">
        <f>IF((COUNTA('Lançamentos'!$B:$B)+3-13)&lt;5,"",INDEX('Lançamentos'!$D:$D,(COUNTA('Lançamentos'!$B:$B)+3-13)))</f>
        <v/>
      </c>
      <c r="L22" s="171">
        <f>IF((COUNTA('Lançamentos'!$B:$B)+3-13)&lt;5,"",INDEX('Lançamentos'!$E:$E,(COUNTA('Lançamentos'!$B:$B)+3-13)))</f>
        <v/>
      </c>
      <c r="M22" s="8" t="n"/>
    </row>
    <row r="23" ht="21" customHeight="1">
      <c r="A23" s="8" t="n"/>
      <c r="B23" s="163" t="inlineStr">
        <is>
          <t>Cotas após o lançamento</t>
        </is>
      </c>
      <c r="C23" s="176">
        <f>IF(lc_qtd="","",N(lc_tem)+IF(UPPER(lc_op)="VENDA",-1,1)*lc_qtd)</f>
        <v/>
      </c>
      <c r="D23" s="8" t="n"/>
      <c r="E23" s="8" t="n"/>
      <c r="F23" s="8" t="n"/>
      <c r="G23" s="8" t="n"/>
      <c r="H23" s="167">
        <f>IF((COUNTA('Lançamentos'!$B:$B)+3-14)&lt;5,"",INDEX('Lançamentos'!$A:$A,(COUNTA('Lançamentos'!$B:$B)+3-14)))</f>
        <v/>
      </c>
      <c r="I23" s="168">
        <f>IF((COUNTA('Lançamentos'!$B:$B)+3-14)&lt;5,"",INDEX('Lançamentos'!$B:$B,(COUNTA('Lançamentos'!$B:$B)+3-14)))</f>
        <v/>
      </c>
      <c r="J23" s="169">
        <f>IF((COUNTA('Lançamentos'!$B:$B)+3-14)&lt;5,"",INDEX('Lançamentos'!$C:$C,(COUNTA('Lançamentos'!$B:$B)+3-14)))</f>
        <v/>
      </c>
      <c r="K23" s="170">
        <f>IF((COUNTA('Lançamentos'!$B:$B)+3-14)&lt;5,"",INDEX('Lançamentos'!$D:$D,(COUNTA('Lançamentos'!$B:$B)+3-14)))</f>
        <v/>
      </c>
      <c r="L23" s="171">
        <f>IF((COUNTA('Lançamentos'!$B:$B)+3-14)&lt;5,"",INDEX('Lançamentos'!$E:$E,(COUNTA('Lançamentos'!$B:$B)+3-14)))</f>
        <v/>
      </c>
      <c r="M23" s="8" t="n"/>
    </row>
    <row r="24" ht="30" customHeight="1">
      <c r="A24" s="8" t="n"/>
      <c r="B24" s="180" t="n"/>
      <c r="C24" s="49" t="n"/>
      <c r="D24" s="8" t="n"/>
      <c r="E24" s="8" t="n"/>
      <c r="F24" s="8" t="n"/>
      <c r="G24" s="8" t="n"/>
      <c r="H24" s="158" t="inlineStr">
        <is>
          <t>Histórico completo na aba Lançamentos • posição de cada ativo na aba Carteira</t>
        </is>
      </c>
      <c r="I24" s="8" t="n"/>
      <c r="J24" s="8" t="n"/>
      <c r="K24" s="8" t="n"/>
      <c r="L24" s="8" t="n"/>
      <c r="M24" s="8" t="n"/>
    </row>
    <row r="25" ht="15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32" customHeight="1">
      <c r="A26" s="8" t="n"/>
      <c r="B26" s="183" t="inlineStr">
        <is>
          <t>✔  Registrar lançamento  →</t>
        </is>
      </c>
      <c r="C26" s="182" t="b">
        <v>0</v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</sheetData>
  <mergeCells count="10">
    <mergeCell ref="B21:C21"/>
    <mergeCell ref="B24:C24"/>
    <mergeCell ref="E16:F16"/>
    <mergeCell ref="B7:C7"/>
    <mergeCell ref="H7:L7"/>
    <mergeCell ref="E7:F7"/>
    <mergeCell ref="B14:C14"/>
    <mergeCell ref="E13:F13"/>
    <mergeCell ref="A2:Z2"/>
    <mergeCell ref="B18:C18"/>
  </mergeCells>
  <dataValidations count="5">
    <dataValidation sqref="C9" showDropDown="0" showInputMessage="0" showErrorMessage="0" allowBlank="1" type="list">
      <formula1>=Ativos!$A$5:$A$35</formula1>
    </dataValidation>
    <dataValidation sqref="C10" showDropDown="0" showInputMessage="0" showErrorMessage="0" allowBlank="1" type="list">
      <formula1>"COMPRA,VENDA"</formula1>
    </dataValidation>
    <dataValidation sqref="C19" showDropDown="0" showInputMessage="0" showErrorMessage="0" allowBlank="1" type="list">
      <formula1>"AÇÃO,FII"</formula1>
    </dataValidation>
    <dataValidation sqref="F9" showDropDown="0" showInputMessage="0" showErrorMessage="0" allowBlank="1" type="list">
      <formula1>=Ativos!$A$5:$A$35</formula1>
    </dataValidation>
    <dataValidation sqref="F10" showDropDown="0" showInputMessage="0" showErrorMessage="0" allowBlank="1" type="list">
      <formula1>"DIVIDENDO,JCP,RENDIMENTO,AMORTIZAÇÃO"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26" customWidth="1" min="3" max="3"/>
    <col width="14" customWidth="1" min="4" max="4"/>
    <col width="16" customWidth="1" min="5" max="5"/>
    <col width="11" customWidth="1" min="6" max="6"/>
    <col width="14" customWidth="1" min="7" max="7"/>
    <col width="14" customWidth="1" min="8" max="8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Cadastro de Ativos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dados/ativos.csv — edite lá e rode gestao.py (ou atualizar.bat).</t>
        </is>
      </c>
    </row>
    <row r="4" ht="32" customHeight="1">
      <c r="A4" s="94" t="inlineStr">
        <is>
          <t>Ticker</t>
        </is>
      </c>
      <c r="B4" s="94" t="inlineStr">
        <is>
          <t>Tipo</t>
        </is>
      </c>
      <c r="C4" s="94" t="inlineStr">
        <is>
          <t>Segmento</t>
        </is>
      </c>
      <c r="D4" s="94" t="inlineStr">
        <is>
          <t>Cotação (R$)</t>
        </is>
      </c>
      <c r="E4" s="94" t="inlineStr">
        <is>
          <t>Provento 12m por cota (R$)</t>
        </is>
      </c>
      <c r="F4" s="94" t="inlineStr">
        <is>
          <t>Peso ideal</t>
        </is>
      </c>
      <c r="G4" s="94" t="inlineStr">
        <is>
          <t>Atualizado em</t>
        </is>
      </c>
      <c r="H4" s="94" t="inlineStr">
        <is>
          <t>Cotação base (R$)</t>
        </is>
      </c>
    </row>
    <row r="5">
      <c r="A5" s="184" t="inlineStr">
        <is>
          <t>VALE3</t>
        </is>
      </c>
      <c r="B5" s="184" t="inlineStr">
        <is>
          <t>AÇÃO</t>
        </is>
      </c>
      <c r="C5" s="184" t="inlineStr">
        <is>
          <t>Mineração</t>
        </is>
      </c>
      <c r="D5" s="185">
        <f>IF(A5="","",IFERROR(GOOGLEFINANCE("BVMF:"&amp;A5),H5))</f>
        <v/>
      </c>
      <c r="E5" s="185" t="n">
        <v>5.6125</v>
      </c>
      <c r="F5" s="152" t="n">
        <v>0.1</v>
      </c>
      <c r="G5" s="138" t="inlineStr">
        <is>
          <t>28/09/2026</t>
        </is>
      </c>
      <c r="H5" s="185" t="n">
        <v>71.16</v>
      </c>
    </row>
    <row r="6">
      <c r="A6" s="184" t="inlineStr">
        <is>
          <t>TAEE11</t>
        </is>
      </c>
      <c r="B6" s="184" t="inlineStr">
        <is>
          <t>AÇÃO</t>
        </is>
      </c>
      <c r="C6" s="184" t="inlineStr">
        <is>
          <t>Energia – Transmissão</t>
        </is>
      </c>
      <c r="D6" s="185">
        <f>IF(A6="","",IFERROR(GOOGLEFINANCE("BVMF:"&amp;A6),H6))</f>
        <v/>
      </c>
      <c r="E6" s="185" t="n">
        <v>3.0065</v>
      </c>
      <c r="F6" s="152" t="n">
        <v>0.05</v>
      </c>
      <c r="G6" s="138" t="inlineStr">
        <is>
          <t>28/09/2026</t>
        </is>
      </c>
      <c r="H6" s="185" t="n">
        <v>40.22</v>
      </c>
    </row>
    <row r="7">
      <c r="A7" s="184" t="inlineStr">
        <is>
          <t>PETR4</t>
        </is>
      </c>
      <c r="B7" s="184" t="inlineStr">
        <is>
          <t>AÇÃO</t>
        </is>
      </c>
      <c r="C7" s="184" t="inlineStr">
        <is>
          <t>Petróleo &amp; Gás</t>
        </is>
      </c>
      <c r="D7" s="185">
        <f>IF(A7="","",IFERROR(GOOGLEFINANCE("BVMF:"&amp;A7),H7))</f>
        <v/>
      </c>
      <c r="E7" s="185" t="n">
        <v>3.6643</v>
      </c>
      <c r="F7" s="152" t="n">
        <v>0.07000000000000001</v>
      </c>
      <c r="G7" s="138" t="inlineStr">
        <is>
          <t>28/09/2026</t>
        </is>
      </c>
      <c r="H7" s="185" t="n">
        <v>48.72</v>
      </c>
    </row>
    <row r="8">
      <c r="A8" s="184" t="inlineStr">
        <is>
          <t>BBAS3</t>
        </is>
      </c>
      <c r="B8" s="184" t="inlineStr">
        <is>
          <t>AÇÃO</t>
        </is>
      </c>
      <c r="C8" s="184" t="inlineStr">
        <is>
          <t>Bancos</t>
        </is>
      </c>
      <c r="D8" s="185">
        <f>IF(A8="","",IFERROR(GOOGLEFINANCE("BVMF:"&amp;A8),H8))</f>
        <v/>
      </c>
      <c r="E8" s="185" t="n">
        <v>0.655</v>
      </c>
      <c r="F8" s="152" t="n">
        <v>0.06</v>
      </c>
      <c r="G8" s="138" t="inlineStr">
        <is>
          <t>28/09/2026</t>
        </is>
      </c>
      <c r="H8" s="185" t="n">
        <v>21.49</v>
      </c>
    </row>
    <row r="9">
      <c r="A9" s="184" t="inlineStr">
        <is>
          <t>BRBI11</t>
        </is>
      </c>
      <c r="B9" s="184" t="inlineStr">
        <is>
          <t>AÇÃO</t>
        </is>
      </c>
      <c r="C9" s="184" t="inlineStr">
        <is>
          <t>Banco de investimento</t>
        </is>
      </c>
      <c r="D9" s="185">
        <f>IF(A9="","",IFERROR(GOOGLEFINANCE("BVMF:"&amp;A9),H9))</f>
        <v/>
      </c>
      <c r="E9" s="185" t="n">
        <v>1.38</v>
      </c>
      <c r="F9" s="152" t="n">
        <v>0.05</v>
      </c>
      <c r="G9" s="138" t="inlineStr">
        <is>
          <t>28/09/2026</t>
        </is>
      </c>
      <c r="H9" s="185" t="n">
        <v>14.5</v>
      </c>
    </row>
    <row r="10">
      <c r="A10" s="184" t="inlineStr">
        <is>
          <t>BBDC4</t>
        </is>
      </c>
      <c r="B10" s="184" t="inlineStr">
        <is>
          <t>AÇÃO</t>
        </is>
      </c>
      <c r="C10" s="184" t="inlineStr">
        <is>
          <t>Bancos</t>
        </is>
      </c>
      <c r="D10" s="185">
        <f>IF(A10="","",IFERROR(GOOGLEFINANCE("BVMF:"&amp;A10),H10))</f>
        <v/>
      </c>
      <c r="E10" s="185" t="n">
        <v>1.5528</v>
      </c>
      <c r="F10" s="152" t="n">
        <v>0.05</v>
      </c>
      <c r="G10" s="138" t="inlineStr">
        <is>
          <t>28/09/2026</t>
        </is>
      </c>
      <c r="H10" s="185" t="n">
        <v>17.66</v>
      </c>
    </row>
    <row r="11">
      <c r="A11" s="184" t="inlineStr">
        <is>
          <t>ITSA4</t>
        </is>
      </c>
      <c r="B11" s="184" t="inlineStr">
        <is>
          <t>AÇÃO</t>
        </is>
      </c>
      <c r="C11" s="184" t="inlineStr">
        <is>
          <t>Holding – Bancos</t>
        </is>
      </c>
      <c r="D11" s="185">
        <f>IF(A11="","",IFERROR(GOOGLEFINANCE("BVMF:"&amp;A11),H11))</f>
        <v/>
      </c>
      <c r="E11" s="185" t="n">
        <v>1.1278</v>
      </c>
      <c r="F11" s="152" t="n">
        <v>0.1</v>
      </c>
      <c r="G11" s="138" t="inlineStr">
        <is>
          <t>28/09/2026</t>
        </is>
      </c>
      <c r="H11" s="185" t="n">
        <v>13.95</v>
      </c>
    </row>
    <row r="12">
      <c r="A12" s="184" t="inlineStr">
        <is>
          <t>CMIG4</t>
        </is>
      </c>
      <c r="B12" s="184" t="inlineStr">
        <is>
          <t>AÇÃO</t>
        </is>
      </c>
      <c r="C12" s="184" t="inlineStr">
        <is>
          <t>Energia – Utilities</t>
        </is>
      </c>
      <c r="D12" s="185">
        <f>IF(A12="","",IFERROR(GOOGLEFINANCE("BVMF:"&amp;A12),H12))</f>
        <v/>
      </c>
      <c r="E12" s="185" t="n">
        <v>1.3507</v>
      </c>
      <c r="F12" s="152" t="n">
        <v>0.1</v>
      </c>
      <c r="G12" s="138" t="inlineStr">
        <is>
          <t>28/09/2026</t>
        </is>
      </c>
      <c r="H12" s="185" t="n">
        <v>10.84</v>
      </c>
    </row>
    <row r="13">
      <c r="A13" s="184" t="inlineStr">
        <is>
          <t>FIQE3</t>
        </is>
      </c>
      <c r="B13" s="184" t="inlineStr">
        <is>
          <t>AÇÃO</t>
        </is>
      </c>
      <c r="C13" s="184" t="inlineStr">
        <is>
          <t>Telecom / Tecnologia</t>
        </is>
      </c>
      <c r="D13" s="185">
        <f>IF(A13="","",IFERROR(GOOGLEFINANCE("BVMF:"&amp;A13),H13))</f>
        <v/>
      </c>
      <c r="E13" s="185" t="n">
        <v>0.6820000000000001</v>
      </c>
      <c r="F13" s="152" t="n">
        <v>0.05</v>
      </c>
      <c r="G13" s="138" t="inlineStr">
        <is>
          <t>28/09/2026</t>
        </is>
      </c>
      <c r="H13" s="185" t="n">
        <v>4.92</v>
      </c>
    </row>
    <row r="14">
      <c r="A14" s="184" t="inlineStr">
        <is>
          <t>KLBN11</t>
        </is>
      </c>
      <c r="B14" s="184" t="inlineStr">
        <is>
          <t>AÇÃO</t>
        </is>
      </c>
      <c r="C14" s="184" t="inlineStr">
        <is>
          <t>Papel &amp; Celulose</t>
        </is>
      </c>
      <c r="D14" s="185">
        <f>IF(A14="","",IFERROR(GOOGLEFINANCE("BVMF:"&amp;A14),H14))</f>
        <v/>
      </c>
      <c r="E14" s="185" t="n">
        <v>1.1611</v>
      </c>
      <c r="F14" s="152" t="n">
        <v>0.07000000000000001</v>
      </c>
      <c r="G14" s="138" t="inlineStr">
        <is>
          <t>28/09/2026</t>
        </is>
      </c>
      <c r="H14" s="185" t="n">
        <v>18.31</v>
      </c>
    </row>
    <row r="15">
      <c r="A15" s="184" t="inlineStr">
        <is>
          <t>MXRF11</t>
        </is>
      </c>
      <c r="B15" s="184" t="inlineStr">
        <is>
          <t>FII</t>
        </is>
      </c>
      <c r="C15" s="184" t="inlineStr">
        <is>
          <t>Papel (recebíveis)</t>
        </is>
      </c>
      <c r="D15" s="185">
        <f>IF(A15="","",IFERROR(GOOGLEFINANCE("BVMF:"&amp;A15),H15))</f>
        <v/>
      </c>
      <c r="E15" s="185" t="n">
        <v>1.1943</v>
      </c>
      <c r="F15" s="152" t="n">
        <v>0.05</v>
      </c>
      <c r="G15" s="138" t="inlineStr">
        <is>
          <t>28/09/2026</t>
        </is>
      </c>
      <c r="H15" s="185" t="n">
        <v>9.08</v>
      </c>
    </row>
    <row r="16">
      <c r="A16" s="184" t="inlineStr">
        <is>
          <t>BRCR11</t>
        </is>
      </c>
      <c r="B16" s="184" t="inlineStr">
        <is>
          <t>FII</t>
        </is>
      </c>
      <c r="C16" s="184" t="inlineStr">
        <is>
          <t>Lajes corporativas</t>
        </is>
      </c>
      <c r="D16" s="185">
        <f>IF(A16="","",IFERROR(GOOGLEFINANCE("BVMF:"&amp;A16),H16))</f>
        <v/>
      </c>
      <c r="E16" s="185" t="n">
        <v>4.92</v>
      </c>
      <c r="F16" s="152" t="n">
        <v>0.04</v>
      </c>
      <c r="G16" s="138" t="inlineStr">
        <is>
          <t>28/09/2026</t>
        </is>
      </c>
      <c r="H16" s="185" t="n">
        <v>41.31</v>
      </c>
    </row>
    <row r="17">
      <c r="A17" s="184" t="inlineStr">
        <is>
          <t>XPLG11</t>
        </is>
      </c>
      <c r="B17" s="184" t="inlineStr">
        <is>
          <t>FII</t>
        </is>
      </c>
      <c r="C17" s="184" t="inlineStr">
        <is>
          <t>Logística</t>
        </is>
      </c>
      <c r="D17" s="185">
        <f>IF(A17="","",IFERROR(GOOGLEFINANCE("BVMF:"&amp;A17),H17))</f>
        <v/>
      </c>
      <c r="E17" s="185" t="n">
        <v>9.84</v>
      </c>
      <c r="F17" s="152" t="n">
        <v>0.06</v>
      </c>
      <c r="G17" s="138" t="inlineStr">
        <is>
          <t>28/09/2026</t>
        </is>
      </c>
      <c r="H17" s="185" t="n">
        <v>92.54000000000001</v>
      </c>
    </row>
    <row r="18">
      <c r="A18" s="184" t="inlineStr">
        <is>
          <t>XPML11</t>
        </is>
      </c>
      <c r="B18" s="184" t="inlineStr">
        <is>
          <t>FII</t>
        </is>
      </c>
      <c r="C18" s="184" t="inlineStr">
        <is>
          <t>Shopping</t>
        </is>
      </c>
      <c r="D18" s="185">
        <f>IF(A18="","",IFERROR(GOOGLEFINANCE("BVMF:"&amp;A18),H18))</f>
        <v/>
      </c>
      <c r="E18" s="185" t="n">
        <v>11.0694</v>
      </c>
      <c r="F18" s="152" t="n">
        <v>0.05</v>
      </c>
      <c r="G18" s="138" t="inlineStr">
        <is>
          <t>28/09/2026</t>
        </is>
      </c>
      <c r="H18" s="185" t="n">
        <v>99.17</v>
      </c>
    </row>
    <row r="19">
      <c r="A19" s="184" t="inlineStr">
        <is>
          <t>SNAG11</t>
        </is>
      </c>
      <c r="B19" s="184" t="inlineStr">
        <is>
          <t>FII</t>
        </is>
      </c>
      <c r="C19" s="184" t="inlineStr">
        <is>
          <t>Fiagro</t>
        </is>
      </c>
      <c r="D19" s="185">
        <f>IF(A19="","",IFERROR(GOOGLEFINANCE("BVMF:"&amp;A19),H19))</f>
        <v/>
      </c>
      <c r="E19" s="185" t="n">
        <v>1.58</v>
      </c>
      <c r="F19" s="152" t="n">
        <v>0.06</v>
      </c>
      <c r="G19" s="138" t="inlineStr">
        <is>
          <t>29/09/2026</t>
        </is>
      </c>
      <c r="H19" s="185" t="n">
        <v>9.81</v>
      </c>
    </row>
    <row r="20">
      <c r="A20" s="184" t="inlineStr">
        <is>
          <t>CPTS11</t>
        </is>
      </c>
      <c r="B20" s="184" t="inlineStr">
        <is>
          <t>FII</t>
        </is>
      </c>
      <c r="C20" s="184" t="inlineStr">
        <is>
          <t>Híbrido (papel)</t>
        </is>
      </c>
      <c r="D20" s="185">
        <f>IF(A20="","",IFERROR(GOOGLEFINANCE("BVMF:"&amp;A20),H20))</f>
        <v/>
      </c>
      <c r="E20" s="185" t="n">
        <v>1.08</v>
      </c>
      <c r="F20" s="152" t="n">
        <v>0.04</v>
      </c>
      <c r="G20" s="138" t="inlineStr">
        <is>
          <t>28/09/2026</t>
        </is>
      </c>
      <c r="H20" s="185" t="n">
        <v>7.42</v>
      </c>
    </row>
    <row r="21">
      <c r="A21" s="184" t="n"/>
      <c r="B21" s="184" t="n"/>
      <c r="C21" s="184" t="n"/>
      <c r="D21" s="185">
        <f>IF(A21="","",IFERROR(GOOGLEFINANCE("BVMF:"&amp;A21),H21))</f>
        <v/>
      </c>
      <c r="E21" s="185" t="n"/>
      <c r="F21" s="152" t="n"/>
      <c r="G21" s="138" t="n"/>
      <c r="H21" s="185" t="n"/>
    </row>
    <row r="22">
      <c r="A22" s="184" t="n"/>
      <c r="B22" s="184" t="n"/>
      <c r="C22" s="184" t="n"/>
      <c r="D22" s="185">
        <f>IF(A22="","",IFERROR(GOOGLEFINANCE("BVMF:"&amp;A22),H22))</f>
        <v/>
      </c>
      <c r="E22" s="185" t="n"/>
      <c r="F22" s="152" t="n"/>
      <c r="G22" s="138" t="n"/>
      <c r="H22" s="185" t="n"/>
    </row>
    <row r="23">
      <c r="A23" s="184" t="n"/>
      <c r="B23" s="184" t="n"/>
      <c r="C23" s="184" t="n"/>
      <c r="D23" s="185">
        <f>IF(A23="","",IFERROR(GOOGLEFINANCE("BVMF:"&amp;A23),H23))</f>
        <v/>
      </c>
      <c r="E23" s="185" t="n"/>
      <c r="F23" s="152" t="n"/>
      <c r="G23" s="138" t="n"/>
      <c r="H23" s="185" t="n"/>
    </row>
    <row r="24">
      <c r="A24" s="184" t="n"/>
      <c r="B24" s="184" t="n"/>
      <c r="C24" s="184" t="n"/>
      <c r="D24" s="185">
        <f>IF(A24="","",IFERROR(GOOGLEFINANCE("BVMF:"&amp;A24),H24))</f>
        <v/>
      </c>
      <c r="E24" s="185" t="n"/>
      <c r="F24" s="152" t="n"/>
      <c r="G24" s="138" t="n"/>
      <c r="H24" s="185" t="n"/>
    </row>
    <row r="25">
      <c r="A25" s="184" t="n"/>
      <c r="B25" s="184" t="n"/>
      <c r="C25" s="184" t="n"/>
      <c r="D25" s="185">
        <f>IF(A25="","",IFERROR(GOOGLEFINANCE("BVMF:"&amp;A25),H25))</f>
        <v/>
      </c>
      <c r="E25" s="185" t="n"/>
      <c r="F25" s="152" t="n"/>
      <c r="G25" s="138" t="n"/>
      <c r="H25" s="185" t="n"/>
    </row>
    <row r="26">
      <c r="A26" s="184" t="n"/>
      <c r="B26" s="184" t="n"/>
      <c r="C26" s="184" t="n"/>
      <c r="D26" s="185">
        <f>IF(A26="","",IFERROR(GOOGLEFINANCE("BVMF:"&amp;A26),H26))</f>
        <v/>
      </c>
      <c r="E26" s="185" t="n"/>
      <c r="F26" s="152" t="n"/>
      <c r="G26" s="138" t="n"/>
      <c r="H26" s="185" t="n"/>
    </row>
    <row r="27">
      <c r="A27" s="184" t="n"/>
      <c r="B27" s="184" t="n"/>
      <c r="C27" s="184" t="n"/>
      <c r="D27" s="185">
        <f>IF(A27="","",IFERROR(GOOGLEFINANCE("BVMF:"&amp;A27),H27))</f>
        <v/>
      </c>
      <c r="E27" s="185" t="n"/>
      <c r="F27" s="152" t="n"/>
      <c r="G27" s="138" t="n"/>
      <c r="H27" s="185" t="n"/>
    </row>
    <row r="28">
      <c r="A28" s="184" t="n"/>
      <c r="B28" s="184" t="n"/>
      <c r="C28" s="184" t="n"/>
      <c r="D28" s="185">
        <f>IF(A28="","",IFERROR(GOOGLEFINANCE("BVMF:"&amp;A28),H28))</f>
        <v/>
      </c>
      <c r="E28" s="185" t="n"/>
      <c r="F28" s="152" t="n"/>
      <c r="G28" s="138" t="n"/>
      <c r="H28" s="185" t="n"/>
    </row>
    <row r="29">
      <c r="A29" s="184" t="n"/>
      <c r="B29" s="184" t="n"/>
      <c r="C29" s="184" t="n"/>
      <c r="D29" s="185">
        <f>IF(A29="","",IFERROR(GOOGLEFINANCE("BVMF:"&amp;A29),H29))</f>
        <v/>
      </c>
      <c r="E29" s="185" t="n"/>
      <c r="F29" s="152" t="n"/>
      <c r="G29" s="138" t="n"/>
      <c r="H29" s="185" t="n"/>
    </row>
    <row r="30">
      <c r="A30" s="184" t="n"/>
      <c r="B30" s="184" t="n"/>
      <c r="C30" s="184" t="n"/>
      <c r="D30" s="185">
        <f>IF(A30="","",IFERROR(GOOGLEFINANCE("BVMF:"&amp;A30),H30))</f>
        <v/>
      </c>
      <c r="E30" s="185" t="n"/>
      <c r="F30" s="152" t="n"/>
      <c r="G30" s="138" t="n"/>
      <c r="H30" s="185" t="n"/>
    </row>
    <row r="31">
      <c r="A31" s="184" t="n"/>
      <c r="B31" s="184" t="n"/>
      <c r="C31" s="184" t="n"/>
      <c r="D31" s="185">
        <f>IF(A31="","",IFERROR(GOOGLEFINANCE("BVMF:"&amp;A31),H31))</f>
        <v/>
      </c>
      <c r="E31" s="185" t="n"/>
      <c r="F31" s="152" t="n"/>
      <c r="G31" s="138" t="n"/>
      <c r="H31" s="185" t="n"/>
    </row>
    <row r="32">
      <c r="A32" s="184" t="n"/>
      <c r="B32" s="184" t="n"/>
      <c r="C32" s="184" t="n"/>
      <c r="D32" s="185">
        <f>IF(A32="","",IFERROR(GOOGLEFINANCE("BVMF:"&amp;A32),H32))</f>
        <v/>
      </c>
      <c r="E32" s="185" t="n"/>
      <c r="F32" s="152" t="n"/>
      <c r="G32" s="138" t="n"/>
      <c r="H32" s="185" t="n"/>
    </row>
    <row r="33">
      <c r="A33" s="184" t="n"/>
      <c r="B33" s="184" t="n"/>
      <c r="C33" s="184" t="n"/>
      <c r="D33" s="185">
        <f>IF(A33="","",IFERROR(GOOGLEFINANCE("BVMF:"&amp;A33),H33))</f>
        <v/>
      </c>
      <c r="E33" s="185" t="n"/>
      <c r="F33" s="152" t="n"/>
      <c r="G33" s="138" t="n"/>
      <c r="H33" s="185" t="n"/>
    </row>
    <row r="34">
      <c r="A34" s="184" t="n"/>
      <c r="B34" s="184" t="n"/>
      <c r="C34" s="184" t="n"/>
      <c r="D34" s="185">
        <f>IF(A34="","",IFERROR(GOOGLEFINANCE("BVMF:"&amp;A34),H34))</f>
        <v/>
      </c>
      <c r="E34" s="185" t="n"/>
      <c r="F34" s="152" t="n"/>
      <c r="G34" s="138" t="n"/>
      <c r="H34" s="185" t="n"/>
    </row>
    <row r="35">
      <c r="A35" s="184" t="n"/>
      <c r="B35" s="184" t="n"/>
      <c r="C35" s="184" t="n"/>
      <c r="D35" s="185">
        <f>IF(A35="","",IFERROR(GOOGLEFINANCE("BVMF:"&amp;A35),H35))</f>
        <v/>
      </c>
      <c r="E35" s="185" t="n"/>
      <c r="F35" s="152" t="n"/>
      <c r="G35" s="138" t="n"/>
      <c r="H35" s="185" t="n"/>
    </row>
    <row r="36">
      <c r="A36" s="115" t="inlineStr">
        <is>
          <t>TOTAL</t>
        </is>
      </c>
      <c r="B36" s="115" t="n"/>
      <c r="C36" s="115" t="n"/>
      <c r="D36" s="115" t="n"/>
      <c r="E36" s="115" t="n"/>
      <c r="F36" s="117">
        <f>SUM(F5:F35)</f>
        <v/>
      </c>
      <c r="G36" s="115" t="n"/>
      <c r="H36" s="115" t="n"/>
    </row>
    <row r="38">
      <c r="A38" s="120" t="inlineStr">
        <is>
          <t>Observações</t>
        </is>
      </c>
    </row>
    <row r="39">
      <c r="A39" s="121" t="inlineStr">
        <is>
          <t>• Cotação, provento 12m e 'Atualizado em' são preenchidos pelo Yahoo Finance a cada execução; 'manual' = não atualizado online.</t>
        </is>
      </c>
    </row>
    <row r="40">
      <c r="A40" s="121" t="inlineStr">
        <is>
          <t>• Peso ideal: participação desejada de cada ativo dentro da renda variável — deve somar 100%.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2" customWidth="1" min="4" max="4"/>
    <col width="12" customWidth="1" min="5" max="5"/>
    <col width="11" customWidth="1" min="6" max="6"/>
    <col width="15" customWidth="1" min="7" max="7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Lançamentos de Compra e Venda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dados/lancamentos.csv — edite lá e rode gestao.py (ou atualizar.bat).</t>
        </is>
      </c>
    </row>
    <row r="4" ht="32" customHeight="1">
      <c r="A4" s="94" t="inlineStr">
        <is>
          <t>Data</t>
        </is>
      </c>
      <c r="B4" s="94" t="inlineStr">
        <is>
          <t>Ticker</t>
        </is>
      </c>
      <c r="C4" s="94" t="inlineStr">
        <is>
          <t>Operação</t>
        </is>
      </c>
      <c r="D4" s="94" t="inlineStr">
        <is>
          <t>Quantidade</t>
        </is>
      </c>
      <c r="E4" s="94" t="inlineStr">
        <is>
          <t>Preço (R$)</t>
        </is>
      </c>
      <c r="F4" s="94" t="inlineStr">
        <is>
          <t>Custos (R$)</t>
        </is>
      </c>
      <c r="G4" s="94" t="inlineStr">
        <is>
          <t>Total (R$)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4" customWidth="1" min="3" max="3"/>
    <col width="16" customWidth="1" min="4" max="4"/>
    <col width="13" customWidth="1" min="5" max="5"/>
    <col width="15" customWidth="1" min="6" max="6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Proventos Recebidos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dados/proventos.csv — edite lá e rode gestao.py (ou atualizar.bat).</t>
        </is>
      </c>
    </row>
    <row r="4" ht="32" customHeight="1">
      <c r="A4" s="94" t="inlineStr">
        <is>
          <t>Data pagamento</t>
        </is>
      </c>
      <c r="B4" s="94" t="inlineStr">
        <is>
          <t>Ticker</t>
        </is>
      </c>
      <c r="C4" s="94" t="inlineStr">
        <is>
          <t>Tipo</t>
        </is>
      </c>
      <c r="D4" s="94" t="inlineStr">
        <is>
          <t>Valor por cota (R$)</t>
        </is>
      </c>
      <c r="E4" s="94" t="inlineStr">
        <is>
          <t>Qtd de cotas</t>
        </is>
      </c>
      <c r="F4" s="94" t="inlineStr">
        <is>
          <t>Total (R$)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64748B"/>
    <outlinePr summaryBelow="1" summaryRight="1"/>
    <pageSetUpPr fitToPage="1"/>
  </sheetPr>
  <dimension ref="A1:AN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Premissas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Gerado a partir de dados/config.json — edite lá e rode gestao.py (ou atualizar.bat).</t>
        </is>
      </c>
    </row>
    <row r="4" ht="32" customHeight="1">
      <c r="A4" s="94" t="inlineStr">
        <is>
          <t>Parâmetro</t>
        </is>
      </c>
      <c r="B4" s="94" t="inlineStr">
        <is>
          <t>Valor</t>
        </is>
      </c>
      <c r="C4" s="94" t="inlineStr">
        <is>
          <t>Uso</t>
        </is>
      </c>
    </row>
    <row r="5">
      <c r="A5" s="137" t="inlineStr">
        <is>
          <t>Meta mensal por ativo</t>
        </is>
      </c>
      <c r="B5" s="186" t="n">
        <v>1099</v>
      </c>
      <c r="C5" s="138" t="inlineStr">
        <is>
          <t>Renda que cada ativo deve pagar por mês</t>
        </is>
      </c>
    </row>
    <row r="6">
      <c r="A6" s="137" t="inlineStr">
        <is>
          <t>Aporte mensal</t>
        </is>
      </c>
      <c r="B6" s="186" t="n">
        <v>3000</v>
      </c>
      <c r="C6" s="138" t="inlineStr">
        <is>
          <t>Quanto você investe por mês (tempo até a meta)</t>
        </is>
      </c>
    </row>
    <row r="7">
      <c r="A7" s="137" t="inlineStr">
        <is>
          <t>Peso ideal da renda variável</t>
        </is>
      </c>
      <c r="B7" s="152" t="n">
        <v>0.32</v>
      </c>
      <c r="C7" s="138" t="inlineStr">
        <is>
          <t>Ações + FIIs no patrimônio total</t>
        </is>
      </c>
    </row>
    <row r="10" ht="32" customHeight="1">
      <c r="A10" s="94" t="inlineStr">
        <is>
          <t>Outras classes</t>
        </is>
      </c>
      <c r="B10" s="94" t="inlineStr">
        <is>
          <t>Valor (R$)</t>
        </is>
      </c>
      <c r="C10" s="94" t="inlineStr">
        <is>
          <t>Peso ideal no patrimônio</t>
        </is>
      </c>
    </row>
    <row r="11">
      <c r="A11" s="137" t="inlineStr">
        <is>
          <t>Renda fixa (CDB Nubank)</t>
        </is>
      </c>
      <c r="B11" s="186" t="n">
        <v>1000</v>
      </c>
      <c r="C11" s="152" t="n">
        <v>0.5</v>
      </c>
    </row>
    <row r="12">
      <c r="A12" s="137" t="inlineStr">
        <is>
          <t>Internacional</t>
        </is>
      </c>
      <c r="B12" s="186" t="n">
        <v>0</v>
      </c>
      <c r="C12" s="152" t="n">
        <v>0.15</v>
      </c>
    </row>
    <row r="13">
      <c r="A13" s="137" t="inlineStr">
        <is>
          <t>Cripto</t>
        </is>
      </c>
      <c r="B13" s="186" t="n">
        <v>0</v>
      </c>
      <c r="C13" s="152" t="n">
        <v>0.03</v>
      </c>
    </row>
  </sheetData>
  <mergeCells count="1">
    <mergeCell ref="A2:Z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DC2626"/>
    <outlinePr summaryBelow="1" summaryRight="1"/>
    <pageSetUpPr fitToPage="1"/>
  </sheetPr>
  <dimension ref="A1:AN1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100" customWidth="1" min="3" max="3"/>
  </cols>
  <sheetData>
    <row r="1" ht="34" customHeight="1">
      <c r="A1" s="1" t="inlineStr">
        <is>
          <r>
            <rPr>
              <rFont val="Segoe UI"/>
              <b val="1"/>
              <color rgb="00FFFFFF"/>
              <sz val="13"/>
            </rPr>
            <t xml:space="preserve">  InvestERP</t>
          </r>
          <r>
            <rPr>
              <rFont val="Segoe UI"/>
              <color rgb="0094A3B8"/>
              <sz val="11"/>
            </rPr>
            <t xml:space="preserve">     Pontos a Conferir</t>
          </r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</row>
    <row r="2" ht="26" customHeight="1">
      <c r="A2" s="5" t="inlineStr">
        <is>
          <t xml:space="preserve">   Painel     Carteira     Análises     Meta     Quant     Modelos     Projeção     ✚ Lançar     Lançamentos     Proventos     Premissas     Verificar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</row>
    <row r="3" ht="22" customHeight="1">
      <c r="A3" s="93" t="inlineStr">
        <is>
          <t>Checagens automáticas feitas a cada geração — corrija em dados/.</t>
        </is>
      </c>
    </row>
    <row r="4" ht="32" customHeight="1">
      <c r="A4" s="94" t="inlineStr">
        <is>
          <t>Gravidade</t>
        </is>
      </c>
      <c r="B4" s="94" t="inlineStr">
        <is>
          <t>Ativo</t>
        </is>
      </c>
      <c r="C4" s="94" t="inlineStr">
        <is>
          <t>O que foi encontrado</t>
        </is>
      </c>
    </row>
    <row r="5" ht="30" customHeight="1">
      <c r="A5" s="187" t="inlineStr">
        <is>
          <t>INFO</t>
        </is>
      </c>
      <c r="B5" s="188" t="inlineStr">
        <is>
          <t>VALE3</t>
        </is>
      </c>
      <c r="C5" s="189" t="inlineStr">
        <is>
          <t>Tendência de 3 anos com R² de 0,14: projeção por regressão pouco confiável.</t>
        </is>
      </c>
    </row>
    <row r="6" ht="30" customHeight="1">
      <c r="A6" s="190" t="inlineStr">
        <is>
          <t>AVISO</t>
        </is>
      </c>
      <c r="B6" s="188" t="inlineStr">
        <is>
          <t>PETR4</t>
        </is>
      </c>
      <c r="C6" s="189" t="inlineStr">
        <is>
          <t>Proventos 12m caíram 30% sobre o ano anterior — o DY atual pode não se repetir.</t>
        </is>
      </c>
    </row>
    <row r="7" ht="30" customHeight="1">
      <c r="A7" s="187" t="inlineStr">
        <is>
          <t>INFO</t>
        </is>
      </c>
      <c r="B7" s="188" t="inlineStr">
        <is>
          <t>PETR4</t>
        </is>
      </c>
      <c r="C7" s="189" t="inlineStr">
        <is>
          <t>Tendência de 3 anos com R² de 0,03: projeção por regressão pouco confiável.</t>
        </is>
      </c>
    </row>
    <row r="8" ht="30" customHeight="1">
      <c r="A8" s="190" t="inlineStr">
        <is>
          <t>AVISO</t>
        </is>
      </c>
      <c r="B8" s="188" t="inlineStr">
        <is>
          <t>BBAS3</t>
        </is>
      </c>
      <c r="C8" s="189" t="inlineStr">
        <is>
          <t>Proventos 12m caíram 62% sobre o ano anterior — o DY atual pode não se repetir.</t>
        </is>
      </c>
    </row>
    <row r="9" ht="30" customHeight="1">
      <c r="A9" s="190" t="inlineStr">
        <is>
          <t>AVISO</t>
        </is>
      </c>
      <c r="B9" s="188" t="inlineStr">
        <is>
          <t>BRBI11</t>
        </is>
      </c>
      <c r="C9" s="189" t="inlineStr">
        <is>
          <t>Proventos 12m caíram 33% sobre o ano anterior — o DY atual pode não se repetir.</t>
        </is>
      </c>
    </row>
    <row r="10" ht="30" customHeight="1">
      <c r="A10" s="187" t="inlineStr">
        <is>
          <t>INFO</t>
        </is>
      </c>
      <c r="B10" s="188" t="inlineStr">
        <is>
          <t>BRBI11</t>
        </is>
      </c>
      <c r="C10" s="189" t="inlineStr">
        <is>
          <t>Tendência de 3 anos com R² de 0,17: projeção por regressão pouco confiável.</t>
        </is>
      </c>
    </row>
    <row r="11" ht="30" customHeight="1">
      <c r="A11" s="187" t="inlineStr">
        <is>
          <t>INFO</t>
        </is>
      </c>
      <c r="B11" s="188" t="inlineStr">
        <is>
          <t>XPML11</t>
        </is>
      </c>
      <c r="C11" s="189" t="inlineStr">
        <is>
          <t>1 cotação(ões) espúria(s) do Yahoo no histórico foram ignoradas na análise.</t>
        </is>
      </c>
    </row>
    <row r="12" ht="30" customHeight="1">
      <c r="A12" s="187" t="inlineStr">
        <is>
          <t>INFO</t>
        </is>
      </c>
      <c r="B12" s="188" t="inlineStr">
        <is>
          <t>SNAG11</t>
        </is>
      </c>
      <c r="C12" s="189" t="inlineStr">
        <is>
          <t>Tendência de 3 anos com R² de 0,03: projeção por regressão pouco confiável.</t>
        </is>
      </c>
    </row>
  </sheetData>
  <mergeCells count="1">
    <mergeCell ref="A2:Z2"/>
  </mergeCell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64748B"/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Mês</t>
        </is>
      </c>
      <c r="B1" t="inlineStr">
        <is>
          <t>Proventos</t>
        </is>
      </c>
    </row>
    <row r="2">
      <c r="A2" s="191">
        <f>DATE(YEAR(TODAY()),MONTH(TODAY())-11,1)</f>
        <v/>
      </c>
      <c r="B2" s="192">
        <f>SUMIFS(Proventos!$F:$F,Proventos!$A:$A,"&gt;="&amp;A2,Proventos!$A:$A,"&lt;"&amp;DATE(YEAR(A2),MONTH(A2)+1,1))</f>
        <v/>
      </c>
    </row>
    <row r="3">
      <c r="A3" s="191">
        <f>DATE(YEAR(TODAY()),MONTH(TODAY())-10,1)</f>
        <v/>
      </c>
      <c r="B3" s="192">
        <f>SUMIFS(Proventos!$F:$F,Proventos!$A:$A,"&gt;="&amp;A3,Proventos!$A:$A,"&lt;"&amp;DATE(YEAR(A3),MONTH(A3)+1,1))</f>
        <v/>
      </c>
    </row>
    <row r="4">
      <c r="A4" s="191">
        <f>DATE(YEAR(TODAY()),MONTH(TODAY())-9,1)</f>
        <v/>
      </c>
      <c r="B4" s="192">
        <f>SUMIFS(Proventos!$F:$F,Proventos!$A:$A,"&gt;="&amp;A4,Proventos!$A:$A,"&lt;"&amp;DATE(YEAR(A4),MONTH(A4)+1,1))</f>
        <v/>
      </c>
      <c r="D4" t="inlineStr">
        <is>
          <t>Ticker</t>
        </is>
      </c>
      <c r="G4" t="inlineStr">
        <is>
          <t>Ticker</t>
        </is>
      </c>
      <c r="H4" t="inlineStr">
        <is>
          <t>Posição</t>
        </is>
      </c>
      <c r="K4" t="inlineStr">
        <is>
          <t>Ticker</t>
        </is>
      </c>
      <c r="L4" t="inlineStr">
        <is>
          <t>Valorização</t>
        </is>
      </c>
      <c r="M4" t="inlineStr">
        <is>
          <t>Lucro</t>
        </is>
      </c>
      <c r="P4" t="inlineStr">
        <is>
          <t>Ticker</t>
        </is>
      </c>
      <c r="Q4" t="inlineStr">
        <is>
          <t>Valorização</t>
        </is>
      </c>
      <c r="R4" t="inlineStr">
        <is>
          <t>Lucro</t>
        </is>
      </c>
      <c r="U4" t="inlineStr">
        <is>
          <t>Ticker</t>
        </is>
      </c>
      <c r="V4" t="inlineStr">
        <is>
          <t>% da meta</t>
        </is>
      </c>
      <c r="Y4" t="inlineStr">
        <is>
          <t>Ticker</t>
        </is>
      </c>
      <c r="Z4" t="inlineStr">
        <is>
          <t>Proventos</t>
        </is>
      </c>
    </row>
    <row r="5">
      <c r="A5" s="191">
        <f>DATE(YEAR(TODAY()),MONTH(TODAY())-8,1)</f>
        <v/>
      </c>
      <c r="B5" s="192">
        <f>SUMIFS(Proventos!$F:$F,Proventos!$A:$A,"&gt;="&amp;A5,Proventos!$A:$A,"&lt;"&amp;DATE(YEAR(A5),MONTH(A5)+1,1))</f>
        <v/>
      </c>
      <c r="D5">
        <f>Carteira!A5</f>
        <v/>
      </c>
      <c r="F5">
        <f>IF(AND(Carteira!AC5=1,OR(Carteira!C5&gt;0,SUMIFS(Carteira!$C$5:$C$35,Carteira!$AC$5:$AC$35,1)=0)),N(Carteira!G5)+ROW()/1E9,"")</f>
        <v/>
      </c>
      <c r="G5">
        <f>IFERROR(INDEX($D$5:$D$35,MATCH(LARGE($F$5:$F$35,1),$F$5:$F$35,0)),"")</f>
        <v/>
      </c>
      <c r="H5" s="192">
        <f>IFERROR(INDEX(Carteira!$G$5:$G$35,MATCH(G5,Carteira!$A$5:$A$35,0)),"")</f>
        <v/>
      </c>
      <c r="J5">
        <f>IF(AND(Carteira!AC5=1,OR(Carteira!C5&gt;0,SUMIFS(Carteira!$C$5:$C$35,Carteira!$AC$5:$AC$35,1)=0)),N(Carteira!I5)+ROW()/1E9,"")</f>
        <v/>
      </c>
      <c r="K5">
        <f>IFERROR(INDEX($D$5:$D$35,MATCH(LARGE($J$5:$J$35,1),$J$5:$J$35,0)),"")</f>
        <v/>
      </c>
      <c r="L5" s="193">
        <f>IFERROR(INDEX(Carteira!$I$5:$I$35,MATCH(K5,Carteira!$A$5:$A$35,0)),"")</f>
        <v/>
      </c>
      <c r="M5" s="194">
        <f>IFERROR(INDEX(Carteira!$H$5:$H$35,MATCH(K5,Carteira!$A$5:$A$35,0)),"")</f>
        <v/>
      </c>
      <c r="O5">
        <f>IF(AND(Carteira!AC5=1,OR(Carteira!C5&gt;0,SUMIFS(Carteira!$C$5:$C$35,Carteira!$AC$5:$AC$35,1)=0)),N(Carteira!I5)+ROW()/1E9,"")</f>
        <v/>
      </c>
      <c r="P5">
        <f>IFERROR(INDEX($D$5:$D$35,MATCH(SMALL($O$5:$O$35,1),$O$5:$O$35,0)),"")</f>
        <v/>
      </c>
      <c r="Q5" s="193">
        <f>IFERROR(INDEX(Carteira!$I$5:$I$35,MATCH(P5,Carteira!$A$5:$A$35,0)),"")</f>
        <v/>
      </c>
      <c r="R5" s="194">
        <f>IFERROR(INDEX(Carteira!$H$5:$H$35,MATCH(P5,Carteira!$A$5:$A$35,0)),"")</f>
        <v/>
      </c>
      <c r="T5">
        <f>IF(AND(Carteira!AC5=1,OR(Carteira!C5&gt;0,SUMIFS(Carteira!$C$5:$C$35,Carteira!$AC$5:$AC$35,1)=0)),N(Carteira!W5)+ROW()/1E9,"")</f>
        <v/>
      </c>
      <c r="U5">
        <f>IFERROR(INDEX($D$5:$D$35,MATCH(LARGE($T$5:$T$35,1),$T$5:$T$35,0)),"")</f>
        <v/>
      </c>
      <c r="V5" s="195">
        <f>IFERROR(INDEX(Carteira!$W$5:$W$35,MATCH(U5,Carteira!$A$5:$A$35,0)),"")</f>
        <v/>
      </c>
      <c r="X5">
        <f>IF(AND(Carteira!AC5=1,OR(Carteira!C5&gt;0,SUMIFS(Carteira!$C$5:$C$35,Carteira!$AC$5:$AC$35,1)=0)),N(Carteira!J5)+ROW()/1E9,"")</f>
        <v/>
      </c>
      <c r="Y5">
        <f>IFERROR(INDEX($D$5:$D$35,MATCH(LARGE($X$5:$X$35,1),$X$5:$X$35,0)),"")</f>
        <v/>
      </c>
      <c r="Z5" s="192">
        <f>IFERROR(INDEX(Carteira!$J$5:$J$35,MATCH(Y5,Carteira!$A$5:$A$35,0)),"")</f>
        <v/>
      </c>
    </row>
    <row r="6">
      <c r="A6" s="191">
        <f>DATE(YEAR(TODAY()),MONTH(TODAY())-7,1)</f>
        <v/>
      </c>
      <c r="B6" s="192">
        <f>SUMIFS(Proventos!$F:$F,Proventos!$A:$A,"&gt;="&amp;A6,Proventos!$A:$A,"&lt;"&amp;DATE(YEAR(A6),MONTH(A6)+1,1))</f>
        <v/>
      </c>
      <c r="D6">
        <f>Carteira!A6</f>
        <v/>
      </c>
      <c r="F6">
        <f>IF(AND(Carteira!AC6=1,OR(Carteira!C6&gt;0,SUMIFS(Carteira!$C$5:$C$35,Carteira!$AC$5:$AC$35,1)=0)),N(Carteira!G6)+ROW()/1E9,"")</f>
        <v/>
      </c>
      <c r="G6">
        <f>IFERROR(INDEX($D$5:$D$35,MATCH(LARGE($F$5:$F$35,2),$F$5:$F$35,0)),"")</f>
        <v/>
      </c>
      <c r="H6" s="192">
        <f>IFERROR(INDEX(Carteira!$G$5:$G$35,MATCH(G6,Carteira!$A$5:$A$35,0)),"")</f>
        <v/>
      </c>
      <c r="J6">
        <f>IF(AND(Carteira!AC6=1,OR(Carteira!C6&gt;0,SUMIFS(Carteira!$C$5:$C$35,Carteira!$AC$5:$AC$35,1)=0)),N(Carteira!I6)+ROW()/1E9,"")</f>
        <v/>
      </c>
      <c r="K6">
        <f>IFERROR(INDEX($D$5:$D$35,MATCH(LARGE($J$5:$J$35,2),$J$5:$J$35,0)),"")</f>
        <v/>
      </c>
      <c r="L6" s="193">
        <f>IFERROR(INDEX(Carteira!$I$5:$I$35,MATCH(K6,Carteira!$A$5:$A$35,0)),"")</f>
        <v/>
      </c>
      <c r="M6" s="194">
        <f>IFERROR(INDEX(Carteira!$H$5:$H$35,MATCH(K6,Carteira!$A$5:$A$35,0)),"")</f>
        <v/>
      </c>
      <c r="O6">
        <f>IF(AND(Carteira!AC6=1,OR(Carteira!C6&gt;0,SUMIFS(Carteira!$C$5:$C$35,Carteira!$AC$5:$AC$35,1)=0)),N(Carteira!I6)+ROW()/1E9,"")</f>
        <v/>
      </c>
      <c r="P6">
        <f>IFERROR(INDEX($D$5:$D$35,MATCH(SMALL($O$5:$O$35,2),$O$5:$O$35,0)),"")</f>
        <v/>
      </c>
      <c r="Q6" s="193">
        <f>IFERROR(INDEX(Carteira!$I$5:$I$35,MATCH(P6,Carteira!$A$5:$A$35,0)),"")</f>
        <v/>
      </c>
      <c r="R6" s="194">
        <f>IFERROR(INDEX(Carteira!$H$5:$H$35,MATCH(P6,Carteira!$A$5:$A$35,0)),"")</f>
        <v/>
      </c>
      <c r="T6">
        <f>IF(AND(Carteira!AC6=1,OR(Carteira!C6&gt;0,SUMIFS(Carteira!$C$5:$C$35,Carteira!$AC$5:$AC$35,1)=0)),N(Carteira!W6)+ROW()/1E9,"")</f>
        <v/>
      </c>
      <c r="U6">
        <f>IFERROR(INDEX($D$5:$D$35,MATCH(LARGE($T$5:$T$35,2),$T$5:$T$35,0)),"")</f>
        <v/>
      </c>
      <c r="V6" s="195">
        <f>IFERROR(INDEX(Carteira!$W$5:$W$35,MATCH(U6,Carteira!$A$5:$A$35,0)),"")</f>
        <v/>
      </c>
      <c r="X6">
        <f>IF(AND(Carteira!AC6=1,OR(Carteira!C6&gt;0,SUMIFS(Carteira!$C$5:$C$35,Carteira!$AC$5:$AC$35,1)=0)),N(Carteira!J6)+ROW()/1E9,"")</f>
        <v/>
      </c>
      <c r="Y6">
        <f>IFERROR(INDEX($D$5:$D$35,MATCH(LARGE($X$5:$X$35,2),$X$5:$X$35,0)),"")</f>
        <v/>
      </c>
      <c r="Z6" s="192">
        <f>IFERROR(INDEX(Carteira!$J$5:$J$35,MATCH(Y6,Carteira!$A$5:$A$35,0)),"")</f>
        <v/>
      </c>
    </row>
    <row r="7">
      <c r="A7" s="191">
        <f>DATE(YEAR(TODAY()),MONTH(TODAY())-6,1)</f>
        <v/>
      </c>
      <c r="B7" s="192">
        <f>SUMIFS(Proventos!$F:$F,Proventos!$A:$A,"&gt;="&amp;A7,Proventos!$A:$A,"&lt;"&amp;DATE(YEAR(A7),MONTH(A7)+1,1))</f>
        <v/>
      </c>
      <c r="D7">
        <f>Carteira!A7</f>
        <v/>
      </c>
      <c r="F7">
        <f>IF(AND(Carteira!AC7=1,OR(Carteira!C7&gt;0,SUMIFS(Carteira!$C$5:$C$35,Carteira!$AC$5:$AC$35,1)=0)),N(Carteira!G7)+ROW()/1E9,"")</f>
        <v/>
      </c>
      <c r="G7">
        <f>IFERROR(INDEX($D$5:$D$35,MATCH(LARGE($F$5:$F$35,3),$F$5:$F$35,0)),"")</f>
        <v/>
      </c>
      <c r="H7" s="192">
        <f>IFERROR(INDEX(Carteira!$G$5:$G$35,MATCH(G7,Carteira!$A$5:$A$35,0)),"")</f>
        <v/>
      </c>
      <c r="J7">
        <f>IF(AND(Carteira!AC7=1,OR(Carteira!C7&gt;0,SUMIFS(Carteira!$C$5:$C$35,Carteira!$AC$5:$AC$35,1)=0)),N(Carteira!I7)+ROW()/1E9,"")</f>
        <v/>
      </c>
      <c r="K7">
        <f>IFERROR(INDEX($D$5:$D$35,MATCH(LARGE($J$5:$J$35,3),$J$5:$J$35,0)),"")</f>
        <v/>
      </c>
      <c r="L7" s="193">
        <f>IFERROR(INDEX(Carteira!$I$5:$I$35,MATCH(K7,Carteira!$A$5:$A$35,0)),"")</f>
        <v/>
      </c>
      <c r="M7" s="194">
        <f>IFERROR(INDEX(Carteira!$H$5:$H$35,MATCH(K7,Carteira!$A$5:$A$35,0)),"")</f>
        <v/>
      </c>
      <c r="O7">
        <f>IF(AND(Carteira!AC7=1,OR(Carteira!C7&gt;0,SUMIFS(Carteira!$C$5:$C$35,Carteira!$AC$5:$AC$35,1)=0)),N(Carteira!I7)+ROW()/1E9,"")</f>
        <v/>
      </c>
      <c r="P7">
        <f>IFERROR(INDEX($D$5:$D$35,MATCH(SMALL($O$5:$O$35,3),$O$5:$O$35,0)),"")</f>
        <v/>
      </c>
      <c r="Q7" s="193">
        <f>IFERROR(INDEX(Carteira!$I$5:$I$35,MATCH(P7,Carteira!$A$5:$A$35,0)),"")</f>
        <v/>
      </c>
      <c r="R7" s="194">
        <f>IFERROR(INDEX(Carteira!$H$5:$H$35,MATCH(P7,Carteira!$A$5:$A$35,0)),"")</f>
        <v/>
      </c>
      <c r="T7">
        <f>IF(AND(Carteira!AC7=1,OR(Carteira!C7&gt;0,SUMIFS(Carteira!$C$5:$C$35,Carteira!$AC$5:$AC$35,1)=0)),N(Carteira!W7)+ROW()/1E9,"")</f>
        <v/>
      </c>
      <c r="U7">
        <f>IFERROR(INDEX($D$5:$D$35,MATCH(LARGE($T$5:$T$35,3),$T$5:$T$35,0)),"")</f>
        <v/>
      </c>
      <c r="V7" s="195">
        <f>IFERROR(INDEX(Carteira!$W$5:$W$35,MATCH(U7,Carteira!$A$5:$A$35,0)),"")</f>
        <v/>
      </c>
      <c r="X7">
        <f>IF(AND(Carteira!AC7=1,OR(Carteira!C7&gt;0,SUMIFS(Carteira!$C$5:$C$35,Carteira!$AC$5:$AC$35,1)=0)),N(Carteira!J7)+ROW()/1E9,"")</f>
        <v/>
      </c>
      <c r="Y7">
        <f>IFERROR(INDEX($D$5:$D$35,MATCH(LARGE($X$5:$X$35,3),$X$5:$X$35,0)),"")</f>
        <v/>
      </c>
      <c r="Z7" s="192">
        <f>IFERROR(INDEX(Carteira!$J$5:$J$35,MATCH(Y7,Carteira!$A$5:$A$35,0)),"")</f>
        <v/>
      </c>
    </row>
    <row r="8">
      <c r="A8" s="191">
        <f>DATE(YEAR(TODAY()),MONTH(TODAY())-5,1)</f>
        <v/>
      </c>
      <c r="B8" s="192">
        <f>SUMIFS(Proventos!$F:$F,Proventos!$A:$A,"&gt;="&amp;A8,Proventos!$A:$A,"&lt;"&amp;DATE(YEAR(A8),MONTH(A8)+1,1))</f>
        <v/>
      </c>
      <c r="D8">
        <f>Carteira!A8</f>
        <v/>
      </c>
      <c r="F8">
        <f>IF(AND(Carteira!AC8=1,OR(Carteira!C8&gt;0,SUMIFS(Carteira!$C$5:$C$35,Carteira!$AC$5:$AC$35,1)=0)),N(Carteira!G8)+ROW()/1E9,"")</f>
        <v/>
      </c>
      <c r="G8">
        <f>IFERROR(INDEX($D$5:$D$35,MATCH(LARGE($F$5:$F$35,4),$F$5:$F$35,0)),"")</f>
        <v/>
      </c>
      <c r="H8" s="192">
        <f>IFERROR(INDEX(Carteira!$G$5:$G$35,MATCH(G8,Carteira!$A$5:$A$35,0)),"")</f>
        <v/>
      </c>
      <c r="J8">
        <f>IF(AND(Carteira!AC8=1,OR(Carteira!C8&gt;0,SUMIFS(Carteira!$C$5:$C$35,Carteira!$AC$5:$AC$35,1)=0)),N(Carteira!I8)+ROW()/1E9,"")</f>
        <v/>
      </c>
      <c r="K8">
        <f>IFERROR(INDEX($D$5:$D$35,MATCH(LARGE($J$5:$J$35,4),$J$5:$J$35,0)),"")</f>
        <v/>
      </c>
      <c r="L8" s="193">
        <f>IFERROR(INDEX(Carteira!$I$5:$I$35,MATCH(K8,Carteira!$A$5:$A$35,0)),"")</f>
        <v/>
      </c>
      <c r="M8" s="194">
        <f>IFERROR(INDEX(Carteira!$H$5:$H$35,MATCH(K8,Carteira!$A$5:$A$35,0)),"")</f>
        <v/>
      </c>
      <c r="O8">
        <f>IF(AND(Carteira!AC8=1,OR(Carteira!C8&gt;0,SUMIFS(Carteira!$C$5:$C$35,Carteira!$AC$5:$AC$35,1)=0)),N(Carteira!I8)+ROW()/1E9,"")</f>
        <v/>
      </c>
      <c r="P8">
        <f>IFERROR(INDEX($D$5:$D$35,MATCH(SMALL($O$5:$O$35,4),$O$5:$O$35,0)),"")</f>
        <v/>
      </c>
      <c r="Q8" s="193">
        <f>IFERROR(INDEX(Carteira!$I$5:$I$35,MATCH(P8,Carteira!$A$5:$A$35,0)),"")</f>
        <v/>
      </c>
      <c r="R8" s="194">
        <f>IFERROR(INDEX(Carteira!$H$5:$H$35,MATCH(P8,Carteira!$A$5:$A$35,0)),"")</f>
        <v/>
      </c>
      <c r="T8">
        <f>IF(AND(Carteira!AC8=1,OR(Carteira!C8&gt;0,SUMIFS(Carteira!$C$5:$C$35,Carteira!$AC$5:$AC$35,1)=0)),N(Carteira!W8)+ROW()/1E9,"")</f>
        <v/>
      </c>
      <c r="U8">
        <f>IFERROR(INDEX($D$5:$D$35,MATCH(LARGE($T$5:$T$35,4),$T$5:$T$35,0)),"")</f>
        <v/>
      </c>
      <c r="V8" s="195">
        <f>IFERROR(INDEX(Carteira!$W$5:$W$35,MATCH(U8,Carteira!$A$5:$A$35,0)),"")</f>
        <v/>
      </c>
      <c r="X8">
        <f>IF(AND(Carteira!AC8=1,OR(Carteira!C8&gt;0,SUMIFS(Carteira!$C$5:$C$35,Carteira!$AC$5:$AC$35,1)=0)),N(Carteira!J8)+ROW()/1E9,"")</f>
        <v/>
      </c>
      <c r="Y8">
        <f>IFERROR(INDEX($D$5:$D$35,MATCH(LARGE($X$5:$X$35,4),$X$5:$X$35,0)),"")</f>
        <v/>
      </c>
      <c r="Z8" s="192">
        <f>IFERROR(INDEX(Carteira!$J$5:$J$35,MATCH(Y8,Carteira!$A$5:$A$35,0)),"")</f>
        <v/>
      </c>
    </row>
    <row r="9">
      <c r="A9" s="191">
        <f>DATE(YEAR(TODAY()),MONTH(TODAY())-4,1)</f>
        <v/>
      </c>
      <c r="B9" s="192">
        <f>SUMIFS(Proventos!$F:$F,Proventos!$A:$A,"&gt;="&amp;A9,Proventos!$A:$A,"&lt;"&amp;DATE(YEAR(A9),MONTH(A9)+1,1))</f>
        <v/>
      </c>
      <c r="D9">
        <f>Carteira!A9</f>
        <v/>
      </c>
      <c r="F9">
        <f>IF(AND(Carteira!AC9=1,OR(Carteira!C9&gt;0,SUMIFS(Carteira!$C$5:$C$35,Carteira!$AC$5:$AC$35,1)=0)),N(Carteira!G9)+ROW()/1E9,"")</f>
        <v/>
      </c>
      <c r="G9">
        <f>IFERROR(INDEX($D$5:$D$35,MATCH(LARGE($F$5:$F$35,5),$F$5:$F$35,0)),"")</f>
        <v/>
      </c>
      <c r="H9" s="192">
        <f>IFERROR(INDEX(Carteira!$G$5:$G$35,MATCH(G9,Carteira!$A$5:$A$35,0)),"")</f>
        <v/>
      </c>
      <c r="J9">
        <f>IF(AND(Carteira!AC9=1,OR(Carteira!C9&gt;0,SUMIFS(Carteira!$C$5:$C$35,Carteira!$AC$5:$AC$35,1)=0)),N(Carteira!I9)+ROW()/1E9,"")</f>
        <v/>
      </c>
      <c r="K9">
        <f>IFERROR(INDEX($D$5:$D$35,MATCH(LARGE($J$5:$J$35,5),$J$5:$J$35,0)),"")</f>
        <v/>
      </c>
      <c r="L9" s="193">
        <f>IFERROR(INDEX(Carteira!$I$5:$I$35,MATCH(K9,Carteira!$A$5:$A$35,0)),"")</f>
        <v/>
      </c>
      <c r="M9" s="194">
        <f>IFERROR(INDEX(Carteira!$H$5:$H$35,MATCH(K9,Carteira!$A$5:$A$35,0)),"")</f>
        <v/>
      </c>
      <c r="O9">
        <f>IF(AND(Carteira!AC9=1,OR(Carteira!C9&gt;0,SUMIFS(Carteira!$C$5:$C$35,Carteira!$AC$5:$AC$35,1)=0)),N(Carteira!I9)+ROW()/1E9,"")</f>
        <v/>
      </c>
      <c r="P9">
        <f>IFERROR(INDEX($D$5:$D$35,MATCH(SMALL($O$5:$O$35,5),$O$5:$O$35,0)),"")</f>
        <v/>
      </c>
      <c r="Q9" s="193">
        <f>IFERROR(INDEX(Carteira!$I$5:$I$35,MATCH(P9,Carteira!$A$5:$A$35,0)),"")</f>
        <v/>
      </c>
      <c r="R9" s="194">
        <f>IFERROR(INDEX(Carteira!$H$5:$H$35,MATCH(P9,Carteira!$A$5:$A$35,0)),"")</f>
        <v/>
      </c>
      <c r="T9">
        <f>IF(AND(Carteira!AC9=1,OR(Carteira!C9&gt;0,SUMIFS(Carteira!$C$5:$C$35,Carteira!$AC$5:$AC$35,1)=0)),N(Carteira!W9)+ROW()/1E9,"")</f>
        <v/>
      </c>
      <c r="U9">
        <f>IFERROR(INDEX($D$5:$D$35,MATCH(LARGE($T$5:$T$35,5),$T$5:$T$35,0)),"")</f>
        <v/>
      </c>
      <c r="V9" s="195">
        <f>IFERROR(INDEX(Carteira!$W$5:$W$35,MATCH(U9,Carteira!$A$5:$A$35,0)),"")</f>
        <v/>
      </c>
      <c r="X9">
        <f>IF(AND(Carteira!AC9=1,OR(Carteira!C9&gt;0,SUMIFS(Carteira!$C$5:$C$35,Carteira!$AC$5:$AC$35,1)=0)),N(Carteira!J9)+ROW()/1E9,"")</f>
        <v/>
      </c>
      <c r="Y9">
        <f>IFERROR(INDEX($D$5:$D$35,MATCH(LARGE($X$5:$X$35,5),$X$5:$X$35,0)),"")</f>
        <v/>
      </c>
      <c r="Z9" s="192">
        <f>IFERROR(INDEX(Carteira!$J$5:$J$35,MATCH(Y9,Carteira!$A$5:$A$35,0)),"")</f>
        <v/>
      </c>
    </row>
    <row r="10">
      <c r="A10" s="191">
        <f>DATE(YEAR(TODAY()),MONTH(TODAY())-3,1)</f>
        <v/>
      </c>
      <c r="B10" s="192">
        <f>SUMIFS(Proventos!$F:$F,Proventos!$A:$A,"&gt;="&amp;A10,Proventos!$A:$A,"&lt;"&amp;DATE(YEAR(A10),MONTH(A10)+1,1))</f>
        <v/>
      </c>
      <c r="D10">
        <f>Carteira!A10</f>
        <v/>
      </c>
      <c r="F10">
        <f>IF(AND(Carteira!AC10=1,OR(Carteira!C10&gt;0,SUMIFS(Carteira!$C$5:$C$35,Carteira!$AC$5:$AC$35,1)=0)),N(Carteira!G10)+ROW()/1E9,"")</f>
        <v/>
      </c>
      <c r="G10">
        <f>IFERROR(INDEX($D$5:$D$35,MATCH(LARGE($F$5:$F$35,6),$F$5:$F$35,0)),"")</f>
        <v/>
      </c>
      <c r="H10" s="192">
        <f>IFERROR(INDEX(Carteira!$G$5:$G$35,MATCH(G10,Carteira!$A$5:$A$35,0)),"")</f>
        <v/>
      </c>
      <c r="J10">
        <f>IF(AND(Carteira!AC10=1,OR(Carteira!C10&gt;0,SUMIFS(Carteira!$C$5:$C$35,Carteira!$AC$5:$AC$35,1)=0)),N(Carteira!I10)+ROW()/1E9,"")</f>
        <v/>
      </c>
      <c r="K10">
        <f>IFERROR(INDEX($D$5:$D$35,MATCH(LARGE($J$5:$J$35,6),$J$5:$J$35,0)),"")</f>
        <v/>
      </c>
      <c r="L10" s="193">
        <f>IFERROR(INDEX(Carteira!$I$5:$I$35,MATCH(K10,Carteira!$A$5:$A$35,0)),"")</f>
        <v/>
      </c>
      <c r="M10" s="194">
        <f>IFERROR(INDEX(Carteira!$H$5:$H$35,MATCH(K10,Carteira!$A$5:$A$35,0)),"")</f>
        <v/>
      </c>
      <c r="O10">
        <f>IF(AND(Carteira!AC10=1,OR(Carteira!C10&gt;0,SUMIFS(Carteira!$C$5:$C$35,Carteira!$AC$5:$AC$35,1)=0)),N(Carteira!I10)+ROW()/1E9,"")</f>
        <v/>
      </c>
      <c r="P10">
        <f>IFERROR(INDEX($D$5:$D$35,MATCH(SMALL($O$5:$O$35,6),$O$5:$O$35,0)),"")</f>
        <v/>
      </c>
      <c r="Q10" s="193">
        <f>IFERROR(INDEX(Carteira!$I$5:$I$35,MATCH(P10,Carteira!$A$5:$A$35,0)),"")</f>
        <v/>
      </c>
      <c r="R10" s="194">
        <f>IFERROR(INDEX(Carteira!$H$5:$H$35,MATCH(P10,Carteira!$A$5:$A$35,0)),"")</f>
        <v/>
      </c>
      <c r="T10">
        <f>IF(AND(Carteira!AC10=1,OR(Carteira!C10&gt;0,SUMIFS(Carteira!$C$5:$C$35,Carteira!$AC$5:$AC$35,1)=0)),N(Carteira!W10)+ROW()/1E9,"")</f>
        <v/>
      </c>
      <c r="U10">
        <f>IFERROR(INDEX($D$5:$D$35,MATCH(LARGE($T$5:$T$35,6),$T$5:$T$35,0)),"")</f>
        <v/>
      </c>
      <c r="V10" s="195">
        <f>IFERROR(INDEX(Carteira!$W$5:$W$35,MATCH(U10,Carteira!$A$5:$A$35,0)),"")</f>
        <v/>
      </c>
      <c r="X10">
        <f>IF(AND(Carteira!AC10=1,OR(Carteira!C10&gt;0,SUMIFS(Carteira!$C$5:$C$35,Carteira!$AC$5:$AC$35,1)=0)),N(Carteira!J10)+ROW()/1E9,"")</f>
        <v/>
      </c>
      <c r="Y10">
        <f>IFERROR(INDEX($D$5:$D$35,MATCH(LARGE($X$5:$X$35,6),$X$5:$X$35,0)),"")</f>
        <v/>
      </c>
      <c r="Z10" s="192">
        <f>IFERROR(INDEX(Carteira!$J$5:$J$35,MATCH(Y10,Carteira!$A$5:$A$35,0)),"")</f>
        <v/>
      </c>
    </row>
    <row r="11">
      <c r="A11" s="191">
        <f>DATE(YEAR(TODAY()),MONTH(TODAY())-2,1)</f>
        <v/>
      </c>
      <c r="B11" s="192">
        <f>SUMIFS(Proventos!$F:$F,Proventos!$A:$A,"&gt;="&amp;A11,Proventos!$A:$A,"&lt;"&amp;DATE(YEAR(A11),MONTH(A11)+1,1))</f>
        <v/>
      </c>
      <c r="D11">
        <f>Carteira!A11</f>
        <v/>
      </c>
      <c r="F11">
        <f>IF(AND(Carteira!AC11=1,OR(Carteira!C11&gt;0,SUMIFS(Carteira!$C$5:$C$35,Carteira!$AC$5:$AC$35,1)=0)),N(Carteira!G11)+ROW()/1E9,"")</f>
        <v/>
      </c>
      <c r="G11">
        <f>IFERROR(INDEX($D$5:$D$35,MATCH(LARGE($F$5:$F$35,7),$F$5:$F$35,0)),"")</f>
        <v/>
      </c>
      <c r="H11" s="192">
        <f>IFERROR(INDEX(Carteira!$G$5:$G$35,MATCH(G11,Carteira!$A$5:$A$35,0)),"")</f>
        <v/>
      </c>
      <c r="J11">
        <f>IF(AND(Carteira!AC11=1,OR(Carteira!C11&gt;0,SUMIFS(Carteira!$C$5:$C$35,Carteira!$AC$5:$AC$35,1)=0)),N(Carteira!I11)+ROW()/1E9,"")</f>
        <v/>
      </c>
      <c r="K11">
        <f>IFERROR(INDEX($D$5:$D$35,MATCH(LARGE($J$5:$J$35,7),$J$5:$J$35,0)),"")</f>
        <v/>
      </c>
      <c r="L11" s="193">
        <f>IFERROR(INDEX(Carteira!$I$5:$I$35,MATCH(K11,Carteira!$A$5:$A$35,0)),"")</f>
        <v/>
      </c>
      <c r="M11" s="194">
        <f>IFERROR(INDEX(Carteira!$H$5:$H$35,MATCH(K11,Carteira!$A$5:$A$35,0)),"")</f>
        <v/>
      </c>
      <c r="O11">
        <f>IF(AND(Carteira!AC11=1,OR(Carteira!C11&gt;0,SUMIFS(Carteira!$C$5:$C$35,Carteira!$AC$5:$AC$35,1)=0)),N(Carteira!I11)+ROW()/1E9,"")</f>
        <v/>
      </c>
      <c r="P11">
        <f>IFERROR(INDEX($D$5:$D$35,MATCH(SMALL($O$5:$O$35,7),$O$5:$O$35,0)),"")</f>
        <v/>
      </c>
      <c r="Q11" s="193">
        <f>IFERROR(INDEX(Carteira!$I$5:$I$35,MATCH(P11,Carteira!$A$5:$A$35,0)),"")</f>
        <v/>
      </c>
      <c r="R11" s="194">
        <f>IFERROR(INDEX(Carteira!$H$5:$H$35,MATCH(P11,Carteira!$A$5:$A$35,0)),"")</f>
        <v/>
      </c>
      <c r="T11">
        <f>IF(AND(Carteira!AC11=1,OR(Carteira!C11&gt;0,SUMIFS(Carteira!$C$5:$C$35,Carteira!$AC$5:$AC$35,1)=0)),N(Carteira!W11)+ROW()/1E9,"")</f>
        <v/>
      </c>
      <c r="U11">
        <f>IFERROR(INDEX($D$5:$D$35,MATCH(LARGE($T$5:$T$35,7),$T$5:$T$35,0)),"")</f>
        <v/>
      </c>
      <c r="V11" s="195">
        <f>IFERROR(INDEX(Carteira!$W$5:$W$35,MATCH(U11,Carteira!$A$5:$A$35,0)),"")</f>
        <v/>
      </c>
      <c r="X11">
        <f>IF(AND(Carteira!AC11=1,OR(Carteira!C11&gt;0,SUMIFS(Carteira!$C$5:$C$35,Carteira!$AC$5:$AC$35,1)=0)),N(Carteira!J11)+ROW()/1E9,"")</f>
        <v/>
      </c>
      <c r="Y11">
        <f>IFERROR(INDEX($D$5:$D$35,MATCH(LARGE($X$5:$X$35,7),$X$5:$X$35,0)),"")</f>
        <v/>
      </c>
      <c r="Z11" s="192">
        <f>IFERROR(INDEX(Carteira!$J$5:$J$35,MATCH(Y11,Carteira!$A$5:$A$35,0)),"")</f>
        <v/>
      </c>
    </row>
    <row r="12">
      <c r="A12" s="191">
        <f>DATE(YEAR(TODAY()),MONTH(TODAY())-1,1)</f>
        <v/>
      </c>
      <c r="B12" s="192">
        <f>SUMIFS(Proventos!$F:$F,Proventos!$A:$A,"&gt;="&amp;A12,Proventos!$A:$A,"&lt;"&amp;DATE(YEAR(A12),MONTH(A12)+1,1))</f>
        <v/>
      </c>
      <c r="D12">
        <f>Carteira!A12</f>
        <v/>
      </c>
      <c r="F12">
        <f>IF(AND(Carteira!AC12=1,OR(Carteira!C12&gt;0,SUMIFS(Carteira!$C$5:$C$35,Carteira!$AC$5:$AC$35,1)=0)),N(Carteira!G12)+ROW()/1E9,"")</f>
        <v/>
      </c>
      <c r="G12">
        <f>IFERROR(INDEX($D$5:$D$35,MATCH(LARGE($F$5:$F$35,8),$F$5:$F$35,0)),"")</f>
        <v/>
      </c>
      <c r="H12" s="192">
        <f>IFERROR(INDEX(Carteira!$G$5:$G$35,MATCH(G12,Carteira!$A$5:$A$35,0)),"")</f>
        <v/>
      </c>
      <c r="J12">
        <f>IF(AND(Carteira!AC12=1,OR(Carteira!C12&gt;0,SUMIFS(Carteira!$C$5:$C$35,Carteira!$AC$5:$AC$35,1)=0)),N(Carteira!I12)+ROW()/1E9,"")</f>
        <v/>
      </c>
      <c r="K12">
        <f>IFERROR(INDEX($D$5:$D$35,MATCH(LARGE($J$5:$J$35,8),$J$5:$J$35,0)),"")</f>
        <v/>
      </c>
      <c r="L12" s="193">
        <f>IFERROR(INDEX(Carteira!$I$5:$I$35,MATCH(K12,Carteira!$A$5:$A$35,0)),"")</f>
        <v/>
      </c>
      <c r="M12" s="194">
        <f>IFERROR(INDEX(Carteira!$H$5:$H$35,MATCH(K12,Carteira!$A$5:$A$35,0)),"")</f>
        <v/>
      </c>
      <c r="O12">
        <f>IF(AND(Carteira!AC12=1,OR(Carteira!C12&gt;0,SUMIFS(Carteira!$C$5:$C$35,Carteira!$AC$5:$AC$35,1)=0)),N(Carteira!I12)+ROW()/1E9,"")</f>
        <v/>
      </c>
      <c r="P12">
        <f>IFERROR(INDEX($D$5:$D$35,MATCH(SMALL($O$5:$O$35,8),$O$5:$O$35,0)),"")</f>
        <v/>
      </c>
      <c r="Q12" s="193">
        <f>IFERROR(INDEX(Carteira!$I$5:$I$35,MATCH(P12,Carteira!$A$5:$A$35,0)),"")</f>
        <v/>
      </c>
      <c r="R12" s="194">
        <f>IFERROR(INDEX(Carteira!$H$5:$H$35,MATCH(P12,Carteira!$A$5:$A$35,0)),"")</f>
        <v/>
      </c>
      <c r="T12">
        <f>IF(AND(Carteira!AC12=1,OR(Carteira!C12&gt;0,SUMIFS(Carteira!$C$5:$C$35,Carteira!$AC$5:$AC$35,1)=0)),N(Carteira!W12)+ROW()/1E9,"")</f>
        <v/>
      </c>
      <c r="U12">
        <f>IFERROR(INDEX($D$5:$D$35,MATCH(LARGE($T$5:$T$35,8),$T$5:$T$35,0)),"")</f>
        <v/>
      </c>
      <c r="V12" s="195">
        <f>IFERROR(INDEX(Carteira!$W$5:$W$35,MATCH(U12,Carteira!$A$5:$A$35,0)),"")</f>
        <v/>
      </c>
      <c r="X12">
        <f>IF(AND(Carteira!AC12=1,OR(Carteira!C12&gt;0,SUMIFS(Carteira!$C$5:$C$35,Carteira!$AC$5:$AC$35,1)=0)),N(Carteira!J12)+ROW()/1E9,"")</f>
        <v/>
      </c>
      <c r="Y12">
        <f>IFERROR(INDEX($D$5:$D$35,MATCH(LARGE($X$5:$X$35,8),$X$5:$X$35,0)),"")</f>
        <v/>
      </c>
      <c r="Z12" s="192">
        <f>IFERROR(INDEX(Carteira!$J$5:$J$35,MATCH(Y12,Carteira!$A$5:$A$35,0)),"")</f>
        <v/>
      </c>
    </row>
    <row r="13">
      <c r="A13" s="191">
        <f>DATE(YEAR(TODAY()),MONTH(TODAY())-0,1)</f>
        <v/>
      </c>
      <c r="B13" s="192">
        <f>SUMIFS(Proventos!$F:$F,Proventos!$A:$A,"&gt;="&amp;A13,Proventos!$A:$A,"&lt;"&amp;DATE(YEAR(A13),MONTH(A13)+1,1))</f>
        <v/>
      </c>
      <c r="D13">
        <f>Carteira!A13</f>
        <v/>
      </c>
      <c r="F13">
        <f>IF(AND(Carteira!AC13=1,OR(Carteira!C13&gt;0,SUMIFS(Carteira!$C$5:$C$35,Carteira!$AC$5:$AC$35,1)=0)),N(Carteira!G13)+ROW()/1E9,"")</f>
        <v/>
      </c>
      <c r="G13">
        <f>IFERROR(INDEX($D$5:$D$35,MATCH(LARGE($F$5:$F$35,9),$F$5:$F$35,0)),"")</f>
        <v/>
      </c>
      <c r="H13" s="192">
        <f>IFERROR(INDEX(Carteira!$G$5:$G$35,MATCH(G13,Carteira!$A$5:$A$35,0)),"")</f>
        <v/>
      </c>
      <c r="J13">
        <f>IF(AND(Carteira!AC13=1,OR(Carteira!C13&gt;0,SUMIFS(Carteira!$C$5:$C$35,Carteira!$AC$5:$AC$35,1)=0)),N(Carteira!I13)+ROW()/1E9,"")</f>
        <v/>
      </c>
      <c r="K13">
        <f>IFERROR(INDEX($D$5:$D$35,MATCH(LARGE($J$5:$J$35,9),$J$5:$J$35,0)),"")</f>
        <v/>
      </c>
      <c r="L13" s="193">
        <f>IFERROR(INDEX(Carteira!$I$5:$I$35,MATCH(K13,Carteira!$A$5:$A$35,0)),"")</f>
        <v/>
      </c>
      <c r="M13" s="194">
        <f>IFERROR(INDEX(Carteira!$H$5:$H$35,MATCH(K13,Carteira!$A$5:$A$35,0)),"")</f>
        <v/>
      </c>
      <c r="O13">
        <f>IF(AND(Carteira!AC13=1,OR(Carteira!C13&gt;0,SUMIFS(Carteira!$C$5:$C$35,Carteira!$AC$5:$AC$35,1)=0)),N(Carteira!I13)+ROW()/1E9,"")</f>
        <v/>
      </c>
      <c r="P13">
        <f>IFERROR(INDEX($D$5:$D$35,MATCH(SMALL($O$5:$O$35,9),$O$5:$O$35,0)),"")</f>
        <v/>
      </c>
      <c r="Q13" s="193">
        <f>IFERROR(INDEX(Carteira!$I$5:$I$35,MATCH(P13,Carteira!$A$5:$A$35,0)),"")</f>
        <v/>
      </c>
      <c r="R13" s="194">
        <f>IFERROR(INDEX(Carteira!$H$5:$H$35,MATCH(P13,Carteira!$A$5:$A$35,0)),"")</f>
        <v/>
      </c>
      <c r="T13">
        <f>IF(AND(Carteira!AC13=1,OR(Carteira!C13&gt;0,SUMIFS(Carteira!$C$5:$C$35,Carteira!$AC$5:$AC$35,1)=0)),N(Carteira!W13)+ROW()/1E9,"")</f>
        <v/>
      </c>
      <c r="U13">
        <f>IFERROR(INDEX($D$5:$D$35,MATCH(LARGE($T$5:$T$35,9),$T$5:$T$35,0)),"")</f>
        <v/>
      </c>
      <c r="V13" s="195">
        <f>IFERROR(INDEX(Carteira!$W$5:$W$35,MATCH(U13,Carteira!$A$5:$A$35,0)),"")</f>
        <v/>
      </c>
      <c r="X13">
        <f>IF(AND(Carteira!AC13=1,OR(Carteira!C13&gt;0,SUMIFS(Carteira!$C$5:$C$35,Carteira!$AC$5:$AC$35,1)=0)),N(Carteira!J13)+ROW()/1E9,"")</f>
        <v/>
      </c>
      <c r="Y13">
        <f>IFERROR(INDEX($D$5:$D$35,MATCH(LARGE($X$5:$X$35,9),$X$5:$X$35,0)),"")</f>
        <v/>
      </c>
      <c r="Z13" s="192">
        <f>IFERROR(INDEX(Carteira!$J$5:$J$35,MATCH(Y13,Carteira!$A$5:$A$35,0)),"")</f>
        <v/>
      </c>
    </row>
    <row r="14">
      <c r="D14">
        <f>Carteira!A14</f>
        <v/>
      </c>
      <c r="F14">
        <f>IF(AND(Carteira!AC14=1,OR(Carteira!C14&gt;0,SUMIFS(Carteira!$C$5:$C$35,Carteira!$AC$5:$AC$35,1)=0)),N(Carteira!G14)+ROW()/1E9,"")</f>
        <v/>
      </c>
      <c r="G14">
        <f>IFERROR(INDEX($D$5:$D$35,MATCH(LARGE($F$5:$F$35,10),$F$5:$F$35,0)),"")</f>
        <v/>
      </c>
      <c r="H14" s="192">
        <f>IFERROR(INDEX(Carteira!$G$5:$G$35,MATCH(G14,Carteira!$A$5:$A$35,0)),"")</f>
        <v/>
      </c>
      <c r="J14">
        <f>IF(AND(Carteira!AC14=1,OR(Carteira!C14&gt;0,SUMIFS(Carteira!$C$5:$C$35,Carteira!$AC$5:$AC$35,1)=0)),N(Carteira!I14)+ROW()/1E9,"")</f>
        <v/>
      </c>
      <c r="K14">
        <f>IFERROR(INDEX($D$5:$D$35,MATCH(LARGE($J$5:$J$35,10),$J$5:$J$35,0)),"")</f>
        <v/>
      </c>
      <c r="L14" s="193">
        <f>IFERROR(INDEX(Carteira!$I$5:$I$35,MATCH(K14,Carteira!$A$5:$A$35,0)),"")</f>
        <v/>
      </c>
      <c r="M14" s="194">
        <f>IFERROR(INDEX(Carteira!$H$5:$H$35,MATCH(K14,Carteira!$A$5:$A$35,0)),"")</f>
        <v/>
      </c>
      <c r="O14">
        <f>IF(AND(Carteira!AC14=1,OR(Carteira!C14&gt;0,SUMIFS(Carteira!$C$5:$C$35,Carteira!$AC$5:$AC$35,1)=0)),N(Carteira!I14)+ROW()/1E9,"")</f>
        <v/>
      </c>
      <c r="P14">
        <f>IFERROR(INDEX($D$5:$D$35,MATCH(SMALL($O$5:$O$35,10),$O$5:$O$35,0)),"")</f>
        <v/>
      </c>
      <c r="Q14" s="193">
        <f>IFERROR(INDEX(Carteira!$I$5:$I$35,MATCH(P14,Carteira!$A$5:$A$35,0)),"")</f>
        <v/>
      </c>
      <c r="R14" s="194">
        <f>IFERROR(INDEX(Carteira!$H$5:$H$35,MATCH(P14,Carteira!$A$5:$A$35,0)),"")</f>
        <v/>
      </c>
      <c r="T14">
        <f>IF(AND(Carteira!AC14=1,OR(Carteira!C14&gt;0,SUMIFS(Carteira!$C$5:$C$35,Carteira!$AC$5:$AC$35,1)=0)),N(Carteira!W14)+ROW()/1E9,"")</f>
        <v/>
      </c>
      <c r="U14">
        <f>IFERROR(INDEX($D$5:$D$35,MATCH(LARGE($T$5:$T$35,10),$T$5:$T$35,0)),"")</f>
        <v/>
      </c>
      <c r="V14" s="195">
        <f>IFERROR(INDEX(Carteira!$W$5:$W$35,MATCH(U14,Carteira!$A$5:$A$35,0)),"")</f>
        <v/>
      </c>
      <c r="X14">
        <f>IF(AND(Carteira!AC14=1,OR(Carteira!C14&gt;0,SUMIFS(Carteira!$C$5:$C$35,Carteira!$AC$5:$AC$35,1)=0)),N(Carteira!J14)+ROW()/1E9,"")</f>
        <v/>
      </c>
      <c r="Y14">
        <f>IFERROR(INDEX($D$5:$D$35,MATCH(LARGE($X$5:$X$35,10),$X$5:$X$35,0)),"")</f>
        <v/>
      </c>
      <c r="Z14" s="192">
        <f>IFERROR(INDEX(Carteira!$J$5:$J$35,MATCH(Y14,Carteira!$A$5:$A$35,0)),"")</f>
        <v/>
      </c>
    </row>
    <row r="15">
      <c r="D15">
        <f>Carteira!A15</f>
        <v/>
      </c>
      <c r="F15">
        <f>IF(AND(Carteira!AC15=1,OR(Carteira!C15&gt;0,SUMIFS(Carteira!$C$5:$C$35,Carteira!$AC$5:$AC$35,1)=0)),N(Carteira!G15)+ROW()/1E9,"")</f>
        <v/>
      </c>
      <c r="G15">
        <f>IFERROR(INDEX($D$5:$D$35,MATCH(LARGE($F$5:$F$35,11),$F$5:$F$35,0)),"")</f>
        <v/>
      </c>
      <c r="H15" s="192">
        <f>IFERROR(INDEX(Carteira!$G$5:$G$35,MATCH(G15,Carteira!$A$5:$A$35,0)),"")</f>
        <v/>
      </c>
      <c r="J15">
        <f>IF(AND(Carteira!AC15=1,OR(Carteira!C15&gt;0,SUMIFS(Carteira!$C$5:$C$35,Carteira!$AC$5:$AC$35,1)=0)),N(Carteira!I15)+ROW()/1E9,"")</f>
        <v/>
      </c>
      <c r="K15">
        <f>IFERROR(INDEX($D$5:$D$35,MATCH(LARGE($J$5:$J$35,11),$J$5:$J$35,0)),"")</f>
        <v/>
      </c>
      <c r="L15" s="193">
        <f>IFERROR(INDEX(Carteira!$I$5:$I$35,MATCH(K15,Carteira!$A$5:$A$35,0)),"")</f>
        <v/>
      </c>
      <c r="M15" s="194">
        <f>IFERROR(INDEX(Carteira!$H$5:$H$35,MATCH(K15,Carteira!$A$5:$A$35,0)),"")</f>
        <v/>
      </c>
      <c r="O15">
        <f>IF(AND(Carteira!AC15=1,OR(Carteira!C15&gt;0,SUMIFS(Carteira!$C$5:$C$35,Carteira!$AC$5:$AC$35,1)=0)),N(Carteira!I15)+ROW()/1E9,"")</f>
        <v/>
      </c>
      <c r="P15">
        <f>IFERROR(INDEX($D$5:$D$35,MATCH(SMALL($O$5:$O$35,11),$O$5:$O$35,0)),"")</f>
        <v/>
      </c>
      <c r="Q15" s="193">
        <f>IFERROR(INDEX(Carteira!$I$5:$I$35,MATCH(P15,Carteira!$A$5:$A$35,0)),"")</f>
        <v/>
      </c>
      <c r="R15" s="194">
        <f>IFERROR(INDEX(Carteira!$H$5:$H$35,MATCH(P15,Carteira!$A$5:$A$35,0)),"")</f>
        <v/>
      </c>
      <c r="T15">
        <f>IF(AND(Carteira!AC15=1,OR(Carteira!C15&gt;0,SUMIFS(Carteira!$C$5:$C$35,Carteira!$AC$5:$AC$35,1)=0)),N(Carteira!W15)+ROW()/1E9,"")</f>
        <v/>
      </c>
      <c r="U15">
        <f>IFERROR(INDEX($D$5:$D$35,MATCH(LARGE($T$5:$T$35,11),$T$5:$T$35,0)),"")</f>
        <v/>
      </c>
      <c r="V15" s="195">
        <f>IFERROR(INDEX(Carteira!$W$5:$W$35,MATCH(U15,Carteira!$A$5:$A$35,0)),"")</f>
        <v/>
      </c>
      <c r="X15">
        <f>IF(AND(Carteira!AC15=1,OR(Carteira!C15&gt;0,SUMIFS(Carteira!$C$5:$C$35,Carteira!$AC$5:$AC$35,1)=0)),N(Carteira!J15)+ROW()/1E9,"")</f>
        <v/>
      </c>
      <c r="Y15">
        <f>IFERROR(INDEX($D$5:$D$35,MATCH(LARGE($X$5:$X$35,11),$X$5:$X$35,0)),"")</f>
        <v/>
      </c>
      <c r="Z15" s="192">
        <f>IFERROR(INDEX(Carteira!$J$5:$J$35,MATCH(Y15,Carteira!$A$5:$A$35,0)),"")</f>
        <v/>
      </c>
    </row>
    <row r="16">
      <c r="A16" t="inlineStr">
        <is>
          <t>Tipo</t>
        </is>
      </c>
      <c r="B16" t="inlineStr">
        <is>
          <t>Posição</t>
        </is>
      </c>
      <c r="D16">
        <f>Carteira!A16</f>
        <v/>
      </c>
      <c r="F16">
        <f>IF(AND(Carteira!AC16=1,OR(Carteira!C16&gt;0,SUMIFS(Carteira!$C$5:$C$35,Carteira!$AC$5:$AC$35,1)=0)),N(Carteira!G16)+ROW()/1E9,"")</f>
        <v/>
      </c>
      <c r="G16">
        <f>IFERROR(INDEX($D$5:$D$35,MATCH(LARGE($F$5:$F$35,12),$F$5:$F$35,0)),"")</f>
        <v/>
      </c>
      <c r="H16" s="192">
        <f>IFERROR(INDEX(Carteira!$G$5:$G$35,MATCH(G16,Carteira!$A$5:$A$35,0)),"")</f>
        <v/>
      </c>
      <c r="J16">
        <f>IF(AND(Carteira!AC16=1,OR(Carteira!C16&gt;0,SUMIFS(Carteira!$C$5:$C$35,Carteira!$AC$5:$AC$35,1)=0)),N(Carteira!I16)+ROW()/1E9,"")</f>
        <v/>
      </c>
      <c r="K16">
        <f>IFERROR(INDEX($D$5:$D$35,MATCH(LARGE($J$5:$J$35,12),$J$5:$J$35,0)),"")</f>
        <v/>
      </c>
      <c r="L16" s="193">
        <f>IFERROR(INDEX(Carteira!$I$5:$I$35,MATCH(K16,Carteira!$A$5:$A$35,0)),"")</f>
        <v/>
      </c>
      <c r="M16" s="194">
        <f>IFERROR(INDEX(Carteira!$H$5:$H$35,MATCH(K16,Carteira!$A$5:$A$35,0)),"")</f>
        <v/>
      </c>
      <c r="O16">
        <f>IF(AND(Carteira!AC16=1,OR(Carteira!C16&gt;0,SUMIFS(Carteira!$C$5:$C$35,Carteira!$AC$5:$AC$35,1)=0)),N(Carteira!I16)+ROW()/1E9,"")</f>
        <v/>
      </c>
      <c r="P16">
        <f>IFERROR(INDEX($D$5:$D$35,MATCH(SMALL($O$5:$O$35,12),$O$5:$O$35,0)),"")</f>
        <v/>
      </c>
      <c r="Q16" s="193">
        <f>IFERROR(INDEX(Carteira!$I$5:$I$35,MATCH(P16,Carteira!$A$5:$A$35,0)),"")</f>
        <v/>
      </c>
      <c r="R16" s="194">
        <f>IFERROR(INDEX(Carteira!$H$5:$H$35,MATCH(P16,Carteira!$A$5:$A$35,0)),"")</f>
        <v/>
      </c>
      <c r="T16">
        <f>IF(AND(Carteira!AC16=1,OR(Carteira!C16&gt;0,SUMIFS(Carteira!$C$5:$C$35,Carteira!$AC$5:$AC$35,1)=0)),N(Carteira!W16)+ROW()/1E9,"")</f>
        <v/>
      </c>
      <c r="U16">
        <f>IFERROR(INDEX($D$5:$D$35,MATCH(LARGE($T$5:$T$35,12),$T$5:$T$35,0)),"")</f>
        <v/>
      </c>
      <c r="V16" s="195">
        <f>IFERROR(INDEX(Carteira!$W$5:$W$35,MATCH(U16,Carteira!$A$5:$A$35,0)),"")</f>
        <v/>
      </c>
      <c r="X16">
        <f>IF(AND(Carteira!AC16=1,OR(Carteira!C16&gt;0,SUMIFS(Carteira!$C$5:$C$35,Carteira!$AC$5:$AC$35,1)=0)),N(Carteira!J16)+ROW()/1E9,"")</f>
        <v/>
      </c>
      <c r="Y16">
        <f>IFERROR(INDEX($D$5:$D$35,MATCH(LARGE($X$5:$X$35,12),$X$5:$X$35,0)),"")</f>
        <v/>
      </c>
      <c r="Z16" s="192">
        <f>IFERROR(INDEX(Carteira!$J$5:$J$35,MATCH(Y16,Carteira!$A$5:$A$35,0)),"")</f>
        <v/>
      </c>
    </row>
    <row r="17">
      <c r="A17" t="inlineStr">
        <is>
          <t>Ações</t>
        </is>
      </c>
      <c r="B17" s="192">
        <f>Carteira!G38</f>
        <v/>
      </c>
      <c r="D17">
        <f>Carteira!A17</f>
        <v/>
      </c>
      <c r="F17">
        <f>IF(AND(Carteira!AC17=1,OR(Carteira!C17&gt;0,SUMIFS(Carteira!$C$5:$C$35,Carteira!$AC$5:$AC$35,1)=0)),N(Carteira!G17)+ROW()/1E9,"")</f>
        <v/>
      </c>
      <c r="G17">
        <f>IFERROR(INDEX($D$5:$D$35,MATCH(LARGE($F$5:$F$35,13),$F$5:$F$35,0)),"")</f>
        <v/>
      </c>
      <c r="H17" s="192">
        <f>IFERROR(INDEX(Carteira!$G$5:$G$35,MATCH(G17,Carteira!$A$5:$A$35,0)),"")</f>
        <v/>
      </c>
      <c r="J17">
        <f>IF(AND(Carteira!AC17=1,OR(Carteira!C17&gt;0,SUMIFS(Carteira!$C$5:$C$35,Carteira!$AC$5:$AC$35,1)=0)),N(Carteira!I17)+ROW()/1E9,"")</f>
        <v/>
      </c>
      <c r="K17">
        <f>IFERROR(INDEX($D$5:$D$35,MATCH(LARGE($J$5:$J$35,13),$J$5:$J$35,0)),"")</f>
        <v/>
      </c>
      <c r="L17" s="193">
        <f>IFERROR(INDEX(Carteira!$I$5:$I$35,MATCH(K17,Carteira!$A$5:$A$35,0)),"")</f>
        <v/>
      </c>
      <c r="M17" s="194">
        <f>IFERROR(INDEX(Carteira!$H$5:$H$35,MATCH(K17,Carteira!$A$5:$A$35,0)),"")</f>
        <v/>
      </c>
      <c r="O17">
        <f>IF(AND(Carteira!AC17=1,OR(Carteira!C17&gt;0,SUMIFS(Carteira!$C$5:$C$35,Carteira!$AC$5:$AC$35,1)=0)),N(Carteira!I17)+ROW()/1E9,"")</f>
        <v/>
      </c>
      <c r="P17">
        <f>IFERROR(INDEX($D$5:$D$35,MATCH(SMALL($O$5:$O$35,13),$O$5:$O$35,0)),"")</f>
        <v/>
      </c>
      <c r="Q17" s="193">
        <f>IFERROR(INDEX(Carteira!$I$5:$I$35,MATCH(P17,Carteira!$A$5:$A$35,0)),"")</f>
        <v/>
      </c>
      <c r="R17" s="194">
        <f>IFERROR(INDEX(Carteira!$H$5:$H$35,MATCH(P17,Carteira!$A$5:$A$35,0)),"")</f>
        <v/>
      </c>
      <c r="T17">
        <f>IF(AND(Carteira!AC17=1,OR(Carteira!C17&gt;0,SUMIFS(Carteira!$C$5:$C$35,Carteira!$AC$5:$AC$35,1)=0)),N(Carteira!W17)+ROW()/1E9,"")</f>
        <v/>
      </c>
      <c r="U17">
        <f>IFERROR(INDEX($D$5:$D$35,MATCH(LARGE($T$5:$T$35,13),$T$5:$T$35,0)),"")</f>
        <v/>
      </c>
      <c r="V17" s="195">
        <f>IFERROR(INDEX(Carteira!$W$5:$W$35,MATCH(U17,Carteira!$A$5:$A$35,0)),"")</f>
        <v/>
      </c>
      <c r="X17">
        <f>IF(AND(Carteira!AC17=1,OR(Carteira!C17&gt;0,SUMIFS(Carteira!$C$5:$C$35,Carteira!$AC$5:$AC$35,1)=0)),N(Carteira!J17)+ROW()/1E9,"")</f>
        <v/>
      </c>
      <c r="Y17">
        <f>IFERROR(INDEX($D$5:$D$35,MATCH(LARGE($X$5:$X$35,13),$X$5:$X$35,0)),"")</f>
        <v/>
      </c>
      <c r="Z17" s="192">
        <f>IFERROR(INDEX(Carteira!$J$5:$J$35,MATCH(Y17,Carteira!$A$5:$A$35,0)),"")</f>
        <v/>
      </c>
    </row>
    <row r="18">
      <c r="A18" t="inlineStr">
        <is>
          <t>FIIs</t>
        </is>
      </c>
      <c r="B18" s="192">
        <f>Carteira!G39</f>
        <v/>
      </c>
      <c r="D18">
        <f>Carteira!A18</f>
        <v/>
      </c>
      <c r="F18">
        <f>IF(AND(Carteira!AC18=1,OR(Carteira!C18&gt;0,SUMIFS(Carteira!$C$5:$C$35,Carteira!$AC$5:$AC$35,1)=0)),N(Carteira!G18)+ROW()/1E9,"")</f>
        <v/>
      </c>
      <c r="G18">
        <f>IFERROR(INDEX($D$5:$D$35,MATCH(LARGE($F$5:$F$35,14),$F$5:$F$35,0)),"")</f>
        <v/>
      </c>
      <c r="H18" s="192">
        <f>IFERROR(INDEX(Carteira!$G$5:$G$35,MATCH(G18,Carteira!$A$5:$A$35,0)),"")</f>
        <v/>
      </c>
      <c r="J18">
        <f>IF(AND(Carteira!AC18=1,OR(Carteira!C18&gt;0,SUMIFS(Carteira!$C$5:$C$35,Carteira!$AC$5:$AC$35,1)=0)),N(Carteira!I18)+ROW()/1E9,"")</f>
        <v/>
      </c>
      <c r="K18">
        <f>IFERROR(INDEX($D$5:$D$35,MATCH(LARGE($J$5:$J$35,14),$J$5:$J$35,0)),"")</f>
        <v/>
      </c>
      <c r="L18" s="193">
        <f>IFERROR(INDEX(Carteira!$I$5:$I$35,MATCH(K18,Carteira!$A$5:$A$35,0)),"")</f>
        <v/>
      </c>
      <c r="M18" s="194">
        <f>IFERROR(INDEX(Carteira!$H$5:$H$35,MATCH(K18,Carteira!$A$5:$A$35,0)),"")</f>
        <v/>
      </c>
      <c r="O18">
        <f>IF(AND(Carteira!AC18=1,OR(Carteira!C18&gt;0,SUMIFS(Carteira!$C$5:$C$35,Carteira!$AC$5:$AC$35,1)=0)),N(Carteira!I18)+ROW()/1E9,"")</f>
        <v/>
      </c>
      <c r="P18">
        <f>IFERROR(INDEX($D$5:$D$35,MATCH(SMALL($O$5:$O$35,14),$O$5:$O$35,0)),"")</f>
        <v/>
      </c>
      <c r="Q18" s="193">
        <f>IFERROR(INDEX(Carteira!$I$5:$I$35,MATCH(P18,Carteira!$A$5:$A$35,0)),"")</f>
        <v/>
      </c>
      <c r="R18" s="194">
        <f>IFERROR(INDEX(Carteira!$H$5:$H$35,MATCH(P18,Carteira!$A$5:$A$35,0)),"")</f>
        <v/>
      </c>
      <c r="T18">
        <f>IF(AND(Carteira!AC18=1,OR(Carteira!C18&gt;0,SUMIFS(Carteira!$C$5:$C$35,Carteira!$AC$5:$AC$35,1)=0)),N(Carteira!W18)+ROW()/1E9,"")</f>
        <v/>
      </c>
      <c r="U18">
        <f>IFERROR(INDEX($D$5:$D$35,MATCH(LARGE($T$5:$T$35,14),$T$5:$T$35,0)),"")</f>
        <v/>
      </c>
      <c r="V18" s="195">
        <f>IFERROR(INDEX(Carteira!$W$5:$W$35,MATCH(U18,Carteira!$A$5:$A$35,0)),"")</f>
        <v/>
      </c>
      <c r="X18">
        <f>IF(AND(Carteira!AC18=1,OR(Carteira!C18&gt;0,SUMIFS(Carteira!$C$5:$C$35,Carteira!$AC$5:$AC$35,1)=0)),N(Carteira!J18)+ROW()/1E9,"")</f>
        <v/>
      </c>
      <c r="Y18">
        <f>IFERROR(INDEX($D$5:$D$35,MATCH(LARGE($X$5:$X$35,14),$X$5:$X$35,0)),"")</f>
        <v/>
      </c>
      <c r="Z18" s="192">
        <f>IFERROR(INDEX(Carteira!$J$5:$J$35,MATCH(Y18,Carteira!$A$5:$A$35,0)),"")</f>
        <v/>
      </c>
    </row>
    <row r="19">
      <c r="D19">
        <f>Carteira!A19</f>
        <v/>
      </c>
      <c r="F19">
        <f>IF(AND(Carteira!AC19=1,OR(Carteira!C19&gt;0,SUMIFS(Carteira!$C$5:$C$35,Carteira!$AC$5:$AC$35,1)=0)),N(Carteira!G19)+ROW()/1E9,"")</f>
        <v/>
      </c>
      <c r="G19">
        <f>IFERROR(INDEX($D$5:$D$35,MATCH(LARGE($F$5:$F$35,15),$F$5:$F$35,0)),"")</f>
        <v/>
      </c>
      <c r="H19" s="192">
        <f>IFERROR(INDEX(Carteira!$G$5:$G$35,MATCH(G19,Carteira!$A$5:$A$35,0)),"")</f>
        <v/>
      </c>
      <c r="J19">
        <f>IF(AND(Carteira!AC19=1,OR(Carteira!C19&gt;0,SUMIFS(Carteira!$C$5:$C$35,Carteira!$AC$5:$AC$35,1)=0)),N(Carteira!I19)+ROW()/1E9,"")</f>
        <v/>
      </c>
      <c r="K19">
        <f>IFERROR(INDEX($D$5:$D$35,MATCH(LARGE($J$5:$J$35,15),$J$5:$J$35,0)),"")</f>
        <v/>
      </c>
      <c r="L19" s="193">
        <f>IFERROR(INDEX(Carteira!$I$5:$I$35,MATCH(K19,Carteira!$A$5:$A$35,0)),"")</f>
        <v/>
      </c>
      <c r="M19" s="194">
        <f>IFERROR(INDEX(Carteira!$H$5:$H$35,MATCH(K19,Carteira!$A$5:$A$35,0)),"")</f>
        <v/>
      </c>
      <c r="O19">
        <f>IF(AND(Carteira!AC19=1,OR(Carteira!C19&gt;0,SUMIFS(Carteira!$C$5:$C$35,Carteira!$AC$5:$AC$35,1)=0)),N(Carteira!I19)+ROW()/1E9,"")</f>
        <v/>
      </c>
      <c r="P19">
        <f>IFERROR(INDEX($D$5:$D$35,MATCH(SMALL($O$5:$O$35,15),$O$5:$O$35,0)),"")</f>
        <v/>
      </c>
      <c r="Q19" s="193">
        <f>IFERROR(INDEX(Carteira!$I$5:$I$35,MATCH(P19,Carteira!$A$5:$A$35,0)),"")</f>
        <v/>
      </c>
      <c r="R19" s="194">
        <f>IFERROR(INDEX(Carteira!$H$5:$H$35,MATCH(P19,Carteira!$A$5:$A$35,0)),"")</f>
        <v/>
      </c>
      <c r="T19">
        <f>IF(AND(Carteira!AC19=1,OR(Carteira!C19&gt;0,SUMIFS(Carteira!$C$5:$C$35,Carteira!$AC$5:$AC$35,1)=0)),N(Carteira!W19)+ROW()/1E9,"")</f>
        <v/>
      </c>
      <c r="U19">
        <f>IFERROR(INDEX($D$5:$D$35,MATCH(LARGE($T$5:$T$35,15),$T$5:$T$35,0)),"")</f>
        <v/>
      </c>
      <c r="V19" s="195">
        <f>IFERROR(INDEX(Carteira!$W$5:$W$35,MATCH(U19,Carteira!$A$5:$A$35,0)),"")</f>
        <v/>
      </c>
      <c r="X19">
        <f>IF(AND(Carteira!AC19=1,OR(Carteira!C19&gt;0,SUMIFS(Carteira!$C$5:$C$35,Carteira!$AC$5:$AC$35,1)=0)),N(Carteira!J19)+ROW()/1E9,"")</f>
        <v/>
      </c>
      <c r="Y19">
        <f>IFERROR(INDEX($D$5:$D$35,MATCH(LARGE($X$5:$X$35,15),$X$5:$X$35,0)),"")</f>
        <v/>
      </c>
      <c r="Z19" s="192">
        <f>IFERROR(INDEX(Carteira!$J$5:$J$35,MATCH(Y19,Carteira!$A$5:$A$35,0)),"")</f>
        <v/>
      </c>
    </row>
    <row r="20">
      <c r="D20">
        <f>Carteira!A20</f>
        <v/>
      </c>
      <c r="F20">
        <f>IF(AND(Carteira!AC20=1,OR(Carteira!C20&gt;0,SUMIFS(Carteira!$C$5:$C$35,Carteira!$AC$5:$AC$35,1)=0)),N(Carteira!G20)+ROW()/1E9,"")</f>
        <v/>
      </c>
      <c r="G20">
        <f>IFERROR(INDEX($D$5:$D$35,MATCH(LARGE($F$5:$F$35,16),$F$5:$F$35,0)),"")</f>
        <v/>
      </c>
      <c r="H20" s="192">
        <f>IFERROR(INDEX(Carteira!$G$5:$G$35,MATCH(G20,Carteira!$A$5:$A$35,0)),"")</f>
        <v/>
      </c>
      <c r="J20">
        <f>IF(AND(Carteira!AC20=1,OR(Carteira!C20&gt;0,SUMIFS(Carteira!$C$5:$C$35,Carteira!$AC$5:$AC$35,1)=0)),N(Carteira!I20)+ROW()/1E9,"")</f>
        <v/>
      </c>
      <c r="K20">
        <f>IFERROR(INDEX($D$5:$D$35,MATCH(LARGE($J$5:$J$35,16),$J$5:$J$35,0)),"")</f>
        <v/>
      </c>
      <c r="L20" s="193">
        <f>IFERROR(INDEX(Carteira!$I$5:$I$35,MATCH(K20,Carteira!$A$5:$A$35,0)),"")</f>
        <v/>
      </c>
      <c r="M20" s="194">
        <f>IFERROR(INDEX(Carteira!$H$5:$H$35,MATCH(K20,Carteira!$A$5:$A$35,0)),"")</f>
        <v/>
      </c>
      <c r="O20">
        <f>IF(AND(Carteira!AC20=1,OR(Carteira!C20&gt;0,SUMIFS(Carteira!$C$5:$C$35,Carteira!$AC$5:$AC$35,1)=0)),N(Carteira!I20)+ROW()/1E9,"")</f>
        <v/>
      </c>
      <c r="P20">
        <f>IFERROR(INDEX($D$5:$D$35,MATCH(SMALL($O$5:$O$35,16),$O$5:$O$35,0)),"")</f>
        <v/>
      </c>
      <c r="Q20" s="193">
        <f>IFERROR(INDEX(Carteira!$I$5:$I$35,MATCH(P20,Carteira!$A$5:$A$35,0)),"")</f>
        <v/>
      </c>
      <c r="R20" s="194">
        <f>IFERROR(INDEX(Carteira!$H$5:$H$35,MATCH(P20,Carteira!$A$5:$A$35,0)),"")</f>
        <v/>
      </c>
      <c r="T20">
        <f>IF(AND(Carteira!AC20=1,OR(Carteira!C20&gt;0,SUMIFS(Carteira!$C$5:$C$35,Carteira!$AC$5:$AC$35,1)=0)),N(Carteira!W20)+ROW()/1E9,"")</f>
        <v/>
      </c>
      <c r="U20">
        <f>IFERROR(INDEX($D$5:$D$35,MATCH(LARGE($T$5:$T$35,16),$T$5:$T$35,0)),"")</f>
        <v/>
      </c>
      <c r="V20" s="195">
        <f>IFERROR(INDEX(Carteira!$W$5:$W$35,MATCH(U20,Carteira!$A$5:$A$35,0)),"")</f>
        <v/>
      </c>
      <c r="X20">
        <f>IF(AND(Carteira!AC20=1,OR(Carteira!C20&gt;0,SUMIFS(Carteira!$C$5:$C$35,Carteira!$AC$5:$AC$35,1)=0)),N(Carteira!J20)+ROW()/1E9,"")</f>
        <v/>
      </c>
      <c r="Y20">
        <f>IFERROR(INDEX($D$5:$D$35,MATCH(LARGE($X$5:$X$35,16),$X$5:$X$35,0)),"")</f>
        <v/>
      </c>
      <c r="Z20" s="192">
        <f>IFERROR(INDEX(Carteira!$J$5:$J$35,MATCH(Y20,Carteira!$A$5:$A$35,0)),"")</f>
        <v/>
      </c>
    </row>
    <row r="21">
      <c r="D21">
        <f>Carteira!A21</f>
        <v/>
      </c>
      <c r="F21">
        <f>IF(AND(Carteira!AC21=1,OR(Carteira!C21&gt;0,SUMIFS(Carteira!$C$5:$C$35,Carteira!$AC$5:$AC$35,1)=0)),N(Carteira!G21)+ROW()/1E9,"")</f>
        <v/>
      </c>
      <c r="G21">
        <f>IFERROR(INDEX($D$5:$D$35,MATCH(LARGE($F$5:$F$35,17),$F$5:$F$35,0)),"")</f>
        <v/>
      </c>
      <c r="H21" s="192">
        <f>IFERROR(INDEX(Carteira!$G$5:$G$35,MATCH(G21,Carteira!$A$5:$A$35,0)),"")</f>
        <v/>
      </c>
      <c r="J21">
        <f>IF(AND(Carteira!AC21=1,OR(Carteira!C21&gt;0,SUMIFS(Carteira!$C$5:$C$35,Carteira!$AC$5:$AC$35,1)=0)),N(Carteira!I21)+ROW()/1E9,"")</f>
        <v/>
      </c>
      <c r="K21">
        <f>IFERROR(INDEX($D$5:$D$35,MATCH(LARGE($J$5:$J$35,17),$J$5:$J$35,0)),"")</f>
        <v/>
      </c>
      <c r="L21" s="193">
        <f>IFERROR(INDEX(Carteira!$I$5:$I$35,MATCH(K21,Carteira!$A$5:$A$35,0)),"")</f>
        <v/>
      </c>
      <c r="M21" s="194">
        <f>IFERROR(INDEX(Carteira!$H$5:$H$35,MATCH(K21,Carteira!$A$5:$A$35,0)),"")</f>
        <v/>
      </c>
      <c r="O21">
        <f>IF(AND(Carteira!AC21=1,OR(Carteira!C21&gt;0,SUMIFS(Carteira!$C$5:$C$35,Carteira!$AC$5:$AC$35,1)=0)),N(Carteira!I21)+ROW()/1E9,"")</f>
        <v/>
      </c>
      <c r="P21">
        <f>IFERROR(INDEX($D$5:$D$35,MATCH(SMALL($O$5:$O$35,17),$O$5:$O$35,0)),"")</f>
        <v/>
      </c>
      <c r="Q21" s="193">
        <f>IFERROR(INDEX(Carteira!$I$5:$I$35,MATCH(P21,Carteira!$A$5:$A$35,0)),"")</f>
        <v/>
      </c>
      <c r="R21" s="194">
        <f>IFERROR(INDEX(Carteira!$H$5:$H$35,MATCH(P21,Carteira!$A$5:$A$35,0)),"")</f>
        <v/>
      </c>
      <c r="T21">
        <f>IF(AND(Carteira!AC21=1,OR(Carteira!C21&gt;0,SUMIFS(Carteira!$C$5:$C$35,Carteira!$AC$5:$AC$35,1)=0)),N(Carteira!W21)+ROW()/1E9,"")</f>
        <v/>
      </c>
      <c r="U21">
        <f>IFERROR(INDEX($D$5:$D$35,MATCH(LARGE($T$5:$T$35,17),$T$5:$T$35,0)),"")</f>
        <v/>
      </c>
      <c r="V21" s="195">
        <f>IFERROR(INDEX(Carteira!$W$5:$W$35,MATCH(U21,Carteira!$A$5:$A$35,0)),"")</f>
        <v/>
      </c>
      <c r="X21">
        <f>IF(AND(Carteira!AC21=1,OR(Carteira!C21&gt;0,SUMIFS(Carteira!$C$5:$C$35,Carteira!$AC$5:$AC$35,1)=0)),N(Carteira!J21)+ROW()/1E9,"")</f>
        <v/>
      </c>
      <c r="Y21">
        <f>IFERROR(INDEX($D$5:$D$35,MATCH(LARGE($X$5:$X$35,17),$X$5:$X$35,0)),"")</f>
        <v/>
      </c>
      <c r="Z21" s="192">
        <f>IFERROR(INDEX(Carteira!$J$5:$J$35,MATCH(Y21,Carteira!$A$5:$A$35,0)),"")</f>
        <v/>
      </c>
    </row>
    <row r="22">
      <c r="D22">
        <f>Carteira!A22</f>
        <v/>
      </c>
      <c r="F22">
        <f>IF(AND(Carteira!AC22=1,OR(Carteira!C22&gt;0,SUMIFS(Carteira!$C$5:$C$35,Carteira!$AC$5:$AC$35,1)=0)),N(Carteira!G22)+ROW()/1E9,"")</f>
        <v/>
      </c>
      <c r="G22">
        <f>IFERROR(INDEX($D$5:$D$35,MATCH(LARGE($F$5:$F$35,18),$F$5:$F$35,0)),"")</f>
        <v/>
      </c>
      <c r="H22" s="192">
        <f>IFERROR(INDEX(Carteira!$G$5:$G$35,MATCH(G22,Carteira!$A$5:$A$35,0)),"")</f>
        <v/>
      </c>
      <c r="J22">
        <f>IF(AND(Carteira!AC22=1,OR(Carteira!C22&gt;0,SUMIFS(Carteira!$C$5:$C$35,Carteira!$AC$5:$AC$35,1)=0)),N(Carteira!I22)+ROW()/1E9,"")</f>
        <v/>
      </c>
      <c r="K22">
        <f>IFERROR(INDEX($D$5:$D$35,MATCH(LARGE($J$5:$J$35,18),$J$5:$J$35,0)),"")</f>
        <v/>
      </c>
      <c r="L22" s="193">
        <f>IFERROR(INDEX(Carteira!$I$5:$I$35,MATCH(K22,Carteira!$A$5:$A$35,0)),"")</f>
        <v/>
      </c>
      <c r="M22" s="194">
        <f>IFERROR(INDEX(Carteira!$H$5:$H$35,MATCH(K22,Carteira!$A$5:$A$35,0)),"")</f>
        <v/>
      </c>
      <c r="O22">
        <f>IF(AND(Carteira!AC22=1,OR(Carteira!C22&gt;0,SUMIFS(Carteira!$C$5:$C$35,Carteira!$AC$5:$AC$35,1)=0)),N(Carteira!I22)+ROW()/1E9,"")</f>
        <v/>
      </c>
      <c r="P22">
        <f>IFERROR(INDEX($D$5:$D$35,MATCH(SMALL($O$5:$O$35,18),$O$5:$O$35,0)),"")</f>
        <v/>
      </c>
      <c r="Q22" s="193">
        <f>IFERROR(INDEX(Carteira!$I$5:$I$35,MATCH(P22,Carteira!$A$5:$A$35,0)),"")</f>
        <v/>
      </c>
      <c r="R22" s="194">
        <f>IFERROR(INDEX(Carteira!$H$5:$H$35,MATCH(P22,Carteira!$A$5:$A$35,0)),"")</f>
        <v/>
      </c>
      <c r="T22">
        <f>IF(AND(Carteira!AC22=1,OR(Carteira!C22&gt;0,SUMIFS(Carteira!$C$5:$C$35,Carteira!$AC$5:$AC$35,1)=0)),N(Carteira!W22)+ROW()/1E9,"")</f>
        <v/>
      </c>
      <c r="U22">
        <f>IFERROR(INDEX($D$5:$D$35,MATCH(LARGE($T$5:$T$35,18),$T$5:$T$35,0)),"")</f>
        <v/>
      </c>
      <c r="V22" s="195">
        <f>IFERROR(INDEX(Carteira!$W$5:$W$35,MATCH(U22,Carteira!$A$5:$A$35,0)),"")</f>
        <v/>
      </c>
      <c r="X22">
        <f>IF(AND(Carteira!AC22=1,OR(Carteira!C22&gt;0,SUMIFS(Carteira!$C$5:$C$35,Carteira!$AC$5:$AC$35,1)=0)),N(Carteira!J22)+ROW()/1E9,"")</f>
        <v/>
      </c>
      <c r="Y22">
        <f>IFERROR(INDEX($D$5:$D$35,MATCH(LARGE($X$5:$X$35,18),$X$5:$X$35,0)),"")</f>
        <v/>
      </c>
      <c r="Z22" s="192">
        <f>IFERROR(INDEX(Carteira!$J$5:$J$35,MATCH(Y22,Carteira!$A$5:$A$35,0)),"")</f>
        <v/>
      </c>
    </row>
    <row r="23">
      <c r="D23">
        <f>Carteira!A23</f>
        <v/>
      </c>
      <c r="F23">
        <f>IF(AND(Carteira!AC23=1,OR(Carteira!C23&gt;0,SUMIFS(Carteira!$C$5:$C$35,Carteira!$AC$5:$AC$35,1)=0)),N(Carteira!G23)+ROW()/1E9,"")</f>
        <v/>
      </c>
      <c r="G23">
        <f>IFERROR(INDEX($D$5:$D$35,MATCH(LARGE($F$5:$F$35,19),$F$5:$F$35,0)),"")</f>
        <v/>
      </c>
      <c r="H23" s="192">
        <f>IFERROR(INDEX(Carteira!$G$5:$G$35,MATCH(G23,Carteira!$A$5:$A$35,0)),"")</f>
        <v/>
      </c>
      <c r="J23">
        <f>IF(AND(Carteira!AC23=1,OR(Carteira!C23&gt;0,SUMIFS(Carteira!$C$5:$C$35,Carteira!$AC$5:$AC$35,1)=0)),N(Carteira!I23)+ROW()/1E9,"")</f>
        <v/>
      </c>
      <c r="K23">
        <f>IFERROR(INDEX($D$5:$D$35,MATCH(LARGE($J$5:$J$35,19),$J$5:$J$35,0)),"")</f>
        <v/>
      </c>
      <c r="L23" s="193">
        <f>IFERROR(INDEX(Carteira!$I$5:$I$35,MATCH(K23,Carteira!$A$5:$A$35,0)),"")</f>
        <v/>
      </c>
      <c r="M23" s="194">
        <f>IFERROR(INDEX(Carteira!$H$5:$H$35,MATCH(K23,Carteira!$A$5:$A$35,0)),"")</f>
        <v/>
      </c>
      <c r="O23">
        <f>IF(AND(Carteira!AC23=1,OR(Carteira!C23&gt;0,SUMIFS(Carteira!$C$5:$C$35,Carteira!$AC$5:$AC$35,1)=0)),N(Carteira!I23)+ROW()/1E9,"")</f>
        <v/>
      </c>
      <c r="P23">
        <f>IFERROR(INDEX($D$5:$D$35,MATCH(SMALL($O$5:$O$35,19),$O$5:$O$35,0)),"")</f>
        <v/>
      </c>
      <c r="Q23" s="193">
        <f>IFERROR(INDEX(Carteira!$I$5:$I$35,MATCH(P23,Carteira!$A$5:$A$35,0)),"")</f>
        <v/>
      </c>
      <c r="R23" s="194">
        <f>IFERROR(INDEX(Carteira!$H$5:$H$35,MATCH(P23,Carteira!$A$5:$A$35,0)),"")</f>
        <v/>
      </c>
      <c r="T23">
        <f>IF(AND(Carteira!AC23=1,OR(Carteira!C23&gt;0,SUMIFS(Carteira!$C$5:$C$35,Carteira!$AC$5:$AC$35,1)=0)),N(Carteira!W23)+ROW()/1E9,"")</f>
        <v/>
      </c>
      <c r="U23">
        <f>IFERROR(INDEX($D$5:$D$35,MATCH(LARGE($T$5:$T$35,19),$T$5:$T$35,0)),"")</f>
        <v/>
      </c>
      <c r="V23" s="195">
        <f>IFERROR(INDEX(Carteira!$W$5:$W$35,MATCH(U23,Carteira!$A$5:$A$35,0)),"")</f>
        <v/>
      </c>
      <c r="X23">
        <f>IF(AND(Carteira!AC23=1,OR(Carteira!C23&gt;0,SUMIFS(Carteira!$C$5:$C$35,Carteira!$AC$5:$AC$35,1)=0)),N(Carteira!J23)+ROW()/1E9,"")</f>
        <v/>
      </c>
      <c r="Y23">
        <f>IFERROR(INDEX($D$5:$D$35,MATCH(LARGE($X$5:$X$35,19),$X$5:$X$35,0)),"")</f>
        <v/>
      </c>
      <c r="Z23" s="192">
        <f>IFERROR(INDEX(Carteira!$J$5:$J$35,MATCH(Y23,Carteira!$A$5:$A$35,0)),"")</f>
        <v/>
      </c>
    </row>
    <row r="24">
      <c r="D24">
        <f>Carteira!A24</f>
        <v/>
      </c>
      <c r="F24">
        <f>IF(AND(Carteira!AC24=1,OR(Carteira!C24&gt;0,SUMIFS(Carteira!$C$5:$C$35,Carteira!$AC$5:$AC$35,1)=0)),N(Carteira!G24)+ROW()/1E9,"")</f>
        <v/>
      </c>
      <c r="G24">
        <f>IFERROR(INDEX($D$5:$D$35,MATCH(LARGE($F$5:$F$35,20),$F$5:$F$35,0)),"")</f>
        <v/>
      </c>
      <c r="H24" s="192">
        <f>IFERROR(INDEX(Carteira!$G$5:$G$35,MATCH(G24,Carteira!$A$5:$A$35,0)),"")</f>
        <v/>
      </c>
      <c r="J24">
        <f>IF(AND(Carteira!AC24=1,OR(Carteira!C24&gt;0,SUMIFS(Carteira!$C$5:$C$35,Carteira!$AC$5:$AC$35,1)=0)),N(Carteira!I24)+ROW()/1E9,"")</f>
        <v/>
      </c>
      <c r="K24">
        <f>IFERROR(INDEX($D$5:$D$35,MATCH(LARGE($J$5:$J$35,20),$J$5:$J$35,0)),"")</f>
        <v/>
      </c>
      <c r="L24" s="193">
        <f>IFERROR(INDEX(Carteira!$I$5:$I$35,MATCH(K24,Carteira!$A$5:$A$35,0)),"")</f>
        <v/>
      </c>
      <c r="M24" s="194">
        <f>IFERROR(INDEX(Carteira!$H$5:$H$35,MATCH(K24,Carteira!$A$5:$A$35,0)),"")</f>
        <v/>
      </c>
      <c r="O24">
        <f>IF(AND(Carteira!AC24=1,OR(Carteira!C24&gt;0,SUMIFS(Carteira!$C$5:$C$35,Carteira!$AC$5:$AC$35,1)=0)),N(Carteira!I24)+ROW()/1E9,"")</f>
        <v/>
      </c>
      <c r="P24">
        <f>IFERROR(INDEX($D$5:$D$35,MATCH(SMALL($O$5:$O$35,20),$O$5:$O$35,0)),"")</f>
        <v/>
      </c>
      <c r="Q24" s="193">
        <f>IFERROR(INDEX(Carteira!$I$5:$I$35,MATCH(P24,Carteira!$A$5:$A$35,0)),"")</f>
        <v/>
      </c>
      <c r="R24" s="194">
        <f>IFERROR(INDEX(Carteira!$H$5:$H$35,MATCH(P24,Carteira!$A$5:$A$35,0)),"")</f>
        <v/>
      </c>
      <c r="T24">
        <f>IF(AND(Carteira!AC24=1,OR(Carteira!C24&gt;0,SUMIFS(Carteira!$C$5:$C$35,Carteira!$AC$5:$AC$35,1)=0)),N(Carteira!W24)+ROW()/1E9,"")</f>
        <v/>
      </c>
      <c r="U24">
        <f>IFERROR(INDEX($D$5:$D$35,MATCH(LARGE($T$5:$T$35,20),$T$5:$T$35,0)),"")</f>
        <v/>
      </c>
      <c r="V24" s="195">
        <f>IFERROR(INDEX(Carteira!$W$5:$W$35,MATCH(U24,Carteira!$A$5:$A$35,0)),"")</f>
        <v/>
      </c>
      <c r="X24">
        <f>IF(AND(Carteira!AC24=1,OR(Carteira!C24&gt;0,SUMIFS(Carteira!$C$5:$C$35,Carteira!$AC$5:$AC$35,1)=0)),N(Carteira!J24)+ROW()/1E9,"")</f>
        <v/>
      </c>
      <c r="Y24">
        <f>IFERROR(INDEX($D$5:$D$35,MATCH(LARGE($X$5:$X$35,20),$X$5:$X$35,0)),"")</f>
        <v/>
      </c>
      <c r="Z24" s="192">
        <f>IFERROR(INDEX(Carteira!$J$5:$J$35,MATCH(Y24,Carteira!$A$5:$A$35,0)),"")</f>
        <v/>
      </c>
    </row>
    <row r="25">
      <c r="D25">
        <f>Carteira!A25</f>
        <v/>
      </c>
      <c r="F25">
        <f>IF(AND(Carteira!AC25=1,OR(Carteira!C25&gt;0,SUMIFS(Carteira!$C$5:$C$35,Carteira!$AC$5:$AC$35,1)=0)),N(Carteira!G25)+ROW()/1E9,"")</f>
        <v/>
      </c>
      <c r="G25">
        <f>IFERROR(INDEX($D$5:$D$35,MATCH(LARGE($F$5:$F$35,21),$F$5:$F$35,0)),"")</f>
        <v/>
      </c>
      <c r="H25" s="192">
        <f>IFERROR(INDEX(Carteira!$G$5:$G$35,MATCH(G25,Carteira!$A$5:$A$35,0)),"")</f>
        <v/>
      </c>
      <c r="J25">
        <f>IF(AND(Carteira!AC25=1,OR(Carteira!C25&gt;0,SUMIFS(Carteira!$C$5:$C$35,Carteira!$AC$5:$AC$35,1)=0)),N(Carteira!I25)+ROW()/1E9,"")</f>
        <v/>
      </c>
      <c r="K25">
        <f>IFERROR(INDEX($D$5:$D$35,MATCH(LARGE($J$5:$J$35,21),$J$5:$J$35,0)),"")</f>
        <v/>
      </c>
      <c r="L25" s="193">
        <f>IFERROR(INDEX(Carteira!$I$5:$I$35,MATCH(K25,Carteira!$A$5:$A$35,0)),"")</f>
        <v/>
      </c>
      <c r="M25" s="194">
        <f>IFERROR(INDEX(Carteira!$H$5:$H$35,MATCH(K25,Carteira!$A$5:$A$35,0)),"")</f>
        <v/>
      </c>
      <c r="O25">
        <f>IF(AND(Carteira!AC25=1,OR(Carteira!C25&gt;0,SUMIFS(Carteira!$C$5:$C$35,Carteira!$AC$5:$AC$35,1)=0)),N(Carteira!I25)+ROW()/1E9,"")</f>
        <v/>
      </c>
      <c r="P25">
        <f>IFERROR(INDEX($D$5:$D$35,MATCH(SMALL($O$5:$O$35,21),$O$5:$O$35,0)),"")</f>
        <v/>
      </c>
      <c r="Q25" s="193">
        <f>IFERROR(INDEX(Carteira!$I$5:$I$35,MATCH(P25,Carteira!$A$5:$A$35,0)),"")</f>
        <v/>
      </c>
      <c r="R25" s="194">
        <f>IFERROR(INDEX(Carteira!$H$5:$H$35,MATCH(P25,Carteira!$A$5:$A$35,0)),"")</f>
        <v/>
      </c>
      <c r="T25">
        <f>IF(AND(Carteira!AC25=1,OR(Carteira!C25&gt;0,SUMIFS(Carteira!$C$5:$C$35,Carteira!$AC$5:$AC$35,1)=0)),N(Carteira!W25)+ROW()/1E9,"")</f>
        <v/>
      </c>
      <c r="U25">
        <f>IFERROR(INDEX($D$5:$D$35,MATCH(LARGE($T$5:$T$35,21),$T$5:$T$35,0)),"")</f>
        <v/>
      </c>
      <c r="V25" s="195">
        <f>IFERROR(INDEX(Carteira!$W$5:$W$35,MATCH(U25,Carteira!$A$5:$A$35,0)),"")</f>
        <v/>
      </c>
      <c r="X25">
        <f>IF(AND(Carteira!AC25=1,OR(Carteira!C25&gt;0,SUMIFS(Carteira!$C$5:$C$35,Carteira!$AC$5:$AC$35,1)=0)),N(Carteira!J25)+ROW()/1E9,"")</f>
        <v/>
      </c>
      <c r="Y25">
        <f>IFERROR(INDEX($D$5:$D$35,MATCH(LARGE($X$5:$X$35,21),$X$5:$X$35,0)),"")</f>
        <v/>
      </c>
      <c r="Z25" s="192">
        <f>IFERROR(INDEX(Carteira!$J$5:$J$35,MATCH(Y25,Carteira!$A$5:$A$35,0)),"")</f>
        <v/>
      </c>
    </row>
    <row r="26">
      <c r="D26">
        <f>Carteira!A26</f>
        <v/>
      </c>
      <c r="F26">
        <f>IF(AND(Carteira!AC26=1,OR(Carteira!C26&gt;0,SUMIFS(Carteira!$C$5:$C$35,Carteira!$AC$5:$AC$35,1)=0)),N(Carteira!G26)+ROW()/1E9,"")</f>
        <v/>
      </c>
      <c r="G26">
        <f>IFERROR(INDEX($D$5:$D$35,MATCH(LARGE($F$5:$F$35,22),$F$5:$F$35,0)),"")</f>
        <v/>
      </c>
      <c r="H26" s="192">
        <f>IFERROR(INDEX(Carteira!$G$5:$G$35,MATCH(G26,Carteira!$A$5:$A$35,0)),"")</f>
        <v/>
      </c>
      <c r="J26">
        <f>IF(AND(Carteira!AC26=1,OR(Carteira!C26&gt;0,SUMIFS(Carteira!$C$5:$C$35,Carteira!$AC$5:$AC$35,1)=0)),N(Carteira!I26)+ROW()/1E9,"")</f>
        <v/>
      </c>
      <c r="K26">
        <f>IFERROR(INDEX($D$5:$D$35,MATCH(LARGE($J$5:$J$35,22),$J$5:$J$35,0)),"")</f>
        <v/>
      </c>
      <c r="L26" s="193">
        <f>IFERROR(INDEX(Carteira!$I$5:$I$35,MATCH(K26,Carteira!$A$5:$A$35,0)),"")</f>
        <v/>
      </c>
      <c r="M26" s="194">
        <f>IFERROR(INDEX(Carteira!$H$5:$H$35,MATCH(K26,Carteira!$A$5:$A$35,0)),"")</f>
        <v/>
      </c>
      <c r="O26">
        <f>IF(AND(Carteira!AC26=1,OR(Carteira!C26&gt;0,SUMIFS(Carteira!$C$5:$C$35,Carteira!$AC$5:$AC$35,1)=0)),N(Carteira!I26)+ROW()/1E9,"")</f>
        <v/>
      </c>
      <c r="P26">
        <f>IFERROR(INDEX($D$5:$D$35,MATCH(SMALL($O$5:$O$35,22),$O$5:$O$35,0)),"")</f>
        <v/>
      </c>
      <c r="Q26" s="193">
        <f>IFERROR(INDEX(Carteira!$I$5:$I$35,MATCH(P26,Carteira!$A$5:$A$35,0)),"")</f>
        <v/>
      </c>
      <c r="R26" s="194">
        <f>IFERROR(INDEX(Carteira!$H$5:$H$35,MATCH(P26,Carteira!$A$5:$A$35,0)),"")</f>
        <v/>
      </c>
      <c r="T26">
        <f>IF(AND(Carteira!AC26=1,OR(Carteira!C26&gt;0,SUMIFS(Carteira!$C$5:$C$35,Carteira!$AC$5:$AC$35,1)=0)),N(Carteira!W26)+ROW()/1E9,"")</f>
        <v/>
      </c>
      <c r="U26">
        <f>IFERROR(INDEX($D$5:$D$35,MATCH(LARGE($T$5:$T$35,22),$T$5:$T$35,0)),"")</f>
        <v/>
      </c>
      <c r="V26" s="195">
        <f>IFERROR(INDEX(Carteira!$W$5:$W$35,MATCH(U26,Carteira!$A$5:$A$35,0)),"")</f>
        <v/>
      </c>
      <c r="X26">
        <f>IF(AND(Carteira!AC26=1,OR(Carteira!C26&gt;0,SUMIFS(Carteira!$C$5:$C$35,Carteira!$AC$5:$AC$35,1)=0)),N(Carteira!J26)+ROW()/1E9,"")</f>
        <v/>
      </c>
      <c r="Y26">
        <f>IFERROR(INDEX($D$5:$D$35,MATCH(LARGE($X$5:$X$35,22),$X$5:$X$35,0)),"")</f>
        <v/>
      </c>
      <c r="Z26" s="192">
        <f>IFERROR(INDEX(Carteira!$J$5:$J$35,MATCH(Y26,Carteira!$A$5:$A$35,0)),"")</f>
        <v/>
      </c>
    </row>
    <row r="27">
      <c r="D27">
        <f>Carteira!A27</f>
        <v/>
      </c>
      <c r="F27">
        <f>IF(AND(Carteira!AC27=1,OR(Carteira!C27&gt;0,SUMIFS(Carteira!$C$5:$C$35,Carteira!$AC$5:$AC$35,1)=0)),N(Carteira!G27)+ROW()/1E9,"")</f>
        <v/>
      </c>
      <c r="G27">
        <f>IFERROR(INDEX($D$5:$D$35,MATCH(LARGE($F$5:$F$35,23),$F$5:$F$35,0)),"")</f>
        <v/>
      </c>
      <c r="H27" s="192">
        <f>IFERROR(INDEX(Carteira!$G$5:$G$35,MATCH(G27,Carteira!$A$5:$A$35,0)),"")</f>
        <v/>
      </c>
      <c r="J27">
        <f>IF(AND(Carteira!AC27=1,OR(Carteira!C27&gt;0,SUMIFS(Carteira!$C$5:$C$35,Carteira!$AC$5:$AC$35,1)=0)),N(Carteira!I27)+ROW()/1E9,"")</f>
        <v/>
      </c>
      <c r="K27">
        <f>IFERROR(INDEX($D$5:$D$35,MATCH(LARGE($J$5:$J$35,23),$J$5:$J$35,0)),"")</f>
        <v/>
      </c>
      <c r="L27" s="193">
        <f>IFERROR(INDEX(Carteira!$I$5:$I$35,MATCH(K27,Carteira!$A$5:$A$35,0)),"")</f>
        <v/>
      </c>
      <c r="M27" s="194">
        <f>IFERROR(INDEX(Carteira!$H$5:$H$35,MATCH(K27,Carteira!$A$5:$A$35,0)),"")</f>
        <v/>
      </c>
      <c r="O27">
        <f>IF(AND(Carteira!AC27=1,OR(Carteira!C27&gt;0,SUMIFS(Carteira!$C$5:$C$35,Carteira!$AC$5:$AC$35,1)=0)),N(Carteira!I27)+ROW()/1E9,"")</f>
        <v/>
      </c>
      <c r="P27">
        <f>IFERROR(INDEX($D$5:$D$35,MATCH(SMALL($O$5:$O$35,23),$O$5:$O$35,0)),"")</f>
        <v/>
      </c>
      <c r="Q27" s="193">
        <f>IFERROR(INDEX(Carteira!$I$5:$I$35,MATCH(P27,Carteira!$A$5:$A$35,0)),"")</f>
        <v/>
      </c>
      <c r="R27" s="194">
        <f>IFERROR(INDEX(Carteira!$H$5:$H$35,MATCH(P27,Carteira!$A$5:$A$35,0)),"")</f>
        <v/>
      </c>
      <c r="T27">
        <f>IF(AND(Carteira!AC27=1,OR(Carteira!C27&gt;0,SUMIFS(Carteira!$C$5:$C$35,Carteira!$AC$5:$AC$35,1)=0)),N(Carteira!W27)+ROW()/1E9,"")</f>
        <v/>
      </c>
      <c r="U27">
        <f>IFERROR(INDEX($D$5:$D$35,MATCH(LARGE($T$5:$T$35,23),$T$5:$T$35,0)),"")</f>
        <v/>
      </c>
      <c r="V27" s="195">
        <f>IFERROR(INDEX(Carteira!$W$5:$W$35,MATCH(U27,Carteira!$A$5:$A$35,0)),"")</f>
        <v/>
      </c>
      <c r="X27">
        <f>IF(AND(Carteira!AC27=1,OR(Carteira!C27&gt;0,SUMIFS(Carteira!$C$5:$C$35,Carteira!$AC$5:$AC$35,1)=0)),N(Carteira!J27)+ROW()/1E9,"")</f>
        <v/>
      </c>
      <c r="Y27">
        <f>IFERROR(INDEX($D$5:$D$35,MATCH(LARGE($X$5:$X$35,23),$X$5:$X$35,0)),"")</f>
        <v/>
      </c>
      <c r="Z27" s="192">
        <f>IFERROR(INDEX(Carteira!$J$5:$J$35,MATCH(Y27,Carteira!$A$5:$A$35,0)),"")</f>
        <v/>
      </c>
    </row>
    <row r="28">
      <c r="D28">
        <f>Carteira!A28</f>
        <v/>
      </c>
      <c r="F28">
        <f>IF(AND(Carteira!AC28=1,OR(Carteira!C28&gt;0,SUMIFS(Carteira!$C$5:$C$35,Carteira!$AC$5:$AC$35,1)=0)),N(Carteira!G28)+ROW()/1E9,"")</f>
        <v/>
      </c>
      <c r="G28">
        <f>IFERROR(INDEX($D$5:$D$35,MATCH(LARGE($F$5:$F$35,24),$F$5:$F$35,0)),"")</f>
        <v/>
      </c>
      <c r="H28" s="192">
        <f>IFERROR(INDEX(Carteira!$G$5:$G$35,MATCH(G28,Carteira!$A$5:$A$35,0)),"")</f>
        <v/>
      </c>
      <c r="J28">
        <f>IF(AND(Carteira!AC28=1,OR(Carteira!C28&gt;0,SUMIFS(Carteira!$C$5:$C$35,Carteira!$AC$5:$AC$35,1)=0)),N(Carteira!I28)+ROW()/1E9,"")</f>
        <v/>
      </c>
      <c r="K28">
        <f>IFERROR(INDEX($D$5:$D$35,MATCH(LARGE($J$5:$J$35,24),$J$5:$J$35,0)),"")</f>
        <v/>
      </c>
      <c r="L28" s="193">
        <f>IFERROR(INDEX(Carteira!$I$5:$I$35,MATCH(K28,Carteira!$A$5:$A$35,0)),"")</f>
        <v/>
      </c>
      <c r="M28" s="194">
        <f>IFERROR(INDEX(Carteira!$H$5:$H$35,MATCH(K28,Carteira!$A$5:$A$35,0)),"")</f>
        <v/>
      </c>
      <c r="O28">
        <f>IF(AND(Carteira!AC28=1,OR(Carteira!C28&gt;0,SUMIFS(Carteira!$C$5:$C$35,Carteira!$AC$5:$AC$35,1)=0)),N(Carteira!I28)+ROW()/1E9,"")</f>
        <v/>
      </c>
      <c r="P28">
        <f>IFERROR(INDEX($D$5:$D$35,MATCH(SMALL($O$5:$O$35,24),$O$5:$O$35,0)),"")</f>
        <v/>
      </c>
      <c r="Q28" s="193">
        <f>IFERROR(INDEX(Carteira!$I$5:$I$35,MATCH(P28,Carteira!$A$5:$A$35,0)),"")</f>
        <v/>
      </c>
      <c r="R28" s="194">
        <f>IFERROR(INDEX(Carteira!$H$5:$H$35,MATCH(P28,Carteira!$A$5:$A$35,0)),"")</f>
        <v/>
      </c>
      <c r="T28">
        <f>IF(AND(Carteira!AC28=1,OR(Carteira!C28&gt;0,SUMIFS(Carteira!$C$5:$C$35,Carteira!$AC$5:$AC$35,1)=0)),N(Carteira!W28)+ROW()/1E9,"")</f>
        <v/>
      </c>
      <c r="U28">
        <f>IFERROR(INDEX($D$5:$D$35,MATCH(LARGE($T$5:$T$35,24),$T$5:$T$35,0)),"")</f>
        <v/>
      </c>
      <c r="V28" s="195">
        <f>IFERROR(INDEX(Carteira!$W$5:$W$35,MATCH(U28,Carteira!$A$5:$A$35,0)),"")</f>
        <v/>
      </c>
      <c r="X28">
        <f>IF(AND(Carteira!AC28=1,OR(Carteira!C28&gt;0,SUMIFS(Carteira!$C$5:$C$35,Carteira!$AC$5:$AC$35,1)=0)),N(Carteira!J28)+ROW()/1E9,"")</f>
        <v/>
      </c>
      <c r="Y28">
        <f>IFERROR(INDEX($D$5:$D$35,MATCH(LARGE($X$5:$X$35,24),$X$5:$X$35,0)),"")</f>
        <v/>
      </c>
      <c r="Z28" s="192">
        <f>IFERROR(INDEX(Carteira!$J$5:$J$35,MATCH(Y28,Carteira!$A$5:$A$35,0)),"")</f>
        <v/>
      </c>
    </row>
    <row r="29">
      <c r="D29">
        <f>Carteira!A29</f>
        <v/>
      </c>
      <c r="F29">
        <f>IF(AND(Carteira!AC29=1,OR(Carteira!C29&gt;0,SUMIFS(Carteira!$C$5:$C$35,Carteira!$AC$5:$AC$35,1)=0)),N(Carteira!G29)+ROW()/1E9,"")</f>
        <v/>
      </c>
      <c r="G29">
        <f>IFERROR(INDEX($D$5:$D$35,MATCH(LARGE($F$5:$F$35,25),$F$5:$F$35,0)),"")</f>
        <v/>
      </c>
      <c r="H29" s="192">
        <f>IFERROR(INDEX(Carteira!$G$5:$G$35,MATCH(G29,Carteira!$A$5:$A$35,0)),"")</f>
        <v/>
      </c>
      <c r="J29">
        <f>IF(AND(Carteira!AC29=1,OR(Carteira!C29&gt;0,SUMIFS(Carteira!$C$5:$C$35,Carteira!$AC$5:$AC$35,1)=0)),N(Carteira!I29)+ROW()/1E9,"")</f>
        <v/>
      </c>
      <c r="K29">
        <f>IFERROR(INDEX($D$5:$D$35,MATCH(LARGE($J$5:$J$35,25),$J$5:$J$35,0)),"")</f>
        <v/>
      </c>
      <c r="L29" s="193">
        <f>IFERROR(INDEX(Carteira!$I$5:$I$35,MATCH(K29,Carteira!$A$5:$A$35,0)),"")</f>
        <v/>
      </c>
      <c r="M29" s="194">
        <f>IFERROR(INDEX(Carteira!$H$5:$H$35,MATCH(K29,Carteira!$A$5:$A$35,0)),"")</f>
        <v/>
      </c>
      <c r="O29">
        <f>IF(AND(Carteira!AC29=1,OR(Carteira!C29&gt;0,SUMIFS(Carteira!$C$5:$C$35,Carteira!$AC$5:$AC$35,1)=0)),N(Carteira!I29)+ROW()/1E9,"")</f>
        <v/>
      </c>
      <c r="P29">
        <f>IFERROR(INDEX($D$5:$D$35,MATCH(SMALL($O$5:$O$35,25),$O$5:$O$35,0)),"")</f>
        <v/>
      </c>
      <c r="Q29" s="193">
        <f>IFERROR(INDEX(Carteira!$I$5:$I$35,MATCH(P29,Carteira!$A$5:$A$35,0)),"")</f>
        <v/>
      </c>
      <c r="R29" s="194">
        <f>IFERROR(INDEX(Carteira!$H$5:$H$35,MATCH(P29,Carteira!$A$5:$A$35,0)),"")</f>
        <v/>
      </c>
      <c r="T29">
        <f>IF(AND(Carteira!AC29=1,OR(Carteira!C29&gt;0,SUMIFS(Carteira!$C$5:$C$35,Carteira!$AC$5:$AC$35,1)=0)),N(Carteira!W29)+ROW()/1E9,"")</f>
        <v/>
      </c>
      <c r="U29">
        <f>IFERROR(INDEX($D$5:$D$35,MATCH(LARGE($T$5:$T$35,25),$T$5:$T$35,0)),"")</f>
        <v/>
      </c>
      <c r="V29" s="195">
        <f>IFERROR(INDEX(Carteira!$W$5:$W$35,MATCH(U29,Carteira!$A$5:$A$35,0)),"")</f>
        <v/>
      </c>
      <c r="X29">
        <f>IF(AND(Carteira!AC29=1,OR(Carteira!C29&gt;0,SUMIFS(Carteira!$C$5:$C$35,Carteira!$AC$5:$AC$35,1)=0)),N(Carteira!J29)+ROW()/1E9,"")</f>
        <v/>
      </c>
      <c r="Y29">
        <f>IFERROR(INDEX($D$5:$D$35,MATCH(LARGE($X$5:$X$35,25),$X$5:$X$35,0)),"")</f>
        <v/>
      </c>
      <c r="Z29" s="192">
        <f>IFERROR(INDEX(Carteira!$J$5:$J$35,MATCH(Y29,Carteira!$A$5:$A$35,0)),"")</f>
        <v/>
      </c>
    </row>
    <row r="30">
      <c r="D30">
        <f>Carteira!A30</f>
        <v/>
      </c>
      <c r="F30">
        <f>IF(AND(Carteira!AC30=1,OR(Carteira!C30&gt;0,SUMIFS(Carteira!$C$5:$C$35,Carteira!$AC$5:$AC$35,1)=0)),N(Carteira!G30)+ROW()/1E9,"")</f>
        <v/>
      </c>
      <c r="G30">
        <f>IFERROR(INDEX($D$5:$D$35,MATCH(LARGE($F$5:$F$35,26),$F$5:$F$35,0)),"")</f>
        <v/>
      </c>
      <c r="H30" s="192">
        <f>IFERROR(INDEX(Carteira!$G$5:$G$35,MATCH(G30,Carteira!$A$5:$A$35,0)),"")</f>
        <v/>
      </c>
      <c r="J30">
        <f>IF(AND(Carteira!AC30=1,OR(Carteira!C30&gt;0,SUMIFS(Carteira!$C$5:$C$35,Carteira!$AC$5:$AC$35,1)=0)),N(Carteira!I30)+ROW()/1E9,"")</f>
        <v/>
      </c>
      <c r="K30">
        <f>IFERROR(INDEX($D$5:$D$35,MATCH(LARGE($J$5:$J$35,26),$J$5:$J$35,0)),"")</f>
        <v/>
      </c>
      <c r="L30" s="193">
        <f>IFERROR(INDEX(Carteira!$I$5:$I$35,MATCH(K30,Carteira!$A$5:$A$35,0)),"")</f>
        <v/>
      </c>
      <c r="M30" s="194">
        <f>IFERROR(INDEX(Carteira!$H$5:$H$35,MATCH(K30,Carteira!$A$5:$A$35,0)),"")</f>
        <v/>
      </c>
      <c r="O30">
        <f>IF(AND(Carteira!AC30=1,OR(Carteira!C30&gt;0,SUMIFS(Carteira!$C$5:$C$35,Carteira!$AC$5:$AC$35,1)=0)),N(Carteira!I30)+ROW()/1E9,"")</f>
        <v/>
      </c>
      <c r="P30">
        <f>IFERROR(INDEX($D$5:$D$35,MATCH(SMALL($O$5:$O$35,26),$O$5:$O$35,0)),"")</f>
        <v/>
      </c>
      <c r="Q30" s="193">
        <f>IFERROR(INDEX(Carteira!$I$5:$I$35,MATCH(P30,Carteira!$A$5:$A$35,0)),"")</f>
        <v/>
      </c>
      <c r="R30" s="194">
        <f>IFERROR(INDEX(Carteira!$H$5:$H$35,MATCH(P30,Carteira!$A$5:$A$35,0)),"")</f>
        <v/>
      </c>
      <c r="T30">
        <f>IF(AND(Carteira!AC30=1,OR(Carteira!C30&gt;0,SUMIFS(Carteira!$C$5:$C$35,Carteira!$AC$5:$AC$35,1)=0)),N(Carteira!W30)+ROW()/1E9,"")</f>
        <v/>
      </c>
      <c r="U30">
        <f>IFERROR(INDEX($D$5:$D$35,MATCH(LARGE($T$5:$T$35,26),$T$5:$T$35,0)),"")</f>
        <v/>
      </c>
      <c r="V30" s="195">
        <f>IFERROR(INDEX(Carteira!$W$5:$W$35,MATCH(U30,Carteira!$A$5:$A$35,0)),"")</f>
        <v/>
      </c>
      <c r="X30">
        <f>IF(AND(Carteira!AC30=1,OR(Carteira!C30&gt;0,SUMIFS(Carteira!$C$5:$C$35,Carteira!$AC$5:$AC$35,1)=0)),N(Carteira!J30)+ROW()/1E9,"")</f>
        <v/>
      </c>
      <c r="Y30">
        <f>IFERROR(INDEX($D$5:$D$35,MATCH(LARGE($X$5:$X$35,26),$X$5:$X$35,0)),"")</f>
        <v/>
      </c>
      <c r="Z30" s="192">
        <f>IFERROR(INDEX(Carteira!$J$5:$J$35,MATCH(Y30,Carteira!$A$5:$A$35,0)),"")</f>
        <v/>
      </c>
    </row>
    <row r="31">
      <c r="D31">
        <f>Carteira!A31</f>
        <v/>
      </c>
      <c r="F31">
        <f>IF(AND(Carteira!AC31=1,OR(Carteira!C31&gt;0,SUMIFS(Carteira!$C$5:$C$35,Carteira!$AC$5:$AC$35,1)=0)),N(Carteira!G31)+ROW()/1E9,"")</f>
        <v/>
      </c>
      <c r="G31">
        <f>IFERROR(INDEX($D$5:$D$35,MATCH(LARGE($F$5:$F$35,27),$F$5:$F$35,0)),"")</f>
        <v/>
      </c>
      <c r="H31" s="192">
        <f>IFERROR(INDEX(Carteira!$G$5:$G$35,MATCH(G31,Carteira!$A$5:$A$35,0)),"")</f>
        <v/>
      </c>
      <c r="J31">
        <f>IF(AND(Carteira!AC31=1,OR(Carteira!C31&gt;0,SUMIFS(Carteira!$C$5:$C$35,Carteira!$AC$5:$AC$35,1)=0)),N(Carteira!I31)+ROW()/1E9,"")</f>
        <v/>
      </c>
      <c r="K31">
        <f>IFERROR(INDEX($D$5:$D$35,MATCH(LARGE($J$5:$J$35,27),$J$5:$J$35,0)),"")</f>
        <v/>
      </c>
      <c r="L31" s="193">
        <f>IFERROR(INDEX(Carteira!$I$5:$I$35,MATCH(K31,Carteira!$A$5:$A$35,0)),"")</f>
        <v/>
      </c>
      <c r="M31" s="194">
        <f>IFERROR(INDEX(Carteira!$H$5:$H$35,MATCH(K31,Carteira!$A$5:$A$35,0)),"")</f>
        <v/>
      </c>
      <c r="O31">
        <f>IF(AND(Carteira!AC31=1,OR(Carteira!C31&gt;0,SUMIFS(Carteira!$C$5:$C$35,Carteira!$AC$5:$AC$35,1)=0)),N(Carteira!I31)+ROW()/1E9,"")</f>
        <v/>
      </c>
      <c r="P31">
        <f>IFERROR(INDEX($D$5:$D$35,MATCH(SMALL($O$5:$O$35,27),$O$5:$O$35,0)),"")</f>
        <v/>
      </c>
      <c r="Q31" s="193">
        <f>IFERROR(INDEX(Carteira!$I$5:$I$35,MATCH(P31,Carteira!$A$5:$A$35,0)),"")</f>
        <v/>
      </c>
      <c r="R31" s="194">
        <f>IFERROR(INDEX(Carteira!$H$5:$H$35,MATCH(P31,Carteira!$A$5:$A$35,0)),"")</f>
        <v/>
      </c>
      <c r="T31">
        <f>IF(AND(Carteira!AC31=1,OR(Carteira!C31&gt;0,SUMIFS(Carteira!$C$5:$C$35,Carteira!$AC$5:$AC$35,1)=0)),N(Carteira!W31)+ROW()/1E9,"")</f>
        <v/>
      </c>
      <c r="U31">
        <f>IFERROR(INDEX($D$5:$D$35,MATCH(LARGE($T$5:$T$35,27),$T$5:$T$35,0)),"")</f>
        <v/>
      </c>
      <c r="V31" s="195">
        <f>IFERROR(INDEX(Carteira!$W$5:$W$35,MATCH(U31,Carteira!$A$5:$A$35,0)),"")</f>
        <v/>
      </c>
      <c r="X31">
        <f>IF(AND(Carteira!AC31=1,OR(Carteira!C31&gt;0,SUMIFS(Carteira!$C$5:$C$35,Carteira!$AC$5:$AC$35,1)=0)),N(Carteira!J31)+ROW()/1E9,"")</f>
        <v/>
      </c>
      <c r="Y31">
        <f>IFERROR(INDEX($D$5:$D$35,MATCH(LARGE($X$5:$X$35,27),$X$5:$X$35,0)),"")</f>
        <v/>
      </c>
      <c r="Z31" s="192">
        <f>IFERROR(INDEX(Carteira!$J$5:$J$35,MATCH(Y31,Carteira!$A$5:$A$35,0)),"")</f>
        <v/>
      </c>
    </row>
    <row r="32">
      <c r="D32">
        <f>Carteira!A32</f>
        <v/>
      </c>
      <c r="F32">
        <f>IF(AND(Carteira!AC32=1,OR(Carteira!C32&gt;0,SUMIFS(Carteira!$C$5:$C$35,Carteira!$AC$5:$AC$35,1)=0)),N(Carteira!G32)+ROW()/1E9,"")</f>
        <v/>
      </c>
      <c r="G32">
        <f>IFERROR(INDEX($D$5:$D$35,MATCH(LARGE($F$5:$F$35,28),$F$5:$F$35,0)),"")</f>
        <v/>
      </c>
      <c r="H32" s="192">
        <f>IFERROR(INDEX(Carteira!$G$5:$G$35,MATCH(G32,Carteira!$A$5:$A$35,0)),"")</f>
        <v/>
      </c>
      <c r="J32">
        <f>IF(AND(Carteira!AC32=1,OR(Carteira!C32&gt;0,SUMIFS(Carteira!$C$5:$C$35,Carteira!$AC$5:$AC$35,1)=0)),N(Carteira!I32)+ROW()/1E9,"")</f>
        <v/>
      </c>
      <c r="K32">
        <f>IFERROR(INDEX($D$5:$D$35,MATCH(LARGE($J$5:$J$35,28),$J$5:$J$35,0)),"")</f>
        <v/>
      </c>
      <c r="L32" s="193">
        <f>IFERROR(INDEX(Carteira!$I$5:$I$35,MATCH(K32,Carteira!$A$5:$A$35,0)),"")</f>
        <v/>
      </c>
      <c r="M32" s="194">
        <f>IFERROR(INDEX(Carteira!$H$5:$H$35,MATCH(K32,Carteira!$A$5:$A$35,0)),"")</f>
        <v/>
      </c>
      <c r="O32">
        <f>IF(AND(Carteira!AC32=1,OR(Carteira!C32&gt;0,SUMIFS(Carteira!$C$5:$C$35,Carteira!$AC$5:$AC$35,1)=0)),N(Carteira!I32)+ROW()/1E9,"")</f>
        <v/>
      </c>
      <c r="P32">
        <f>IFERROR(INDEX($D$5:$D$35,MATCH(SMALL($O$5:$O$35,28),$O$5:$O$35,0)),"")</f>
        <v/>
      </c>
      <c r="Q32" s="193">
        <f>IFERROR(INDEX(Carteira!$I$5:$I$35,MATCH(P32,Carteira!$A$5:$A$35,0)),"")</f>
        <v/>
      </c>
      <c r="R32" s="194">
        <f>IFERROR(INDEX(Carteira!$H$5:$H$35,MATCH(P32,Carteira!$A$5:$A$35,0)),"")</f>
        <v/>
      </c>
      <c r="T32">
        <f>IF(AND(Carteira!AC32=1,OR(Carteira!C32&gt;0,SUMIFS(Carteira!$C$5:$C$35,Carteira!$AC$5:$AC$35,1)=0)),N(Carteira!W32)+ROW()/1E9,"")</f>
        <v/>
      </c>
      <c r="U32">
        <f>IFERROR(INDEX($D$5:$D$35,MATCH(LARGE($T$5:$T$35,28),$T$5:$T$35,0)),"")</f>
        <v/>
      </c>
      <c r="V32" s="195">
        <f>IFERROR(INDEX(Carteira!$W$5:$W$35,MATCH(U32,Carteira!$A$5:$A$35,0)),"")</f>
        <v/>
      </c>
      <c r="X32">
        <f>IF(AND(Carteira!AC32=1,OR(Carteira!C32&gt;0,SUMIFS(Carteira!$C$5:$C$35,Carteira!$AC$5:$AC$35,1)=0)),N(Carteira!J32)+ROW()/1E9,"")</f>
        <v/>
      </c>
      <c r="Y32">
        <f>IFERROR(INDEX($D$5:$D$35,MATCH(LARGE($X$5:$X$35,28),$X$5:$X$35,0)),"")</f>
        <v/>
      </c>
      <c r="Z32" s="192">
        <f>IFERROR(INDEX(Carteira!$J$5:$J$35,MATCH(Y32,Carteira!$A$5:$A$35,0)),"")</f>
        <v/>
      </c>
    </row>
    <row r="33">
      <c r="D33">
        <f>Carteira!A33</f>
        <v/>
      </c>
      <c r="F33">
        <f>IF(AND(Carteira!AC33=1,OR(Carteira!C33&gt;0,SUMIFS(Carteira!$C$5:$C$35,Carteira!$AC$5:$AC$35,1)=0)),N(Carteira!G33)+ROW()/1E9,"")</f>
        <v/>
      </c>
      <c r="G33">
        <f>IFERROR(INDEX($D$5:$D$35,MATCH(LARGE($F$5:$F$35,29),$F$5:$F$35,0)),"")</f>
        <v/>
      </c>
      <c r="H33" s="192">
        <f>IFERROR(INDEX(Carteira!$G$5:$G$35,MATCH(G33,Carteira!$A$5:$A$35,0)),"")</f>
        <v/>
      </c>
      <c r="J33">
        <f>IF(AND(Carteira!AC33=1,OR(Carteira!C33&gt;0,SUMIFS(Carteira!$C$5:$C$35,Carteira!$AC$5:$AC$35,1)=0)),N(Carteira!I33)+ROW()/1E9,"")</f>
        <v/>
      </c>
      <c r="K33">
        <f>IFERROR(INDEX($D$5:$D$35,MATCH(LARGE($J$5:$J$35,29),$J$5:$J$35,0)),"")</f>
        <v/>
      </c>
      <c r="L33" s="193">
        <f>IFERROR(INDEX(Carteira!$I$5:$I$35,MATCH(K33,Carteira!$A$5:$A$35,0)),"")</f>
        <v/>
      </c>
      <c r="M33" s="194">
        <f>IFERROR(INDEX(Carteira!$H$5:$H$35,MATCH(K33,Carteira!$A$5:$A$35,0)),"")</f>
        <v/>
      </c>
      <c r="O33">
        <f>IF(AND(Carteira!AC33=1,OR(Carteira!C33&gt;0,SUMIFS(Carteira!$C$5:$C$35,Carteira!$AC$5:$AC$35,1)=0)),N(Carteira!I33)+ROW()/1E9,"")</f>
        <v/>
      </c>
      <c r="P33">
        <f>IFERROR(INDEX($D$5:$D$35,MATCH(SMALL($O$5:$O$35,29),$O$5:$O$35,0)),"")</f>
        <v/>
      </c>
      <c r="Q33" s="193">
        <f>IFERROR(INDEX(Carteira!$I$5:$I$35,MATCH(P33,Carteira!$A$5:$A$35,0)),"")</f>
        <v/>
      </c>
      <c r="R33" s="194">
        <f>IFERROR(INDEX(Carteira!$H$5:$H$35,MATCH(P33,Carteira!$A$5:$A$35,0)),"")</f>
        <v/>
      </c>
      <c r="T33">
        <f>IF(AND(Carteira!AC33=1,OR(Carteira!C33&gt;0,SUMIFS(Carteira!$C$5:$C$35,Carteira!$AC$5:$AC$35,1)=0)),N(Carteira!W33)+ROW()/1E9,"")</f>
        <v/>
      </c>
      <c r="U33">
        <f>IFERROR(INDEX($D$5:$D$35,MATCH(LARGE($T$5:$T$35,29),$T$5:$T$35,0)),"")</f>
        <v/>
      </c>
      <c r="V33" s="195">
        <f>IFERROR(INDEX(Carteira!$W$5:$W$35,MATCH(U33,Carteira!$A$5:$A$35,0)),"")</f>
        <v/>
      </c>
      <c r="X33">
        <f>IF(AND(Carteira!AC33=1,OR(Carteira!C33&gt;0,SUMIFS(Carteira!$C$5:$C$35,Carteira!$AC$5:$AC$35,1)=0)),N(Carteira!J33)+ROW()/1E9,"")</f>
        <v/>
      </c>
      <c r="Y33">
        <f>IFERROR(INDEX($D$5:$D$35,MATCH(LARGE($X$5:$X$35,29),$X$5:$X$35,0)),"")</f>
        <v/>
      </c>
      <c r="Z33" s="192">
        <f>IFERROR(INDEX(Carteira!$J$5:$J$35,MATCH(Y33,Carteira!$A$5:$A$35,0)),"")</f>
        <v/>
      </c>
    </row>
    <row r="34">
      <c r="D34">
        <f>Carteira!A34</f>
        <v/>
      </c>
      <c r="F34">
        <f>IF(AND(Carteira!AC34=1,OR(Carteira!C34&gt;0,SUMIFS(Carteira!$C$5:$C$35,Carteira!$AC$5:$AC$35,1)=0)),N(Carteira!G34)+ROW()/1E9,"")</f>
        <v/>
      </c>
      <c r="G34">
        <f>IFERROR(INDEX($D$5:$D$35,MATCH(LARGE($F$5:$F$35,30),$F$5:$F$35,0)),"")</f>
        <v/>
      </c>
      <c r="H34" s="192">
        <f>IFERROR(INDEX(Carteira!$G$5:$G$35,MATCH(G34,Carteira!$A$5:$A$35,0)),"")</f>
        <v/>
      </c>
      <c r="J34">
        <f>IF(AND(Carteira!AC34=1,OR(Carteira!C34&gt;0,SUMIFS(Carteira!$C$5:$C$35,Carteira!$AC$5:$AC$35,1)=0)),N(Carteira!I34)+ROW()/1E9,"")</f>
        <v/>
      </c>
      <c r="K34">
        <f>IFERROR(INDEX($D$5:$D$35,MATCH(LARGE($J$5:$J$35,30),$J$5:$J$35,0)),"")</f>
        <v/>
      </c>
      <c r="L34" s="193">
        <f>IFERROR(INDEX(Carteira!$I$5:$I$35,MATCH(K34,Carteira!$A$5:$A$35,0)),"")</f>
        <v/>
      </c>
      <c r="M34" s="194">
        <f>IFERROR(INDEX(Carteira!$H$5:$H$35,MATCH(K34,Carteira!$A$5:$A$35,0)),"")</f>
        <v/>
      </c>
      <c r="O34">
        <f>IF(AND(Carteira!AC34=1,OR(Carteira!C34&gt;0,SUMIFS(Carteira!$C$5:$C$35,Carteira!$AC$5:$AC$35,1)=0)),N(Carteira!I34)+ROW()/1E9,"")</f>
        <v/>
      </c>
      <c r="P34">
        <f>IFERROR(INDEX($D$5:$D$35,MATCH(SMALL($O$5:$O$35,30),$O$5:$O$35,0)),"")</f>
        <v/>
      </c>
      <c r="Q34" s="193">
        <f>IFERROR(INDEX(Carteira!$I$5:$I$35,MATCH(P34,Carteira!$A$5:$A$35,0)),"")</f>
        <v/>
      </c>
      <c r="R34" s="194">
        <f>IFERROR(INDEX(Carteira!$H$5:$H$35,MATCH(P34,Carteira!$A$5:$A$35,0)),"")</f>
        <v/>
      </c>
      <c r="T34">
        <f>IF(AND(Carteira!AC34=1,OR(Carteira!C34&gt;0,SUMIFS(Carteira!$C$5:$C$35,Carteira!$AC$5:$AC$35,1)=0)),N(Carteira!W34)+ROW()/1E9,"")</f>
        <v/>
      </c>
      <c r="U34">
        <f>IFERROR(INDEX($D$5:$D$35,MATCH(LARGE($T$5:$T$35,30),$T$5:$T$35,0)),"")</f>
        <v/>
      </c>
      <c r="V34" s="195">
        <f>IFERROR(INDEX(Carteira!$W$5:$W$35,MATCH(U34,Carteira!$A$5:$A$35,0)),"")</f>
        <v/>
      </c>
      <c r="X34">
        <f>IF(AND(Carteira!AC34=1,OR(Carteira!C34&gt;0,SUMIFS(Carteira!$C$5:$C$35,Carteira!$AC$5:$AC$35,1)=0)),N(Carteira!J34)+ROW()/1E9,"")</f>
        <v/>
      </c>
      <c r="Y34">
        <f>IFERROR(INDEX($D$5:$D$35,MATCH(LARGE($X$5:$X$35,30),$X$5:$X$35,0)),"")</f>
        <v/>
      </c>
      <c r="Z34" s="192">
        <f>IFERROR(INDEX(Carteira!$J$5:$J$35,MATCH(Y34,Carteira!$A$5:$A$35,0)),"")</f>
        <v/>
      </c>
    </row>
    <row r="35">
      <c r="D35">
        <f>Carteira!A35</f>
        <v/>
      </c>
      <c r="F35">
        <f>IF(AND(Carteira!AC35=1,OR(Carteira!C35&gt;0,SUMIFS(Carteira!$C$5:$C$35,Carteira!$AC$5:$AC$35,1)=0)),N(Carteira!G35)+ROW()/1E9,"")</f>
        <v/>
      </c>
      <c r="G35">
        <f>IFERROR(INDEX($D$5:$D$35,MATCH(LARGE($F$5:$F$35,31),$F$5:$F$35,0)),"")</f>
        <v/>
      </c>
      <c r="H35" s="192">
        <f>IFERROR(INDEX(Carteira!$G$5:$G$35,MATCH(G35,Carteira!$A$5:$A$35,0)),"")</f>
        <v/>
      </c>
      <c r="J35">
        <f>IF(AND(Carteira!AC35=1,OR(Carteira!C35&gt;0,SUMIFS(Carteira!$C$5:$C$35,Carteira!$AC$5:$AC$35,1)=0)),N(Carteira!I35)+ROW()/1E9,"")</f>
        <v/>
      </c>
      <c r="K35">
        <f>IFERROR(INDEX($D$5:$D$35,MATCH(LARGE($J$5:$J$35,31),$J$5:$J$35,0)),"")</f>
        <v/>
      </c>
      <c r="L35" s="193">
        <f>IFERROR(INDEX(Carteira!$I$5:$I$35,MATCH(K35,Carteira!$A$5:$A$35,0)),"")</f>
        <v/>
      </c>
      <c r="M35" s="194">
        <f>IFERROR(INDEX(Carteira!$H$5:$H$35,MATCH(K35,Carteira!$A$5:$A$35,0)),"")</f>
        <v/>
      </c>
      <c r="O35">
        <f>IF(AND(Carteira!AC35=1,OR(Carteira!C35&gt;0,SUMIFS(Carteira!$C$5:$C$35,Carteira!$AC$5:$AC$35,1)=0)),N(Carteira!I35)+ROW()/1E9,"")</f>
        <v/>
      </c>
      <c r="P35">
        <f>IFERROR(INDEX($D$5:$D$35,MATCH(SMALL($O$5:$O$35,31),$O$5:$O$35,0)),"")</f>
        <v/>
      </c>
      <c r="Q35" s="193">
        <f>IFERROR(INDEX(Carteira!$I$5:$I$35,MATCH(P35,Carteira!$A$5:$A$35,0)),"")</f>
        <v/>
      </c>
      <c r="R35" s="194">
        <f>IFERROR(INDEX(Carteira!$H$5:$H$35,MATCH(P35,Carteira!$A$5:$A$35,0)),"")</f>
        <v/>
      </c>
      <c r="T35">
        <f>IF(AND(Carteira!AC35=1,OR(Carteira!C35&gt;0,SUMIFS(Carteira!$C$5:$C$35,Carteira!$AC$5:$AC$35,1)=0)),N(Carteira!W35)+ROW()/1E9,"")</f>
        <v/>
      </c>
      <c r="U35">
        <f>IFERROR(INDEX($D$5:$D$35,MATCH(LARGE($T$5:$T$35,31),$T$5:$T$35,0)),"")</f>
        <v/>
      </c>
      <c r="V35" s="195">
        <f>IFERROR(INDEX(Carteira!$W$5:$W$35,MATCH(U35,Carteira!$A$5:$A$35,0)),"")</f>
        <v/>
      </c>
      <c r="X35">
        <f>IF(AND(Carteira!AC35=1,OR(Carteira!C35&gt;0,SUMIFS(Carteira!$C$5:$C$35,Carteira!$AC$5:$AC$35,1)=0)),N(Carteira!J35)+ROW()/1E9,"")</f>
        <v/>
      </c>
      <c r="Y35">
        <f>IFERROR(INDEX($D$5:$D$35,MATCH(LARGE($X$5:$X$35,31),$X$5:$X$35,0)),"")</f>
        <v/>
      </c>
      <c r="Z35" s="192">
        <f>IFERROR(INDEX(Carteira!$J$5:$J$35,MATCH(Y35,Carteira!$A$5:$A$35,0)),"")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Gestão de Investimentos</dc:creator>
  <dcterms:created xmlns:dcterms="http://purl.org/dc/terms/" xmlns:xsi="http://www.w3.org/2001/XMLSchema-instance" xsi:type="dcterms:W3CDTF">2026-09-30T03:13:44Z</dcterms:created>
  <dcterms:modified xmlns:dcterms="http://purl.org/dc/terms/" xmlns:xsi="http://www.w3.org/2001/XMLSchema-instance" xsi:type="dcterms:W3CDTF">2026-09-30T03:13:45Z</dcterms:modified>
</cp:coreProperties>
</file>