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Carteira" sheetId="2" state="visible" r:id="rId2"/>
    <sheet xmlns:r="http://schemas.openxmlformats.org/officeDocument/2006/relationships" name="Análises" sheetId="3" state="visible" r:id="rId3"/>
    <sheet xmlns:r="http://schemas.openxmlformats.org/officeDocument/2006/relationships" name="Cadastro" sheetId="4" state="visible" r:id="rId4"/>
    <sheet xmlns:r="http://schemas.openxmlformats.org/officeDocument/2006/relationships" name="Ativos" sheetId="5" state="hidden" r:id="rId5"/>
    <sheet xmlns:r="http://schemas.openxmlformats.org/officeDocument/2006/relationships" name="Lançamentos" sheetId="6" state="visible" r:id="rId6"/>
    <sheet xmlns:r="http://schemas.openxmlformats.org/officeDocument/2006/relationships" name="Proventos" sheetId="7" state="visible" r:id="rId7"/>
    <sheet xmlns:r="http://schemas.openxmlformats.org/officeDocument/2006/relationships" name="Premissas" sheetId="8" state="visible" r:id="rId8"/>
    <sheet xmlns:r="http://schemas.openxmlformats.org/officeDocument/2006/relationships" name="Verificar" sheetId="9" state="visible" r:id="rId9"/>
    <sheet xmlns:r="http://schemas.openxmlformats.org/officeDocument/2006/relationships" name="Base Painel" sheetId="10" state="hidden" r:id="rId10"/>
  </sheets>
  <definedNames>
    <definedName name="META_MENSAL">Premissas!$B$5</definedName>
    <definedName name="APORTE_MENSAL">Premissas!$B$6</definedName>
    <definedName name="PESO_RV">Premissas!$B$7</definedName>
    <definedName name="OUTRAS_CLASSES">Premissas!$B$11:$B$13</definedName>
    <definedName name="lc_data">Cadastro!$C$8</definedName>
    <definedName name="lc_ticker">Cadastro!$C$9</definedName>
    <definedName name="lc_op">Cadastro!$C$10</definedName>
    <definedName name="lc_qtd">Cadastro!$C$11</definedName>
    <definedName name="lc_preco">Cadastro!$C$12</definedName>
    <definedName name="lc_custos">Cadastro!$C$13</definedName>
    <definedName name="lc_ativo">Cadastro!$C$15</definedName>
    <definedName name="lc_cot">Cadastro!$C$16</definedName>
    <definedName name="lc_tem">Cadastro!$C$17</definedName>
    <definedName name="lc_tipo">Cadastro!$C$19</definedName>
    <definedName name="lc_seg">Cadastro!$C$20</definedName>
    <definedName name="lc_total">Cadastro!$C$22</definedName>
    <definedName name="lc_apos">Cadastro!$C$23</definedName>
    <definedName name="lc_status">Cadastro!$B$24</definedName>
    <definedName name="pv_data">Cadastro!$F$8</definedName>
    <definedName name="pv_ticker">Cadastro!$F$9</definedName>
    <definedName name="pv_tipo">Cadastro!$F$10</definedName>
    <definedName name="pv_valor">Cadastro!$F$11</definedName>
    <definedName name="pv_qtd">Cadastro!$F$12</definedName>
    <definedName name="pv_tem">Cadastro!$F$14</definedName>
    <definedName name="pv_total">Cadastro!$F$15</definedName>
    <definedName name="pv_status">Cadastro!$E$16</definedName>
    <definedName name="lc_registrar">Cadastro!$C$26</definedName>
    <definedName name="pv_registrar">Cadastro!$F$18</definedName>
    <definedName name="_xlnm.Print_Area" localSheetId="0">'Painel'!$A$1:$AF$90</definedName>
    <definedName name="_xlnm.Print_Area" localSheetId="3">'Cadastro'!$A$1:$L$28</definedName>
  </definedNames>
  <calcPr calcId="124519" fullCalcOnLoad="1"/>
</workbook>
</file>

<file path=xl/styles.xml><?xml version="1.0" encoding="utf-8"?>
<styleSheet xmlns="http://schemas.openxmlformats.org/spreadsheetml/2006/main">
  <numFmts count="23">
    <numFmt numFmtId="164" formatCode="&quot;R$&quot; #,##0.00;[Red]-&quot;R$&quot; #,##0.00;&quot;-&quot;"/>
    <numFmt numFmtId="165" formatCode="0.0%;[Red]-0.0%;&quot;-&quot;"/>
    <numFmt numFmtId="166" formatCode="&quot;R$&quot; #,##0;[Red]-&quot;R$&quot; #,##0;&quot;-&quot;"/>
    <numFmt numFmtId="167" formatCode="#,##0;[Red]-#,##0;&quot;-&quot;"/>
    <numFmt numFmtId="168" formatCode="&quot;R$&quot; #,##0.0000"/>
    <numFmt numFmtId="169" formatCode="0&quot; meses&quot;;;&quot;atingida&quot;"/>
    <numFmt numFmtId="170" formatCode="dd/mm/yyyy"/>
    <numFmt numFmtId="171" formatCode="mmm/yy"/>
    <numFmt numFmtId="172" formatCode="&quot;R$ &quot;#,##0,&quot;k&quot;;-&quot;R$ &quot;#,##0,&quot;k&quot;;&quot;R$ 0&quot;"/>
    <numFmt numFmtId="173" formatCode="0.0%"/>
    <numFmt numFmtId="174" formatCode="&quot;●  Atualizado em &quot;dd/mm/yyyy"/>
    <numFmt numFmtId="175" formatCode="0&quot; ativos em renda variável&quot;"/>
    <numFmt numFmtId="176" formatCode="0%&quot; do patrimônio&quot;"/>
    <numFmt numFmtId="177" formatCode="&quot;▲ &quot;0.0%&quot; valorização&quot;;&quot;▼ &quot;0.0%&quot; valorização&quot;;&quot;sem variação&quot;"/>
    <numFmt numFmtId="178" formatCode="&quot;R$ &quot;#,##0&quot; c/ prov.&quot;;&quot;-R$ &quot;#,##0&quot; c/ prov.&quot;;&quot;R$ 0 c/ prov.&quot;"/>
    <numFmt numFmtId="179" formatCode="&quot;DY 12m &quot;0.0%"/>
    <numFmt numFmtId="180" formatCode="&quot;R$ &quot;#,##0&quot; por ano&quot;"/>
    <numFmt numFmtId="181" formatCode="&quot;R$ &quot;#,##0&quot; por ativo&quot;"/>
    <numFmt numFmtId="182" formatCode="0.0%&quot; da renda total&quot;"/>
    <numFmt numFmtId="183" formatCode="#,##0&quot; cotas faltantes&quot;"/>
    <numFmt numFmtId="184" formatCode="&quot;Aporte de R$ &quot;#,##0&quot;/mês&quot;"/>
    <numFmt numFmtId="185" formatCode="0.0&quot; anos&quot;"/>
    <numFmt numFmtId="186" formatCode="&quot;▲ &quot;0.0%;&quot;▼ &quot;0.0%;0.0%"/>
  </numFmts>
  <fonts count="2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0F172A"/>
      <sz val="15"/>
    </font>
    <font>
      <name val="Segoe UI"/>
      <i val="1"/>
      <color rgb="0064748B"/>
      <sz val="8"/>
    </font>
    <font>
      <name val="Segoe UI"/>
      <color rgb="000000FF"/>
      <sz val="10"/>
    </font>
    <font>
      <name val="Segoe UI"/>
      <i val="1"/>
      <color rgb="00666666"/>
      <sz val="9"/>
    </font>
    <font>
      <name val="Segoe UI"/>
      <b val="1"/>
      <sz val="10"/>
    </font>
    <font>
      <name val="Segoe UI"/>
      <color rgb="00444444"/>
      <sz val="9"/>
    </font>
    <font>
      <name val="Segoe UI"/>
      <color rgb="00008000"/>
      <sz val="10"/>
    </font>
    <font>
      <name val="Segoe UI"/>
      <sz val="10"/>
    </font>
    <font>
      <name val="Segoe UI"/>
      <b val="1"/>
      <color rgb="000F172A"/>
      <sz val="11"/>
    </font>
    <font>
      <color rgb="00FFFFFF"/>
      <sz val="1"/>
    </font>
    <font>
      <name val="Segoe UI"/>
      <b val="1"/>
      <color rgb="00FFFFFF"/>
      <sz val="12"/>
    </font>
    <font>
      <name val="Segoe UI"/>
      <color rgb="0064748B"/>
      <sz val="9"/>
    </font>
    <font>
      <name val="Segoe UI"/>
      <b val="1"/>
      <color rgb="000000FF"/>
      <sz val="10"/>
    </font>
    <font>
      <name val="Segoe UI"/>
      <b val="1"/>
      <color rgb="0064748B"/>
      <sz val="7"/>
    </font>
    <font>
      <name val="Segoe UI"/>
      <color rgb="00334155"/>
      <sz val="10"/>
    </font>
    <font>
      <name val="Segoe UI"/>
      <b val="1"/>
      <color rgb="002563EB"/>
      <sz val="12"/>
    </font>
    <font>
      <name val="Segoe UI"/>
      <b val="1"/>
      <color rgb="0016A34A"/>
      <sz val="9"/>
    </font>
    <font>
      <name val="Segoe UI"/>
      <b val="1"/>
      <color rgb="0064748B"/>
      <sz val="8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0F172A"/>
      <sz val="16"/>
    </font>
    <font>
      <name val="Segoe UI"/>
      <color rgb="0064748B"/>
      <sz val="8"/>
    </font>
    <font>
      <name val="Segoe UI"/>
      <b val="1"/>
      <color rgb="002563EB"/>
      <sz val="9"/>
    </font>
    <font>
      <name val="Segoe UI"/>
      <b val="1"/>
      <color rgb="000F172A"/>
      <sz val="10"/>
    </font>
    <font>
      <name val="Segoe UI"/>
      <color rgb="00334155"/>
      <sz val="9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1E293B"/>
      </patternFill>
    </fill>
    <fill>
      <patternFill patternType="solid">
        <fgColor rgb="00FFF7D6"/>
      </patternFill>
    </fill>
    <fill>
      <patternFill patternType="solid">
        <fgColor rgb="00E8EDF4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2563EB"/>
      </patternFill>
    </fill>
  </fills>
  <borders count="17">
    <border>
      <left/>
      <right/>
      <top/>
      <bottom/>
      <diagonal/>
    </border>
    <border>
      <bottom style="medium">
        <color rgb="002563EB"/>
      </bottom>
    </border>
    <border>
      <left style="thin">
        <color rgb="00D8DFE9"/>
      </left>
      <right style="thin">
        <color rgb="00D8DFE9"/>
      </right>
      <top style="thin">
        <color rgb="00D8DFE9"/>
      </top>
      <bottom style="thin">
        <color rgb="00D8DFE9"/>
      </bottom>
    </border>
    <border>
      <left style="thin">
        <color rgb="00E2E8F0"/>
      </left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right style="thin">
        <color rgb="00E2E8F0"/>
      </right>
    </border>
    <border>
      <left style="thin">
        <color rgb="00E2E8F0"/>
      </left>
      <right style="thin">
        <color rgb="00E2E8F0"/>
      </right>
      <top style="thin">
        <color rgb="00EEF2F7"/>
      </top>
      <bottom style="thin">
        <color rgb="00EEF2F7"/>
      </bottom>
    </border>
    <border>
      <left style="thin">
        <color rgb="00E2E8F0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bottom style="thin">
        <color rgb="00E2E8F0"/>
      </bottom>
    </border>
    <border>
      <bottom style="thin">
        <color rgb="00EEF2F7"/>
      </bottom>
    </border>
    <border>
      <left style="thin">
        <color rgb="00E2E8F0"/>
      </left>
      <top style="thick">
        <color rgb="002563EB"/>
      </top>
    </border>
    <border>
      <top style="thick">
        <color rgb="002563EB"/>
      </top>
    </border>
    <border>
      <right style="thin">
        <color rgb="00E2E8F0"/>
      </right>
      <top style="thick">
        <color rgb="002563EB"/>
      </top>
    </border>
    <border/>
    <border>
      <bottom style="hair">
        <color rgb="00E2E8F0"/>
      </bottom>
    </border>
    <border>
      <bottom style="thin">
        <color rgb="00D8DFE9"/>
      </bottom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2" fillId="3" borderId="0" applyAlignment="1" pivotButton="0" quotePrefix="0" xfId="0">
      <alignment vertical="center"/>
    </xf>
    <xf numFmtId="174" fontId="24" fillId="3" borderId="0" applyAlignment="1" pivotButton="0" quotePrefix="0" xfId="0">
      <alignment horizontal="right" vertical="center"/>
    </xf>
    <xf numFmtId="0" fontId="0" fillId="3" borderId="9" pivotButton="0" quotePrefix="0" xfId="0"/>
    <xf numFmtId="0" fontId="23" fillId="3" borderId="9" applyAlignment="1" pivotButton="0" quotePrefix="0" xfId="0">
      <alignment vertical="top"/>
    </xf>
    <xf numFmtId="0" fontId="0" fillId="8" borderId="0" pivotButton="0" quotePrefix="0" xfId="0"/>
    <xf numFmtId="0" fontId="24" fillId="8" borderId="0" applyAlignment="1" pivotButton="0" quotePrefix="0" xfId="0">
      <alignment vertical="center" indent="1"/>
    </xf>
    <xf numFmtId="0" fontId="10" fillId="8" borderId="0" applyAlignment="1" pivotButton="0" quotePrefix="0" xfId="0">
      <alignment vertical="center"/>
    </xf>
    <xf numFmtId="0" fontId="23" fillId="8" borderId="0" applyAlignment="1" pivotButton="0" quotePrefix="0" xfId="0">
      <alignment vertical="center"/>
    </xf>
    <xf numFmtId="0" fontId="15" fillId="3" borderId="11" applyAlignment="1" pivotButton="0" quotePrefix="0" xfId="0">
      <alignment horizontal="left" vertical="bottom" indent="1"/>
    </xf>
    <xf numFmtId="0" fontId="0" fillId="3" borderId="12" pivotButton="0" quotePrefix="0" xfId="0"/>
    <xf numFmtId="0" fontId="0" fillId="3" borderId="13" pivotButton="0" quotePrefix="0" xfId="0"/>
    <xf numFmtId="166" fontId="22" fillId="3" borderId="3" applyAlignment="1" pivotButton="0" quotePrefix="0" xfId="0">
      <alignment horizontal="left" vertical="center" shrinkToFit="1" indent="1"/>
    </xf>
    <xf numFmtId="0" fontId="0" fillId="3" borderId="14" pivotButton="0" quotePrefix="0" xfId="0"/>
    <xf numFmtId="0" fontId="0" fillId="3" borderId="5" pivotButton="0" quotePrefix="0" xfId="0"/>
    <xf numFmtId="175" fontId="23" fillId="3" borderId="7" applyAlignment="1" pivotButton="0" quotePrefix="0" xfId="0">
      <alignment horizontal="left" vertical="top" indent="1"/>
    </xf>
    <xf numFmtId="0" fontId="0" fillId="3" borderId="8" pivotButton="0" quotePrefix="0" xfId="0"/>
    <xf numFmtId="176" fontId="23" fillId="3" borderId="7" applyAlignment="1" pivotButton="0" quotePrefix="0" xfId="0">
      <alignment horizontal="left" vertical="top" indent="1"/>
    </xf>
    <xf numFmtId="177" fontId="23" fillId="3" borderId="7" applyAlignment="1" pivotButton="0" quotePrefix="0" xfId="0">
      <alignment horizontal="left" vertical="top" indent="1"/>
    </xf>
    <xf numFmtId="178" fontId="23" fillId="3" borderId="7" applyAlignment="1" pivotButton="0" quotePrefix="0" xfId="0">
      <alignment horizontal="left" vertical="top" indent="1"/>
    </xf>
    <xf numFmtId="179" fontId="23" fillId="3" borderId="7" applyAlignment="1" pivotButton="0" quotePrefix="0" xfId="0">
      <alignment horizontal="left" vertical="top" indent="1"/>
    </xf>
    <xf numFmtId="165" fontId="22" fillId="3" borderId="3" applyAlignment="1" pivotButton="0" quotePrefix="0" xfId="0">
      <alignment horizontal="left" vertical="center" shrinkToFit="1" indent="1"/>
    </xf>
    <xf numFmtId="0" fontId="22" fillId="3" borderId="3" applyAlignment="1" pivotButton="0" quotePrefix="0" xfId="0">
      <alignment horizontal="left" vertical="center" shrinkToFit="1" indent="1"/>
    </xf>
    <xf numFmtId="169" fontId="22" fillId="3" borderId="3" applyAlignment="1" pivotButton="0" quotePrefix="0" xfId="0">
      <alignment horizontal="left" vertical="center" shrinkToFit="1" indent="1"/>
    </xf>
    <xf numFmtId="180" fontId="23" fillId="3" borderId="7" applyAlignment="1" pivotButton="0" quotePrefix="0" xfId="0">
      <alignment horizontal="left" vertical="top" indent="1"/>
    </xf>
    <xf numFmtId="181" fontId="23" fillId="3" borderId="7" applyAlignment="1" pivotButton="0" quotePrefix="0" xfId="0">
      <alignment horizontal="left" vertical="top" indent="1"/>
    </xf>
    <xf numFmtId="182" fontId="23" fillId="3" borderId="7" applyAlignment="1" pivotButton="0" quotePrefix="0" xfId="0">
      <alignment horizontal="left" vertical="top" indent="1"/>
    </xf>
    <xf numFmtId="183" fontId="23" fillId="3" borderId="7" applyAlignment="1" pivotButton="0" quotePrefix="0" xfId="0">
      <alignment horizontal="left" vertical="top" indent="1"/>
    </xf>
    <xf numFmtId="184" fontId="23" fillId="3" borderId="7" applyAlignment="1" pivotButton="0" quotePrefix="0" xfId="0">
      <alignment horizontal="left" vertical="top" indent="1"/>
    </xf>
    <xf numFmtId="185" fontId="23" fillId="3" borderId="7" applyAlignment="1" pivotButton="0" quotePrefix="0" xfId="0">
      <alignment horizontal="left" vertical="top" indent="1"/>
    </xf>
    <xf numFmtId="0" fontId="25" fillId="3" borderId="12" applyAlignment="1" pivotButton="0" quotePrefix="0" xfId="0">
      <alignment horizontal="left" vertical="center" indent="1"/>
    </xf>
    <xf numFmtId="0" fontId="15" fillId="7" borderId="9" applyAlignment="1" pivotButton="0" quotePrefix="0" xfId="0">
      <alignment horizontal="center"/>
    </xf>
    <xf numFmtId="0" fontId="15" fillId="7" borderId="9" applyAlignment="1" pivotButton="0" quotePrefix="0" xfId="0">
      <alignment horizontal="left" indent="1"/>
    </xf>
    <xf numFmtId="0" fontId="0" fillId="7" borderId="9" pivotButton="0" quotePrefix="0" xfId="0"/>
    <xf numFmtId="0" fontId="15" fillId="7" borderId="9" applyAlignment="1" pivotButton="0" quotePrefix="0" xfId="0">
      <alignment horizontal="right" indent="1"/>
    </xf>
    <xf numFmtId="1" fontId="26" fillId="3" borderId="15" applyAlignment="1" pivotButton="0" quotePrefix="0" xfId="0">
      <alignment horizontal="center"/>
    </xf>
    <xf numFmtId="0" fontId="21" fillId="3" borderId="15" applyAlignment="1" pivotButton="0" quotePrefix="0" xfId="0">
      <alignment horizontal="left" indent="1"/>
    </xf>
    <xf numFmtId="0" fontId="0" fillId="3" borderId="15" pivotButton="0" quotePrefix="0" xfId="0"/>
    <xf numFmtId="166" fontId="26" fillId="3" borderId="15" applyAlignment="1" pivotButton="0" quotePrefix="0" xfId="0">
      <alignment horizontal="right" indent="1"/>
    </xf>
    <xf numFmtId="173" fontId="26" fillId="3" borderId="15" applyAlignment="1" pivotButton="0" quotePrefix="0" xfId="0">
      <alignment horizontal="right" indent="1"/>
    </xf>
    <xf numFmtId="186" fontId="26" fillId="3" borderId="15" applyAlignment="1" pivotButton="0" quotePrefix="0" xfId="0">
      <alignment horizontal="right" indent="1"/>
    </xf>
    <xf numFmtId="0" fontId="1" fillId="4" borderId="0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left" indent="1"/>
    </xf>
    <xf numFmtId="0" fontId="0" fillId="3" borderId="16" pivotButton="0" quotePrefix="0" xfId="0"/>
    <xf numFmtId="166" fontId="8" fillId="3" borderId="16" applyAlignment="1" pivotButton="0" quotePrefix="0" xfId="0">
      <alignment horizontal="right" indent="1"/>
    </xf>
    <xf numFmtId="173" fontId="9" fillId="3" borderId="16" applyAlignment="1" pivotButton="0" quotePrefix="0" xfId="0">
      <alignment horizontal="right" indent="1"/>
    </xf>
    <xf numFmtId="173" fontId="8" fillId="3" borderId="16" applyAlignment="1" pivotButton="0" quotePrefix="0" xfId="0">
      <alignment horizontal="right" indent="1"/>
    </xf>
    <xf numFmtId="165" fontId="9" fillId="3" borderId="16" applyAlignment="1" pivotButton="0" quotePrefix="0" xfId="0">
      <alignment horizontal="right" indent="1"/>
    </xf>
    <xf numFmtId="166" fontId="9" fillId="3" borderId="16" applyAlignment="1" pivotButton="0" quotePrefix="0" xfId="0">
      <alignment horizontal="right" indent="1"/>
    </xf>
    <xf numFmtId="0" fontId="6" fillId="7" borderId="16" applyAlignment="1" pivotButton="0" quotePrefix="0" xfId="0">
      <alignment horizontal="left" indent="1"/>
    </xf>
    <xf numFmtId="0" fontId="0" fillId="7" borderId="16" pivotButton="0" quotePrefix="0" xfId="0"/>
    <xf numFmtId="166" fontId="8" fillId="7" borderId="16" applyAlignment="1" pivotButton="0" quotePrefix="0" xfId="0">
      <alignment horizontal="right" indent="1"/>
    </xf>
    <xf numFmtId="173" fontId="9" fillId="7" borderId="16" applyAlignment="1" pivotButton="0" quotePrefix="0" xfId="0">
      <alignment horizontal="right" indent="1"/>
    </xf>
    <xf numFmtId="173" fontId="8" fillId="7" borderId="16" applyAlignment="1" pivotButton="0" quotePrefix="0" xfId="0">
      <alignment horizontal="right" indent="1"/>
    </xf>
    <xf numFmtId="165" fontId="9" fillId="7" borderId="16" applyAlignment="1" pivotButton="0" quotePrefix="0" xfId="0">
      <alignment horizontal="right" indent="1"/>
    </xf>
    <xf numFmtId="166" fontId="9" fillId="7" borderId="16" applyAlignment="1" pivotButton="0" quotePrefix="0" xfId="0">
      <alignment horizontal="right" indent="1"/>
    </xf>
    <xf numFmtId="0" fontId="6" fillId="6" borderId="0" applyAlignment="1" pivotButton="0" quotePrefix="0" xfId="0">
      <alignment horizontal="left" indent="1"/>
    </xf>
    <xf numFmtId="0" fontId="0" fillId="6" borderId="0" pivotButton="0" quotePrefix="0" xfId="0"/>
    <xf numFmtId="166" fontId="6" fillId="6" borderId="0" applyAlignment="1" pivotButton="0" quotePrefix="0" xfId="0">
      <alignment horizontal="right" indent="1"/>
    </xf>
    <xf numFmtId="165" fontId="6" fillId="6" borderId="0" applyAlignment="1" pivotButton="0" quotePrefix="0" xfId="0">
      <alignment horizontal="right" indent="1"/>
    </xf>
    <xf numFmtId="0" fontId="6" fillId="6" borderId="0" applyAlignment="1" pivotButton="0" quotePrefix="0" xfId="0">
      <alignment horizontal="right" indent="1"/>
    </xf>
    <xf numFmtId="0" fontId="2" fillId="3" borderId="1" applyAlignment="1" pivotButton="0" quotePrefix="0" xfId="0">
      <alignment vertical="center" indent="1"/>
    </xf>
    <xf numFmtId="0" fontId="0" fillId="3" borderId="1" pivotButton="0" quotePrefix="0" xfId="0"/>
    <xf numFmtId="0" fontId="3" fillId="0" borderId="0" applyAlignment="1" pivotButton="0" quotePrefix="0" xfId="0">
      <alignment vertical="top" indent="1"/>
    </xf>
    <xf numFmtId="0" fontId="1" fillId="4" borderId="2" applyAlignment="1" pivotButton="0" quotePrefix="0" xfId="0">
      <alignment horizontal="center" vertical="center" wrapText="1"/>
    </xf>
    <xf numFmtId="0" fontId="8" fillId="0" borderId="2" pivotButton="0" quotePrefix="0" xfId="0"/>
    <xf numFmtId="167" fontId="9" fillId="0" borderId="2" pivotButton="0" quotePrefix="0" xfId="0"/>
    <xf numFmtId="164" fontId="9" fillId="0" borderId="2" pivotButton="0" quotePrefix="0" xfId="0"/>
    <xf numFmtId="164" fontId="8" fillId="0" borderId="2" pivotButton="0" quotePrefix="0" xfId="0"/>
    <xf numFmtId="165" fontId="9" fillId="0" borderId="2" pivotButton="0" quotePrefix="0" xfId="0"/>
    <xf numFmtId="165" fontId="8" fillId="0" borderId="2" pivotButton="0" quotePrefix="0" xfId="0"/>
    <xf numFmtId="168" fontId="9" fillId="0" borderId="2" pivotButton="0" quotePrefix="0" xfId="0"/>
    <xf numFmtId="166" fontId="9" fillId="0" borderId="2" pivotButton="0" quotePrefix="0" xfId="0"/>
    <xf numFmtId="169" fontId="9" fillId="0" borderId="2" pivotButton="0" quotePrefix="0" xfId="0"/>
    <xf numFmtId="0" fontId="8" fillId="7" borderId="2" pivotButton="0" quotePrefix="0" xfId="0"/>
    <xf numFmtId="167" fontId="9" fillId="7" borderId="2" pivotButton="0" quotePrefix="0" xfId="0"/>
    <xf numFmtId="164" fontId="9" fillId="7" borderId="2" pivotButton="0" quotePrefix="0" xfId="0"/>
    <xf numFmtId="164" fontId="8" fillId="7" borderId="2" pivotButton="0" quotePrefix="0" xfId="0"/>
    <xf numFmtId="165" fontId="9" fillId="7" borderId="2" pivotButton="0" quotePrefix="0" xfId="0"/>
    <xf numFmtId="165" fontId="8" fillId="7" borderId="2" pivotButton="0" quotePrefix="0" xfId="0"/>
    <xf numFmtId="168" fontId="9" fillId="7" borderId="2" pivotButton="0" quotePrefix="0" xfId="0"/>
    <xf numFmtId="166" fontId="9" fillId="7" borderId="2" pivotButton="0" quotePrefix="0" xfId="0"/>
    <xf numFmtId="169" fontId="9" fillId="7" borderId="2" pivotButton="0" quotePrefix="0" xfId="0"/>
    <xf numFmtId="0" fontId="6" fillId="6" borderId="2" pivotButton="0" quotePrefix="0" xfId="0"/>
    <xf numFmtId="164" fontId="6" fillId="6" borderId="2" pivotButton="0" quotePrefix="0" xfId="0"/>
    <xf numFmtId="165" fontId="6" fillId="6" borderId="2" pivotButton="0" quotePrefix="0" xfId="0"/>
    <xf numFmtId="167" fontId="6" fillId="6" borderId="2" pivotButton="0" quotePrefix="0" xfId="0"/>
    <xf numFmtId="169" fontId="6" fillId="6" borderId="2" pivotButton="0" quotePrefix="0" xfId="0"/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3" fillId="8" borderId="0" pivotButton="0" quotePrefix="0" xfId="0"/>
    <xf numFmtId="0" fontId="12" fillId="9" borderId="0" applyAlignment="1" pivotButton="0" quotePrefix="0" xfId="0">
      <alignment vertical="center" indent="1"/>
    </xf>
    <xf numFmtId="0" fontId="0" fillId="9" borderId="0" pivotButton="0" quotePrefix="0" xfId="0"/>
    <xf numFmtId="0" fontId="12" fillId="4" borderId="0" applyAlignment="1" pivotButton="0" quotePrefix="0" xfId="0">
      <alignment vertical="center" indent="1"/>
    </xf>
    <xf numFmtId="0" fontId="0" fillId="4" borderId="0" pivotButton="0" quotePrefix="0" xfId="0"/>
    <xf numFmtId="0" fontId="13" fillId="3" borderId="3" applyAlignment="1" pivotButton="0" quotePrefix="0" xfId="0">
      <alignment vertical="center" shrinkToFit="1" indent="1"/>
    </xf>
    <xf numFmtId="170" fontId="14" fillId="5" borderId="4" applyAlignment="1" pivotButton="0" quotePrefix="0" xfId="0">
      <alignment horizontal="right" vertical="center" shrinkToFit="1" indent="1"/>
    </xf>
    <xf numFmtId="0" fontId="19" fillId="7" borderId="9" applyAlignment="1" pivotButton="0" quotePrefix="0" xfId="0">
      <alignment horizontal="center" vertical="center"/>
    </xf>
    <xf numFmtId="0" fontId="14" fillId="5" borderId="4" applyAlignment="1" pivotButton="0" quotePrefix="0" xfId="0">
      <alignment horizontal="left" vertical="center" shrinkToFit="1" indent="1"/>
    </xf>
    <xf numFmtId="170" fontId="20" fillId="3" borderId="10" applyAlignment="1" pivotButton="0" quotePrefix="0" xfId="0">
      <alignment horizontal="right"/>
    </xf>
    <xf numFmtId="0" fontId="21" fillId="3" borderId="10" applyAlignment="1" pivotButton="0" quotePrefix="0" xfId="0">
      <alignment horizontal="center"/>
    </xf>
    <xf numFmtId="0" fontId="20" fillId="3" borderId="10" applyAlignment="1" pivotButton="0" quotePrefix="0" xfId="0">
      <alignment horizontal="center"/>
    </xf>
    <xf numFmtId="167" fontId="20" fillId="3" borderId="10" applyAlignment="1" pivotButton="0" quotePrefix="0" xfId="0">
      <alignment horizontal="right"/>
    </xf>
    <xf numFmtId="164" fontId="20" fillId="3" borderId="10" applyAlignment="1" pivotButton="0" quotePrefix="0" xfId="0">
      <alignment horizontal="right"/>
    </xf>
    <xf numFmtId="167" fontId="14" fillId="5" borderId="4" applyAlignment="1" pivotButton="0" quotePrefix="0" xfId="0">
      <alignment horizontal="right" vertical="center" shrinkToFit="1" indent="1"/>
    </xf>
    <xf numFmtId="168" fontId="14" fillId="5" borderId="4" applyAlignment="1" pivotButton="0" quotePrefix="0" xfId="0">
      <alignment horizontal="right" vertical="center" shrinkToFit="1" indent="1"/>
    </xf>
    <xf numFmtId="164" fontId="14" fillId="5" borderId="4" applyAlignment="1" pivotButton="0" quotePrefix="0" xfId="0">
      <alignment horizontal="right" vertical="center" shrinkToFit="1" indent="1"/>
    </xf>
    <xf numFmtId="0" fontId="15" fillId="3" borderId="3" applyAlignment="1" pivotButton="0" quotePrefix="0" xfId="0">
      <alignment vertical="bottom" indent="1"/>
    </xf>
    <xf numFmtId="167" fontId="16" fillId="8" borderId="6" applyAlignment="1" pivotButton="0" quotePrefix="0" xfId="0">
      <alignment horizontal="right" vertical="center" shrinkToFit="1" indent="1"/>
    </xf>
    <xf numFmtId="0" fontId="16" fillId="8" borderId="6" applyAlignment="1" pivotButton="0" quotePrefix="0" xfId="0">
      <alignment horizontal="left" vertical="center" shrinkToFit="1" indent="1"/>
    </xf>
    <xf numFmtId="164" fontId="17" fillId="8" borderId="6" applyAlignment="1" pivotButton="0" quotePrefix="0" xfId="0">
      <alignment horizontal="right" vertical="center" shrinkToFit="1" indent="1"/>
    </xf>
    <xf numFmtId="164" fontId="16" fillId="8" borderId="6" applyAlignment="1" pivotButton="0" quotePrefix="0" xfId="0">
      <alignment horizontal="right" vertical="center" shrinkToFit="1" indent="1"/>
    </xf>
    <xf numFmtId="0" fontId="18" fillId="3" borderId="7" applyAlignment="1" pivotButton="0" quotePrefix="0" xfId="0">
      <alignment vertical="center" wrapText="1" indent="1"/>
    </xf>
    <xf numFmtId="0" fontId="1" fillId="4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left" vertical="center" indent="1"/>
    </xf>
    <xf numFmtId="0" fontId="1" fillId="9" borderId="0" applyAlignment="1" pivotButton="0" quotePrefix="0" xfId="0">
      <alignment horizontal="center" vertical="center"/>
    </xf>
    <xf numFmtId="0" fontId="4" fillId="5" borderId="2" pivotButton="0" quotePrefix="0" xfId="0"/>
    <xf numFmtId="164" fontId="4" fillId="5" borderId="2" pivotButton="0" quotePrefix="0" xfId="0"/>
    <xf numFmtId="165" fontId="4" fillId="5" borderId="2" pivotButton="0" quotePrefix="0" xfId="0"/>
    <xf numFmtId="0" fontId="5" fillId="0" borderId="2" pivotButton="0" quotePrefix="0" xfId="0"/>
    <xf numFmtId="0" fontId="6" fillId="0" borderId="2" pivotButton="0" quotePrefix="0" xfId="0"/>
    <xf numFmtId="166" fontId="4" fillId="5" borderId="2" pivotButton="0" quotePrefix="0" xfId="0"/>
    <xf numFmtId="171" fontId="0" fillId="0" borderId="0" pivotButton="0" quotePrefix="0" xfId="0"/>
    <xf numFmtId="172" fontId="0" fillId="0" borderId="0" pivotButton="0" quotePrefix="0" xfId="0"/>
    <xf numFmtId="166" fontId="0" fillId="0" borderId="0" pivotButton="0" quotePrefix="0" xfId="0"/>
    <xf numFmtId="17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7">
    <dxf>
      <font>
        <name val="Segoe UI"/>
        <b val="1"/>
        <color rgb="00DC2626"/>
        <sz val="16"/>
      </font>
    </dxf>
    <dxf>
      <font>
        <name val="Segoe UI"/>
        <b val="1"/>
        <color rgb="0016A34A"/>
        <sz val="16"/>
      </font>
    </dxf>
    <dxf>
      <font>
        <name val="Segoe UI"/>
        <b val="1"/>
        <color rgb="00DC2626"/>
        <sz val="9"/>
      </font>
    </dxf>
    <dxf>
      <font>
        <name val="Segoe UI"/>
        <b val="1"/>
        <color rgb="0016A34A"/>
        <sz val="9"/>
      </font>
    </dxf>
    <dxf>
      <font>
        <name val="Segoe UI"/>
        <color rgb="00DC2626"/>
      </font>
    </dxf>
    <dxf>
      <font>
        <name val="Segoe UI"/>
        <color rgb="0016A34A"/>
      </font>
    </dxf>
    <dxf>
      <font>
        <name val="Segoe UI"/>
        <color rgb="00CBD5E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Participação por ativo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'Base Painel'!AJ4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invertIfNegative val="0"/>
          <cat>
            <numRef>
              <f>'Base Painel'!$G$5:$G$35</f>
            </numRef>
          </cat>
          <val>
            <numRef>
              <f>'Base Painel'!$AJ$5:$AJ$35</f>
            </numRef>
          </val>
        </ser>
        <dLbls>
          <dLblPos val="outEnd"/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noFill/>
            <a:prstDash val="solid"/>
          </a:ln>
        </sp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7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  <crosses val="max"/>
      </valAx>
    </plotArea>
    <plotVisOnly val="1"/>
    <dispBlanksAs val="gap"/>
  </chart>
  <spPr>
    <a:ln xmlns:a="http://schemas.openxmlformats.org/drawingml/2006/main">
      <a:solidFill>
        <a:srgbClr val="E2E8F0"/>
      </a:solidFill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Lucro / prejuízo por ativo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'Base Painel'!V4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invertIfNegative val="0"/>
          <cat>
            <numRef>
              <f>'Base Painel'!$U$5:$U$35</f>
            </numRef>
          </cat>
          <val>
            <numRef>
              <f>'Base Painel'!$V$5:$V$35</f>
            </numRef>
          </val>
        </ser>
        <dLbls>
          <dLblPos val="outEnd"/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noFill/>
            <a:prstDash val="solid"/>
          </a:ln>
        </sp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7"/>
              </a:solidFill>
              <a:prstDash val="solid"/>
            </a:ln>
          </spPr>
        </majorGridlines>
        <numFmt formatCode="&quot;R$ &quot;#,##0,&quot;k&quot;;-&quot;R$ &quot;#,##0,&quot;k&quot;;&quot;R$ 0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  <crosses val="max"/>
      </valAx>
    </plotArea>
    <plotVisOnly val="1"/>
    <dispBlanksAs val="gap"/>
  </chart>
  <spPr>
    <a:ln xmlns:a="http://schemas.openxmlformats.org/drawingml/2006/main">
      <a:solidFill>
        <a:srgbClr val="E2E8F0"/>
      </a:solidFill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Alocação por classe: atual x ideal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'Painel'!M83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invertIfNegative val="0"/>
          <cat>
            <numRef>
              <f>'Painel'!$C$84:$C$88</f>
            </numRef>
          </cat>
          <val>
            <numRef>
              <f>'Painel'!$M$84:$M$88</f>
            </numRef>
          </val>
        </ser>
        <ser>
          <idx val="1"/>
          <order val="1"/>
          <tx>
            <strRef>
              <f>'Painel'!Q83</f>
            </strRef>
          </tx>
          <spPr>
            <a:solidFill xmlns:a="http://schemas.openxmlformats.org/drawingml/2006/main">
              <a:srgbClr val="CBD5E1"/>
            </a:solidFill>
            <a:ln xmlns:a="http://schemas.openxmlformats.org/drawingml/2006/main">
              <a:solidFill>
                <a:srgbClr val="CBD5E1"/>
              </a:solidFill>
              <a:prstDash val="solid"/>
            </a:ln>
          </spPr>
          <invertIfNegative val="0"/>
          <cat>
            <numRef>
              <f>'Painel'!$C$84:$C$88</f>
            </numRef>
          </cat>
          <val>
            <numRef>
              <f>'Painel'!$Q$84:$Q$88</f>
            </numRef>
          </val>
        </ser>
        <dLbls>
          <dLblPos val="outEnd"/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noFill/>
            <a:prstDash val="solid"/>
          </a:ln>
        </sp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7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  <crosses val="max"/>
      </valAx>
    </plotArea>
    <legend>
      <legendPos val="t"/>
    </legend>
    <plotVisOnly val="1"/>
    <dispBlanksAs val="gap"/>
  </chart>
  <spPr>
    <a:ln xmlns:a="http://schemas.openxmlformats.org/drawingml/2006/main">
      <a:solidFill>
        <a:srgbClr val="E2E8F0"/>
      </a:solidFill>
      <a:prstDash val="solid"/>
    </a:ln>
  </spPr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Progresso da meta por ativo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'Base Painel'!Z4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invertIfNegative val="0"/>
          <cat>
            <numRef>
              <f>'Base Painel'!$Y$5:$Y$35</f>
            </numRef>
          </cat>
          <val>
            <numRef>
              <f>'Base Painel'!$Z$5:$Z$35</f>
            </numRef>
          </val>
        </ser>
        <dLbls>
          <dLblPos val="outEnd"/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noFill/>
            <a:prstDash val="solid"/>
          </a:ln>
        </sp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7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  <crosses val="max"/>
      </valAx>
    </plotArea>
    <plotVisOnly val="1"/>
    <dispBlanksAs val="gap"/>
  </chart>
  <spPr>
    <a:ln xmlns:a="http://schemas.openxmlformats.org/drawingml/2006/main">
      <a:solidFill>
        <a:srgbClr val="E2E8F0"/>
      </a:solidFill>
      <a:prstDash val="solid"/>
    </a:ln>
  </spPr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Aporte necessário para a meta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'Base Painel'!AD4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invertIfNegative val="0"/>
          <cat>
            <numRef>
              <f>'Base Painel'!$AC$5:$AC$35</f>
            </numRef>
          </cat>
          <val>
            <numRef>
              <f>'Base Painel'!$AD$5:$AD$35</f>
            </numRef>
          </val>
        </ser>
        <dLbls>
          <dLblPos val="outEnd"/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noFill/>
            <a:prstDash val="solid"/>
          </a:ln>
        </sp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7"/>
              </a:solidFill>
              <a:prstDash val="solid"/>
            </a:ln>
          </spPr>
        </majorGridlines>
        <numFmt formatCode="&quot;R$ &quot;#,##0,&quot;k&quot;;-&quot;R$ &quot;#,##0,&quot;k&quot;;&quot;R$ 0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  <crosses val="max"/>
      </valAx>
    </plotArea>
    <plotVisOnly val="1"/>
    <dispBlanksAs val="gap"/>
  </chart>
  <spPr>
    <a:ln xmlns:a="http://schemas.openxmlformats.org/drawingml/2006/main">
      <a:solidFill>
        <a:srgbClr val="E2E8F0"/>
      </a:solidFill>
      <a:prstDash val="solid"/>
    </a:ln>
  </spPr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Proventos por mês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'Base Painel'!B1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invertIfNegative val="0"/>
          <cat>
            <numRef>
              <f>'Base Painel'!$A$2:$A$13</f>
            </numRef>
          </cat>
          <val>
            <numRef>
              <f>'Base Painel'!$B$2:$B$13</f>
            </numRef>
          </val>
        </ser>
        <dLbls>
          <dLblPos val="outEnd"/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7"/>
              </a:solidFill>
              <a:prstDash val="solid"/>
            </a:ln>
          </spPr>
        </majorGridlines>
        <numFmt formatCode="&quot;R$ &quot;#,##0,&quot;k&quot;;-&quot;R$ &quot;#,##0,&quot;k&quot;;&quot;R$ 0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plotVisOnly val="1"/>
    <dispBlanksAs val="gap"/>
  </chart>
  <spPr>
    <a:ln xmlns:a="http://schemas.openxmlformats.org/drawingml/2006/main">
      <a:solidFill>
        <a:srgbClr val="E2E8F0"/>
      </a:solidFill>
      <a:prstDash val="solid"/>
    </a:ln>
  </spPr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Proventos por ativo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'Base Painel'!AH4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invertIfNegative val="0"/>
          <cat>
            <numRef>
              <f>'Base Painel'!$AG$5:$AG$35</f>
            </numRef>
          </cat>
          <val>
            <numRef>
              <f>'Base Painel'!$AH$5:$AH$35</f>
            </numRef>
          </val>
        </ser>
        <dLbls>
          <dLblPos val="outEnd"/>
          <showLegendKey val="0"/>
          <showVal val="1"/>
          <showCatName val="0"/>
          <showSerName val="0"/>
          <showPercent val="0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noFill/>
            <a:prstDash val="solid"/>
          </a:ln>
        </sp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7"/>
              </a:solidFill>
              <a:prstDash val="solid"/>
            </a:ln>
          </spPr>
        </majorGridlines>
        <numFmt formatCode="&quot;R$ &quot;#,##0,&quot;k&quot;;-&quot;R$ &quot;#,##0,&quot;k&quot;;&quot;R$ 0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  <crosses val="max"/>
      </valAx>
    </plotArea>
    <plotVisOnly val="1"/>
    <dispBlanksAs val="gap"/>
  </chart>
  <spPr>
    <a:ln xmlns:a="http://schemas.openxmlformats.org/drawingml/2006/main">
      <a:solidFill>
        <a:srgbClr val="E2E8F0"/>
      </a:solidFill>
      <a:prstDash val="solid"/>
    </a:ln>
  </spPr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Peso atual x peso ideal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'Carteira'!P4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solidFill>
                <a:srgbClr val="2563EB"/>
              </a:solidFill>
              <a:prstDash val="solid"/>
            </a:ln>
          </spPr>
          <invertIfNegative val="0"/>
          <cat>
            <numRef>
              <f>'Carteira'!$A$5:$A$35</f>
            </numRef>
          </cat>
          <val>
            <numRef>
              <f>'Carteira'!$P$5:$P$35</f>
            </numRef>
          </val>
        </ser>
        <ser>
          <idx val="1"/>
          <order val="1"/>
          <tx>
            <strRef>
              <f>'Carteira'!Q4</f>
            </strRef>
          </tx>
          <spPr>
            <a:solidFill xmlns:a="http://schemas.openxmlformats.org/drawingml/2006/main">
              <a:srgbClr val="CBD5E1"/>
            </a:solidFill>
            <a:ln xmlns:a="http://schemas.openxmlformats.org/drawingml/2006/main">
              <a:solidFill>
                <a:srgbClr val="CBD5E1"/>
              </a:solidFill>
              <a:prstDash val="solid"/>
            </a:ln>
          </spPr>
          <invertIfNegative val="0"/>
          <cat>
            <numRef>
              <f>'Carteira'!$A$5:$A$35</f>
            </numRef>
          </cat>
          <val>
            <numRef>
              <f>'Carteira'!$Q$5:$Q$35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noFill/>
            <a:prstDash val="solid"/>
          </a:ln>
        </sp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EF2F7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  <crosses val="max"/>
      </valAx>
    </plotArea>
    <legend>
      <legendPos val="t"/>
    </legend>
    <plotVisOnly val="1"/>
    <dispBlanksAs val="gap"/>
  </chart>
  <spPr>
    <a:ln xmlns:a="http://schemas.openxmlformats.org/drawingml/2006/main">
      <a:solidFill>
        <a:srgbClr val="E2E8F0"/>
      </a:solidFill>
      <a:prstDash val="solid"/>
    </a:ln>
  </spPr>
</chartSpace>
</file>

<file path=xl/comments/comment1.xml><?xml version="1.0" encoding="utf-8"?>
<comments xmlns="http://schemas.openxmlformats.org/spreadsheetml/2006/main">
  <authors>
    <author>Planilha</author>
  </authors>
  <commentList>
    <comment ref="E4" authorId="0" shapeId="0">
      <text>
        <t>Soma dos proventos pagos por cota nos últimos 12 meses (Yahoo Finance). JCP vem bruto (antes dos 15% de IR). Base da meta de renda.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2</col>
      <colOff>0</colOff>
      <row>28</row>
      <rowOff>0</rowOff>
    </from>
    <ext cx="3564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28</row>
      <rowOff>0</rowOff>
    </from>
    <ext cx="3564000" cy="273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22</col>
      <colOff>0</colOff>
      <row>28</row>
      <rowOff>0</rowOff>
    </from>
    <ext cx="3564000" cy="273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46</row>
      <rowOff>0</rowOff>
    </from>
    <ext cx="5508000" cy="273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17</col>
      <colOff>0</colOff>
      <row>46</row>
      <rowOff>0</rowOff>
    </from>
    <ext cx="5508000" cy="273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64</row>
      <rowOff>0</rowOff>
    </from>
    <ext cx="3564000" cy="273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12</col>
      <colOff>0</colOff>
      <row>64</row>
      <rowOff>0</rowOff>
    </from>
    <ext cx="3564000" cy="2736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22</col>
      <colOff>0</colOff>
      <row>64</row>
      <rowOff>0</rowOff>
    </from>
    <ext cx="3564000" cy="2736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Carteira" displayName="tCarteira" ref="A4:AB35" headerRowCount="1">
  <autoFilter ref="A4:AB35"/>
  <tableColumns count="28">
    <tableColumn id="1" name="Ticker"/>
    <tableColumn id="2" name="Tipo"/>
    <tableColumn id="3" name="Qtd atual"/>
    <tableColumn id="4" name="Preço médio (R$)"/>
    <tableColumn id="5" name="Valor investido (R$)"/>
    <tableColumn id="6" name="Cotação (R$)"/>
    <tableColumn id="7" name="Posição atual (R$)"/>
    <tableColumn id="8" name="Lucro / prejuízo (R$)"/>
    <tableColumn id="9" name="Valorização"/>
    <tableColumn id="10" name="Proventos recebidos (R$)"/>
    <tableColumn id="11" name="Proventos 12m (R$)"/>
    <tableColumn id="12" name="Retorno total (R$)"/>
    <tableColumn id="13" name="Retorno total %"/>
    <tableColumn id="14" name="Yield on cost"/>
    <tableColumn id="15" name="DY atual"/>
    <tableColumn id="16" name="Peso atual"/>
    <tableColumn id="17" name="Peso ideal"/>
    <tableColumn id="18" name="Desvio do peso"/>
    <tableColumn id="19" name="Aporte p/ peso ideal (R$)"/>
    <tableColumn id="20" name="Provento 12m por cota (R$)"/>
    <tableColumn id="21" name="Provento mensal por cota (R$)"/>
    <tableColumn id="22" name="Renda mensal (R$)"/>
    <tableColumn id="23" name="% da meta"/>
    <tableColumn id="24" name="Cotas p/ meta"/>
    <tableColumn id="25" name="Cotas faltantes"/>
    <tableColumn id="26" name="Aporte p/ meta (R$)"/>
    <tableColumn id="27" name="Meses p/ meta"/>
    <tableColumn id="28" name="Segmento"/>
  </tableColumns>
  <tableStyleInfo name="TableStyleLight1" showRowStripes="0"/>
</table>
</file>

<file path=xl/tables/table2.xml><?xml version="1.0" encoding="utf-8"?>
<table xmlns="http://schemas.openxmlformats.org/spreadsheetml/2006/main" id="2" name="tAtivos" displayName="tAtivos" ref="A4:H35" headerRowCount="1">
  <autoFilter ref="A4:H35"/>
  <tableColumns count="8">
    <tableColumn id="1" name="Ticker"/>
    <tableColumn id="2" name="Tipo"/>
    <tableColumn id="3" name="Segmento"/>
    <tableColumn id="4" name="Cotação (R$)"/>
    <tableColumn id="5" name="Provento 12m por cota (R$)"/>
    <tableColumn id="6" name="Peso ideal"/>
    <tableColumn id="7" name="Atualizado em"/>
    <tableColumn id="8" name="Cotação base (R$)"/>
  </tableColumns>
  <tableStyleInfo name="TableStyleLight1" showRowStripes="0"/>
</table>
</file>

<file path=xl/tables/table3.xml><?xml version="1.0" encoding="utf-8"?>
<table xmlns="http://schemas.openxmlformats.org/spreadsheetml/2006/main" id="3" name="tLancamentos" displayName="tLancamentos" ref="A4:G5" headerRowCount="1">
  <autoFilter ref="A4:G5"/>
  <tableColumns count="7">
    <tableColumn id="1" name="Data"/>
    <tableColumn id="2" name="Ticker"/>
    <tableColumn id="3" name="Operação"/>
    <tableColumn id="4" name="Quantidade"/>
    <tableColumn id="5" name="Preço (R$)"/>
    <tableColumn id="6" name="Custos (R$)"/>
    <tableColumn id="7" name="Total (R$)"/>
  </tableColumns>
  <tableStyleInfo name="TableStyleLight1" showRowStripes="0"/>
</table>
</file>

<file path=xl/tables/table4.xml><?xml version="1.0" encoding="utf-8"?>
<table xmlns="http://schemas.openxmlformats.org/spreadsheetml/2006/main" id="4" name="tProventos" displayName="tProventos" ref="A4:F5" headerRowCount="1">
  <autoFilter ref="A4:F5"/>
  <tableColumns count="6">
    <tableColumn id="1" name="Data pagamento"/>
    <tableColumn id="2" name="Ticker"/>
    <tableColumn id="3" name="Tipo"/>
    <tableColumn id="4" name="Valor por cota (R$)"/>
    <tableColumn id="5" name="Qtd de cotas"/>
    <tableColumn id="6" name="Total (R$)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adastro!A1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AF104"/>
  <sheetViews>
    <sheetView showGridLines="0" showRowColHeader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5.3" customWidth="1" min="3" max="3"/>
    <col width="5.3" customWidth="1" min="4" max="4"/>
    <col width="5.3" customWidth="1" min="5" max="5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  <col width="5.3" customWidth="1" min="19" max="19"/>
    <col width="5.3" customWidth="1" min="20" max="20"/>
    <col width="5.3" customWidth="1" min="21" max="21"/>
    <col width="5.3" customWidth="1" min="22" max="22"/>
    <col width="5.3" customWidth="1" min="23" max="23"/>
    <col width="5.3" customWidth="1" min="24" max="24"/>
    <col width="5.3" customWidth="1" min="25" max="25"/>
    <col width="5.3" customWidth="1" min="26" max="26"/>
    <col width="5.3" customWidth="1" min="27" max="27"/>
    <col width="5.3" customWidth="1" min="28" max="28"/>
    <col width="5.3" customWidth="1" min="29" max="29"/>
    <col width="5.3" customWidth="1" min="30" max="30"/>
    <col width="5.3" customWidth="1" min="31" max="31"/>
    <col width="3" customWidth="1" min="32" max="32"/>
  </cols>
  <sheetData>
    <row r="1" ht="30" customHeight="1">
      <c r="A1" s="1" t="n"/>
      <c r="B1" s="2" t="inlineStr">
        <is>
          <t>◆ InvestERP        Painel     Carteira     Análises     ✚ Lançar     Lançamentos     Proventos     Premissas     Verificar</t>
        </is>
      </c>
    </row>
    <row r="2" ht="34" customHeight="1">
      <c r="A2" s="3" t="n"/>
      <c r="B2" s="3" t="n"/>
      <c r="C2" s="4" t="inlineStr">
        <is>
          <t>Visão geral da carteira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5">
        <f>TODAY()</f>
        <v/>
      </c>
      <c r="AF2" s="3" t="n"/>
    </row>
    <row r="3" ht="18" customHeight="1">
      <c r="A3" s="6" t="n"/>
      <c r="B3" s="6" t="n"/>
      <c r="C3" s="7" t="inlineStr">
        <is>
          <t>Início  ›  Painel   •   ações e FIIs, meta de renda e alocação   •   cotações: Google Finance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</row>
    <row r="4" ht="20" customHeight="1">
      <c r="A4" s="8" t="n"/>
      <c r="B4" s="8" t="n"/>
      <c r="C4" s="9">
        <f>IF(COUNTIF(Carteira!C5:C35,"&gt;0")=0,"✚  Nenhuma ação ou FII na carteira ainda — registre sua primeira compra na aba Cadastro (clique aqui)","")</f>
        <v/>
      </c>
      <c r="AF4" s="8" t="n"/>
    </row>
    <row r="5" ht="22" customHeight="1">
      <c r="A5" s="8" t="n"/>
      <c r="B5" s="8" t="n"/>
      <c r="C5" s="10" t="inlineStr">
        <is>
          <t>Patrimônio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11" t="inlineStr">
        <is>
          <t>renda fixa (Premissas) + ações e FIIs (Carteira)</t>
        </is>
      </c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 ht="2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</row>
    <row r="7" ht="22" customHeight="1">
      <c r="A7" s="8" t="n"/>
      <c r="B7" s="8" t="n"/>
      <c r="C7" s="12" t="inlineStr">
        <is>
          <t>PATRIMÔNIO TOTAL</t>
        </is>
      </c>
      <c r="D7" s="13" t="n"/>
      <c r="E7" s="13" t="n"/>
      <c r="F7" s="14" t="n"/>
      <c r="G7" s="8" t="n"/>
      <c r="H7" s="12" t="inlineStr">
        <is>
          <t>RENDA FIXA</t>
        </is>
      </c>
      <c r="I7" s="13" t="n"/>
      <c r="J7" s="13" t="n"/>
      <c r="K7" s="14" t="n"/>
      <c r="L7" s="8" t="n"/>
      <c r="M7" s="12" t="inlineStr">
        <is>
          <t>RENDA VARIÁVEL</t>
        </is>
      </c>
      <c r="N7" s="13" t="n"/>
      <c r="O7" s="13" t="n"/>
      <c r="P7" s="14" t="n"/>
      <c r="Q7" s="8" t="n"/>
      <c r="R7" s="12" t="inlineStr">
        <is>
          <t>INVESTIDO EM AÇÕES/FIIS</t>
        </is>
      </c>
      <c r="S7" s="13" t="n"/>
      <c r="T7" s="13" t="n"/>
      <c r="U7" s="14" t="n"/>
      <c r="V7" s="8" t="n"/>
      <c r="W7" s="12" t="inlineStr">
        <is>
          <t>LUCRO / PREJUÍZO</t>
        </is>
      </c>
      <c r="X7" s="13" t="n"/>
      <c r="Y7" s="13" t="n"/>
      <c r="Z7" s="14" t="n"/>
      <c r="AA7" s="8" t="n"/>
      <c r="AB7" s="12" t="inlineStr">
        <is>
          <t>PROVENTOS RECEBIDOS</t>
        </is>
      </c>
      <c r="AC7" s="13" t="n"/>
      <c r="AD7" s="13" t="n"/>
      <c r="AE7" s="14" t="n"/>
      <c r="AF7" s="8" t="n"/>
    </row>
    <row r="8" ht="30" customHeight="1">
      <c r="A8" s="8" t="n"/>
      <c r="B8" s="8" t="n"/>
      <c r="C8" s="15">
        <f>(Carteira!G36+SUM(OUTRAS_CLASSES))</f>
        <v/>
      </c>
      <c r="D8" s="16" t="n"/>
      <c r="E8" s="16" t="n"/>
      <c r="F8" s="17" t="n"/>
      <c r="G8" s="8" t="n"/>
      <c r="H8" s="15">
        <f>SUMIF(Premissas!$A:$A,"Renda fixa*",Premissas!$B:$B)</f>
        <v/>
      </c>
      <c r="I8" s="16" t="n"/>
      <c r="J8" s="16" t="n"/>
      <c r="K8" s="17" t="n"/>
      <c r="L8" s="8" t="n"/>
      <c r="M8" s="15">
        <f>Carteira!G36</f>
        <v/>
      </c>
      <c r="N8" s="16" t="n"/>
      <c r="O8" s="16" t="n"/>
      <c r="P8" s="17" t="n"/>
      <c r="Q8" s="8" t="n"/>
      <c r="R8" s="15">
        <f>Carteira!E36</f>
        <v/>
      </c>
      <c r="S8" s="16" t="n"/>
      <c r="T8" s="16" t="n"/>
      <c r="U8" s="17" t="n"/>
      <c r="V8" s="8" t="n"/>
      <c r="W8" s="15">
        <f>Carteira!H36</f>
        <v/>
      </c>
      <c r="X8" s="16" t="n"/>
      <c r="Y8" s="16" t="n"/>
      <c r="Z8" s="17" t="n"/>
      <c r="AA8" s="8" t="n"/>
      <c r="AB8" s="15">
        <f>Carteira!J36</f>
        <v/>
      </c>
      <c r="AC8" s="16" t="n"/>
      <c r="AD8" s="16" t="n"/>
      <c r="AE8" s="17" t="n"/>
      <c r="AF8" s="8" t="n"/>
    </row>
    <row r="9" ht="22" customHeight="1">
      <c r="A9" s="8" t="n"/>
      <c r="B9" s="8" t="n"/>
      <c r="C9" s="18">
        <f>COUNTIF(Carteira!C5:C35,"&gt;0")</f>
        <v/>
      </c>
      <c r="D9" s="6" t="n"/>
      <c r="E9" s="6" t="n"/>
      <c r="F9" s="19" t="n"/>
      <c r="G9" s="8" t="n"/>
      <c r="H9" s="20">
        <f>IF((Carteira!G36+SUM(OUTRAS_CLASSES))&gt;0,SUMIF(Premissas!$A:$A,"Renda fixa*",Premissas!$B:$B)/(Carteira!G36+SUM(OUTRAS_CLASSES)),0)</f>
        <v/>
      </c>
      <c r="I9" s="6" t="n"/>
      <c r="J9" s="6" t="n"/>
      <c r="K9" s="19" t="n"/>
      <c r="L9" s="8" t="n"/>
      <c r="M9" s="20">
        <f>IF((Carteira!G36+SUM(OUTRAS_CLASSES))&gt;0,Carteira!G36/(Carteira!G36+SUM(OUTRAS_CLASSES)),0)</f>
        <v/>
      </c>
      <c r="N9" s="6" t="n"/>
      <c r="O9" s="6" t="n"/>
      <c r="P9" s="19" t="n"/>
      <c r="Q9" s="8" t="n"/>
      <c r="R9" s="21">
        <f>Carteira!I36</f>
        <v/>
      </c>
      <c r="S9" s="6" t="n"/>
      <c r="T9" s="6" t="n"/>
      <c r="U9" s="19" t="n"/>
      <c r="V9" s="8" t="n"/>
      <c r="W9" s="22">
        <f>Carteira!L36</f>
        <v/>
      </c>
      <c r="X9" s="6" t="n"/>
      <c r="Y9" s="6" t="n"/>
      <c r="Z9" s="19" t="n"/>
      <c r="AA9" s="8" t="n"/>
      <c r="AB9" s="23">
        <f>Carteira!O36</f>
        <v/>
      </c>
      <c r="AC9" s="6" t="n"/>
      <c r="AD9" s="6" t="n"/>
      <c r="AE9" s="19" t="n"/>
      <c r="AF9" s="8" t="n"/>
    </row>
    <row r="10" ht="2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</row>
    <row r="11" ht="22" customHeight="1">
      <c r="A11" s="8" t="n"/>
      <c r="B11" s="8" t="n"/>
      <c r="C11" s="10" t="inlineStr">
        <is>
          <t>Meta de renda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11" t="inlineStr">
        <is>
          <t>cada ativo deve pagar R$ 1.000/mês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</row>
    <row r="12" ht="2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</row>
    <row r="13" ht="22" customHeight="1">
      <c r="A13" s="8" t="n"/>
      <c r="B13" s="8" t="n"/>
      <c r="C13" s="12" t="inlineStr">
        <is>
          <t>RENDA MENSAL</t>
        </is>
      </c>
      <c r="D13" s="13" t="n"/>
      <c r="E13" s="13" t="n"/>
      <c r="F13" s="14" t="n"/>
      <c r="G13" s="8" t="n"/>
      <c r="H13" s="12" t="inlineStr">
        <is>
          <t>META MENSAL</t>
        </is>
      </c>
      <c r="I13" s="13" t="n"/>
      <c r="J13" s="13" t="n"/>
      <c r="K13" s="14" t="n"/>
      <c r="L13" s="8" t="n"/>
      <c r="M13" s="12" t="inlineStr">
        <is>
          <t>PROGRESSO DA META</t>
        </is>
      </c>
      <c r="N13" s="13" t="n"/>
      <c r="O13" s="13" t="n"/>
      <c r="P13" s="14" t="n"/>
      <c r="Q13" s="8" t="n"/>
      <c r="R13" s="12" t="inlineStr">
        <is>
          <t>ATIVOS NA META</t>
        </is>
      </c>
      <c r="S13" s="13" t="n"/>
      <c r="T13" s="13" t="n"/>
      <c r="U13" s="14" t="n"/>
      <c r="V13" s="8" t="n"/>
      <c r="W13" s="12" t="inlineStr">
        <is>
          <t>APORTE P/ META</t>
        </is>
      </c>
      <c r="X13" s="13" t="n"/>
      <c r="Y13" s="13" t="n"/>
      <c r="Z13" s="14" t="n"/>
      <c r="AA13" s="8" t="n"/>
      <c r="AB13" s="12" t="inlineStr">
        <is>
          <t>TEMPO ATÉ A META</t>
        </is>
      </c>
      <c r="AC13" s="13" t="n"/>
      <c r="AD13" s="13" t="n"/>
      <c r="AE13" s="14" t="n"/>
      <c r="AF13" s="8" t="n"/>
    </row>
    <row r="14" ht="30" customHeight="1">
      <c r="A14" s="8" t="n"/>
      <c r="B14" s="8" t="n"/>
      <c r="C14" s="15">
        <f>Carteira!V36</f>
        <v/>
      </c>
      <c r="D14" s="16" t="n"/>
      <c r="E14" s="16" t="n"/>
      <c r="F14" s="17" t="n"/>
      <c r="G14" s="8" t="n"/>
      <c r="H14" s="15">
        <f>META_MENSAL*COUNTIF(Carteira!A5:A35,"?*")</f>
        <v/>
      </c>
      <c r="I14" s="16" t="n"/>
      <c r="J14" s="16" t="n"/>
      <c r="K14" s="17" t="n"/>
      <c r="L14" s="8" t="n"/>
      <c r="M14" s="24">
        <f>Carteira!W36</f>
        <v/>
      </c>
      <c r="N14" s="16" t="n"/>
      <c r="O14" s="16" t="n"/>
      <c r="P14" s="17" t="n"/>
      <c r="Q14" s="8" t="n"/>
      <c r="R14" s="25">
        <f>Carteira!X36</f>
        <v/>
      </c>
      <c r="S14" s="16" t="n"/>
      <c r="T14" s="16" t="n"/>
      <c r="U14" s="17" t="n"/>
      <c r="V14" s="8" t="n"/>
      <c r="W14" s="15">
        <f>Carteira!Z36</f>
        <v/>
      </c>
      <c r="X14" s="16" t="n"/>
      <c r="Y14" s="16" t="n"/>
      <c r="Z14" s="17" t="n"/>
      <c r="AA14" s="8" t="n"/>
      <c r="AB14" s="26">
        <f>Carteira!AA36</f>
        <v/>
      </c>
      <c r="AC14" s="16" t="n"/>
      <c r="AD14" s="16" t="n"/>
      <c r="AE14" s="17" t="n"/>
      <c r="AF14" s="8" t="n"/>
    </row>
    <row r="15" ht="22" customHeight="1">
      <c r="A15" s="8" t="n"/>
      <c r="B15" s="8" t="n"/>
      <c r="C15" s="27">
        <f>Carteira!V36*12</f>
        <v/>
      </c>
      <c r="D15" s="6" t="n"/>
      <c r="E15" s="6" t="n"/>
      <c r="F15" s="19" t="n"/>
      <c r="G15" s="8" t="n"/>
      <c r="H15" s="28">
        <f>META_MENSAL</f>
        <v/>
      </c>
      <c r="I15" s="6" t="n"/>
      <c r="J15" s="6" t="n"/>
      <c r="K15" s="19" t="n"/>
      <c r="L15" s="8" t="n"/>
      <c r="M15" s="29">
        <f>IF(META_MENSAL&gt;0,Carteira!V36/(META_MENSAL*COUNTIF(Carteira!A5:A35,"?*")),0)</f>
        <v/>
      </c>
      <c r="N15" s="6" t="n"/>
      <c r="O15" s="6" t="n"/>
      <c r="P15" s="19" t="n"/>
      <c r="Q15" s="8" t="n"/>
      <c r="R15" s="30">
        <f>Carteira!Y36</f>
        <v/>
      </c>
      <c r="S15" s="6" t="n"/>
      <c r="T15" s="6" t="n"/>
      <c r="U15" s="19" t="n"/>
      <c r="V15" s="8" t="n"/>
      <c r="W15" s="31">
        <f>APORTE_MENSAL</f>
        <v/>
      </c>
      <c r="X15" s="6" t="n"/>
      <c r="Y15" s="6" t="n"/>
      <c r="Z15" s="19" t="n"/>
      <c r="AA15" s="8" t="n"/>
      <c r="AB15" s="32">
        <f>IF(APORTE_MENSAL&gt;0,Carteira!Z36/APORTE_MENSAL/12,0)</f>
        <v/>
      </c>
      <c r="AC15" s="6" t="n"/>
      <c r="AD15" s="6" t="n"/>
      <c r="AE15" s="19" t="n"/>
      <c r="AF15" s="8" t="n"/>
    </row>
    <row r="16" ht="2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</row>
    <row r="17">
      <c r="A17" s="8" t="n"/>
      <c r="B17" s="8" t="n"/>
      <c r="C17" s="10" t="inlineStr">
        <is>
          <t>Destaques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11" t="inlineStr">
        <is>
          <t>rankings atualizados automaticamente</t>
        </is>
      </c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</row>
    <row r="19" ht="22" customHeight="1">
      <c r="A19" s="8" t="n"/>
      <c r="B19" s="8" t="n"/>
      <c r="C19" s="33" t="inlineStr">
        <is>
          <t>Maiores posições</t>
        </is>
      </c>
      <c r="D19" s="13" t="n"/>
      <c r="E19" s="13" t="n"/>
      <c r="F19" s="13" t="n"/>
      <c r="G19" s="13" t="n"/>
      <c r="H19" s="13" t="n"/>
      <c r="I19" s="13" t="n"/>
      <c r="J19" s="13" t="n"/>
      <c r="K19" s="13" t="n"/>
      <c r="L19" s="8" t="n"/>
      <c r="M19" s="33" t="inlineStr">
        <is>
          <t>Maiores altas</t>
        </is>
      </c>
      <c r="N19" s="13" t="n"/>
      <c r="O19" s="13" t="n"/>
      <c r="P19" s="13" t="n"/>
      <c r="Q19" s="13" t="n"/>
      <c r="R19" s="13" t="n"/>
      <c r="S19" s="13" t="n"/>
      <c r="T19" s="13" t="n"/>
      <c r="U19" s="13" t="n"/>
      <c r="V19" s="8" t="n"/>
      <c r="W19" s="33" t="inlineStr">
        <is>
          <t>Maiores quedas</t>
        </is>
      </c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8" t="n"/>
    </row>
    <row r="20">
      <c r="A20" s="8" t="n"/>
      <c r="B20" s="8" t="n"/>
      <c r="C20" s="34" t="inlineStr">
        <is>
          <t>#</t>
        </is>
      </c>
      <c r="D20" s="35" t="inlineStr">
        <is>
          <t>ATIVO</t>
        </is>
      </c>
      <c r="E20" s="36" t="n"/>
      <c r="F20" s="37" t="inlineStr">
        <is>
          <t>POSIÇÃO</t>
        </is>
      </c>
      <c r="G20" s="36" t="n"/>
      <c r="H20" s="36" t="n"/>
      <c r="I20" s="37" t="inlineStr">
        <is>
          <t>PARTICIPAÇÃO</t>
        </is>
      </c>
      <c r="J20" s="36" t="n"/>
      <c r="K20" s="36" t="n"/>
      <c r="L20" s="8" t="n"/>
      <c r="M20" s="34" t="inlineStr">
        <is>
          <t>#</t>
        </is>
      </c>
      <c r="N20" s="35" t="inlineStr">
        <is>
          <t>ATIVO</t>
        </is>
      </c>
      <c r="O20" s="36" t="n"/>
      <c r="P20" s="37" t="inlineStr">
        <is>
          <t>VALORIZAÇÃO</t>
        </is>
      </c>
      <c r="Q20" s="36" t="n"/>
      <c r="R20" s="36" t="n"/>
      <c r="S20" s="37" t="inlineStr">
        <is>
          <t>LUCRO</t>
        </is>
      </c>
      <c r="T20" s="36" t="n"/>
      <c r="U20" s="36" t="n"/>
      <c r="V20" s="8" t="n"/>
      <c r="W20" s="34" t="inlineStr">
        <is>
          <t>#</t>
        </is>
      </c>
      <c r="X20" s="35" t="inlineStr">
        <is>
          <t>ATIVO</t>
        </is>
      </c>
      <c r="Y20" s="36" t="n"/>
      <c r="Z20" s="37" t="inlineStr">
        <is>
          <t>VALORIZAÇÃO</t>
        </is>
      </c>
      <c r="AA20" s="36" t="n"/>
      <c r="AB20" s="36" t="n"/>
      <c r="AC20" s="37" t="inlineStr">
        <is>
          <t>LUCRO</t>
        </is>
      </c>
      <c r="AD20" s="36" t="n"/>
      <c r="AE20" s="36" t="n"/>
      <c r="AF20" s="8" t="n"/>
    </row>
    <row r="21">
      <c r="A21" s="8" t="n"/>
      <c r="B21" s="8" t="n"/>
      <c r="C21" s="38" t="n">
        <v>1</v>
      </c>
      <c r="D21" s="39">
        <f>IF(SUM(Carteira!$C$5:$C$35)=0,"",'Base Painel'!G5)</f>
        <v/>
      </c>
      <c r="E21" s="40" t="n"/>
      <c r="F21" s="41">
        <f>IF(SUM(Carteira!$C$5:$C$35)=0,"",'Base Painel'!H5)</f>
        <v/>
      </c>
      <c r="G21" s="40" t="n"/>
      <c r="H21" s="40" t="n"/>
      <c r="I21" s="42">
        <f>IF(SUM(Carteira!$C$5:$C$35)=0,"",'Base Painel'!AJ5)</f>
        <v/>
      </c>
      <c r="J21" s="40" t="n"/>
      <c r="K21" s="40" t="n"/>
      <c r="L21" s="8" t="n"/>
      <c r="M21" s="38" t="n">
        <v>1</v>
      </c>
      <c r="N21" s="39">
        <f>IF(SUM(Carteira!$C$5:$C$35)=0,"",'Base Painel'!K5)</f>
        <v/>
      </c>
      <c r="O21" s="40" t="n"/>
      <c r="P21" s="43">
        <f>IF(SUM(Carteira!$C$5:$C$35)=0,"",'Base Painel'!L5)</f>
        <v/>
      </c>
      <c r="Q21" s="40" t="n"/>
      <c r="R21" s="40" t="n"/>
      <c r="S21" s="41">
        <f>IF(SUM(Carteira!$C$5:$C$35)=0,"",'Base Painel'!M5)</f>
        <v/>
      </c>
      <c r="T21" s="40" t="n"/>
      <c r="U21" s="40" t="n"/>
      <c r="V21" s="8" t="n"/>
      <c r="W21" s="38" t="n">
        <v>1</v>
      </c>
      <c r="X21" s="39">
        <f>IF(SUM(Carteira!$C$5:$C$35)=0,"",'Base Painel'!P5)</f>
        <v/>
      </c>
      <c r="Y21" s="40" t="n"/>
      <c r="Z21" s="43">
        <f>IF(SUM(Carteira!$C$5:$C$35)=0,"",'Base Painel'!Q5)</f>
        <v/>
      </c>
      <c r="AA21" s="40" t="n"/>
      <c r="AB21" s="40" t="n"/>
      <c r="AC21" s="41">
        <f>IF(SUM(Carteira!$C$5:$C$35)=0,"",'Base Painel'!R5)</f>
        <v/>
      </c>
      <c r="AD21" s="40" t="n"/>
      <c r="AE21" s="40" t="n"/>
      <c r="AF21" s="8" t="n"/>
    </row>
    <row r="22">
      <c r="A22" s="8" t="n"/>
      <c r="B22" s="8" t="n"/>
      <c r="C22" s="38" t="n">
        <v>2</v>
      </c>
      <c r="D22" s="39">
        <f>IF(SUM(Carteira!$C$5:$C$35)=0,"",'Base Painel'!G6)</f>
        <v/>
      </c>
      <c r="E22" s="40" t="n"/>
      <c r="F22" s="41">
        <f>IF(SUM(Carteira!$C$5:$C$35)=0,"",'Base Painel'!H6)</f>
        <v/>
      </c>
      <c r="G22" s="40" t="n"/>
      <c r="H22" s="40" t="n"/>
      <c r="I22" s="42">
        <f>IF(SUM(Carteira!$C$5:$C$35)=0,"",'Base Painel'!AJ6)</f>
        <v/>
      </c>
      <c r="J22" s="40" t="n"/>
      <c r="K22" s="40" t="n"/>
      <c r="L22" s="8" t="n"/>
      <c r="M22" s="38" t="n">
        <v>2</v>
      </c>
      <c r="N22" s="39">
        <f>IF(SUM(Carteira!$C$5:$C$35)=0,"",'Base Painel'!K6)</f>
        <v/>
      </c>
      <c r="O22" s="40" t="n"/>
      <c r="P22" s="43">
        <f>IF(SUM(Carteira!$C$5:$C$35)=0,"",'Base Painel'!L6)</f>
        <v/>
      </c>
      <c r="Q22" s="40" t="n"/>
      <c r="R22" s="40" t="n"/>
      <c r="S22" s="41">
        <f>IF(SUM(Carteira!$C$5:$C$35)=0,"",'Base Painel'!M6)</f>
        <v/>
      </c>
      <c r="T22" s="40" t="n"/>
      <c r="U22" s="40" t="n"/>
      <c r="V22" s="8" t="n"/>
      <c r="W22" s="38" t="n">
        <v>2</v>
      </c>
      <c r="X22" s="39">
        <f>IF(SUM(Carteira!$C$5:$C$35)=0,"",'Base Painel'!P6)</f>
        <v/>
      </c>
      <c r="Y22" s="40" t="n"/>
      <c r="Z22" s="43">
        <f>IF(SUM(Carteira!$C$5:$C$35)=0,"",'Base Painel'!Q6)</f>
        <v/>
      </c>
      <c r="AA22" s="40" t="n"/>
      <c r="AB22" s="40" t="n"/>
      <c r="AC22" s="41">
        <f>IF(SUM(Carteira!$C$5:$C$35)=0,"",'Base Painel'!R6)</f>
        <v/>
      </c>
      <c r="AD22" s="40" t="n"/>
      <c r="AE22" s="40" t="n"/>
      <c r="AF22" s="8" t="n"/>
    </row>
    <row r="23">
      <c r="A23" s="8" t="n"/>
      <c r="B23" s="8" t="n"/>
      <c r="C23" s="38" t="n">
        <v>3</v>
      </c>
      <c r="D23" s="39">
        <f>IF(SUM(Carteira!$C$5:$C$35)=0,"",'Base Painel'!G7)</f>
        <v/>
      </c>
      <c r="E23" s="40" t="n"/>
      <c r="F23" s="41">
        <f>IF(SUM(Carteira!$C$5:$C$35)=0,"",'Base Painel'!H7)</f>
        <v/>
      </c>
      <c r="G23" s="40" t="n"/>
      <c r="H23" s="40" t="n"/>
      <c r="I23" s="42">
        <f>IF(SUM(Carteira!$C$5:$C$35)=0,"",'Base Painel'!AJ7)</f>
        <v/>
      </c>
      <c r="J23" s="40" t="n"/>
      <c r="K23" s="40" t="n"/>
      <c r="L23" s="8" t="n"/>
      <c r="M23" s="38" t="n">
        <v>3</v>
      </c>
      <c r="N23" s="39">
        <f>IF(SUM(Carteira!$C$5:$C$35)=0,"",'Base Painel'!K7)</f>
        <v/>
      </c>
      <c r="O23" s="40" t="n"/>
      <c r="P23" s="43">
        <f>IF(SUM(Carteira!$C$5:$C$35)=0,"",'Base Painel'!L7)</f>
        <v/>
      </c>
      <c r="Q23" s="40" t="n"/>
      <c r="R23" s="40" t="n"/>
      <c r="S23" s="41">
        <f>IF(SUM(Carteira!$C$5:$C$35)=0,"",'Base Painel'!M7)</f>
        <v/>
      </c>
      <c r="T23" s="40" t="n"/>
      <c r="U23" s="40" t="n"/>
      <c r="V23" s="8" t="n"/>
      <c r="W23" s="38" t="n">
        <v>3</v>
      </c>
      <c r="X23" s="39">
        <f>IF(SUM(Carteira!$C$5:$C$35)=0,"",'Base Painel'!P7)</f>
        <v/>
      </c>
      <c r="Y23" s="40" t="n"/>
      <c r="Z23" s="43">
        <f>IF(SUM(Carteira!$C$5:$C$35)=0,"",'Base Painel'!Q7)</f>
        <v/>
      </c>
      <c r="AA23" s="40" t="n"/>
      <c r="AB23" s="40" t="n"/>
      <c r="AC23" s="41">
        <f>IF(SUM(Carteira!$C$5:$C$35)=0,"",'Base Painel'!R7)</f>
        <v/>
      </c>
      <c r="AD23" s="40" t="n"/>
      <c r="AE23" s="40" t="n"/>
      <c r="AF23" s="8" t="n"/>
    </row>
    <row r="24">
      <c r="A24" s="8" t="n"/>
      <c r="B24" s="8" t="n"/>
      <c r="C24" s="38" t="n">
        <v>4</v>
      </c>
      <c r="D24" s="39">
        <f>IF(SUM(Carteira!$C$5:$C$35)=0,"",'Base Painel'!G8)</f>
        <v/>
      </c>
      <c r="E24" s="40" t="n"/>
      <c r="F24" s="41">
        <f>IF(SUM(Carteira!$C$5:$C$35)=0,"",'Base Painel'!H8)</f>
        <v/>
      </c>
      <c r="G24" s="40" t="n"/>
      <c r="H24" s="40" t="n"/>
      <c r="I24" s="42">
        <f>IF(SUM(Carteira!$C$5:$C$35)=0,"",'Base Painel'!AJ8)</f>
        <v/>
      </c>
      <c r="J24" s="40" t="n"/>
      <c r="K24" s="40" t="n"/>
      <c r="L24" s="8" t="n"/>
      <c r="M24" s="38" t="n">
        <v>4</v>
      </c>
      <c r="N24" s="39">
        <f>IF(SUM(Carteira!$C$5:$C$35)=0,"",'Base Painel'!K8)</f>
        <v/>
      </c>
      <c r="O24" s="40" t="n"/>
      <c r="P24" s="43">
        <f>IF(SUM(Carteira!$C$5:$C$35)=0,"",'Base Painel'!L8)</f>
        <v/>
      </c>
      <c r="Q24" s="40" t="n"/>
      <c r="R24" s="40" t="n"/>
      <c r="S24" s="41">
        <f>IF(SUM(Carteira!$C$5:$C$35)=0,"",'Base Painel'!M8)</f>
        <v/>
      </c>
      <c r="T24" s="40" t="n"/>
      <c r="U24" s="40" t="n"/>
      <c r="V24" s="8" t="n"/>
      <c r="W24" s="38" t="n">
        <v>4</v>
      </c>
      <c r="X24" s="39">
        <f>IF(SUM(Carteira!$C$5:$C$35)=0,"",'Base Painel'!P8)</f>
        <v/>
      </c>
      <c r="Y24" s="40" t="n"/>
      <c r="Z24" s="43">
        <f>IF(SUM(Carteira!$C$5:$C$35)=0,"",'Base Painel'!Q8)</f>
        <v/>
      </c>
      <c r="AA24" s="40" t="n"/>
      <c r="AB24" s="40" t="n"/>
      <c r="AC24" s="41">
        <f>IF(SUM(Carteira!$C$5:$C$35)=0,"",'Base Painel'!R8)</f>
        <v/>
      </c>
      <c r="AD24" s="40" t="n"/>
      <c r="AE24" s="40" t="n"/>
      <c r="AF24" s="8" t="n"/>
    </row>
    <row r="25">
      <c r="A25" s="8" t="n"/>
      <c r="B25" s="8" t="n"/>
      <c r="C25" s="38" t="n">
        <v>5</v>
      </c>
      <c r="D25" s="39">
        <f>IF(SUM(Carteira!$C$5:$C$35)=0,"",'Base Painel'!G9)</f>
        <v/>
      </c>
      <c r="E25" s="40" t="n"/>
      <c r="F25" s="41">
        <f>IF(SUM(Carteira!$C$5:$C$35)=0,"",'Base Painel'!H9)</f>
        <v/>
      </c>
      <c r="G25" s="40" t="n"/>
      <c r="H25" s="40" t="n"/>
      <c r="I25" s="42">
        <f>IF(SUM(Carteira!$C$5:$C$35)=0,"",'Base Painel'!AJ9)</f>
        <v/>
      </c>
      <c r="J25" s="40" t="n"/>
      <c r="K25" s="40" t="n"/>
      <c r="L25" s="8" t="n"/>
      <c r="M25" s="38" t="n">
        <v>5</v>
      </c>
      <c r="N25" s="39">
        <f>IF(SUM(Carteira!$C$5:$C$35)=0,"",'Base Painel'!K9)</f>
        <v/>
      </c>
      <c r="O25" s="40" t="n"/>
      <c r="P25" s="43">
        <f>IF(SUM(Carteira!$C$5:$C$35)=0,"",'Base Painel'!L9)</f>
        <v/>
      </c>
      <c r="Q25" s="40" t="n"/>
      <c r="R25" s="40" t="n"/>
      <c r="S25" s="41">
        <f>IF(SUM(Carteira!$C$5:$C$35)=0,"",'Base Painel'!M9)</f>
        <v/>
      </c>
      <c r="T25" s="40" t="n"/>
      <c r="U25" s="40" t="n"/>
      <c r="V25" s="8" t="n"/>
      <c r="W25" s="38" t="n">
        <v>5</v>
      </c>
      <c r="X25" s="39">
        <f>IF(SUM(Carteira!$C$5:$C$35)=0,"",'Base Painel'!P9)</f>
        <v/>
      </c>
      <c r="Y25" s="40" t="n"/>
      <c r="Z25" s="43">
        <f>IF(SUM(Carteira!$C$5:$C$35)=0,"",'Base Painel'!Q9)</f>
        <v/>
      </c>
      <c r="AA25" s="40" t="n"/>
      <c r="AB25" s="40" t="n"/>
      <c r="AC25" s="41">
        <f>IF(SUM(Carteira!$C$5:$C$35)=0,"",'Base Painel'!R9)</f>
        <v/>
      </c>
      <c r="AD25" s="40" t="n"/>
      <c r="AE25" s="40" t="n"/>
      <c r="AF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</row>
    <row r="27">
      <c r="A27" s="8" t="n"/>
      <c r="B27" s="8" t="n"/>
      <c r="C27" s="10" t="inlineStr">
        <is>
          <t>Composição e resultado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11" t="inlineStr">
        <is>
          <t>barras ordenadas da maior para a menor</t>
        </is>
      </c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</row>
    <row r="45">
      <c r="A45" s="8" t="n"/>
      <c r="B45" s="8" t="n"/>
      <c r="C45" s="10" t="inlineStr">
        <is>
          <t>Meta de renda por ativo</t>
        </is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</row>
    <row r="63">
      <c r="A63" s="8" t="n"/>
      <c r="B63" s="8" t="n"/>
      <c r="C63" s="10" t="inlineStr">
        <is>
          <t>Proventos e rebalanceamento</t>
        </is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</row>
    <row r="81">
      <c r="A81" s="8" t="n"/>
      <c r="B81" s="8" t="n"/>
      <c r="C81" s="10" t="inlineStr">
        <is>
          <t>Alocação por classe</t>
        </is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11" t="inlineStr">
        <is>
          <t>valores de outras classes e pesos ideais: aba Premissas</t>
        </is>
      </c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</row>
    <row r="83" ht="22" customHeight="1">
      <c r="A83" s="8" t="n"/>
      <c r="B83" s="8" t="n"/>
      <c r="C83" s="44" t="inlineStr">
        <is>
          <t>Classe</t>
        </is>
      </c>
      <c r="H83" s="44" t="inlineStr">
        <is>
          <t>Valor (R$)</t>
        </is>
      </c>
      <c r="M83" s="44" t="inlineStr">
        <is>
          <t>Peso atual</t>
        </is>
      </c>
      <c r="Q83" s="44" t="inlineStr">
        <is>
          <t>Peso ideal</t>
        </is>
      </c>
      <c r="U83" s="44" t="inlineStr">
        <is>
          <t>Desvio</t>
        </is>
      </c>
      <c r="Y83" s="44" t="inlineStr">
        <is>
          <t>Aporte p/ ideal (R$)</t>
        </is>
      </c>
      <c r="AF83" s="8" t="n"/>
    </row>
    <row r="84" ht="20" customHeight="1">
      <c r="A84" s="8" t="n"/>
      <c r="B84" s="8" t="n"/>
      <c r="C84" s="45" t="inlineStr">
        <is>
          <t>Ações</t>
        </is>
      </c>
      <c r="D84" s="46" t="n"/>
      <c r="E84" s="46" t="n"/>
      <c r="F84" s="46" t="n"/>
      <c r="G84" s="46" t="n"/>
      <c r="H84" s="47">
        <f>Carteira!G38</f>
        <v/>
      </c>
      <c r="I84" s="46" t="n"/>
      <c r="J84" s="46" t="n"/>
      <c r="K84" s="46" t="n"/>
      <c r="L84" s="46" t="n"/>
      <c r="M84" s="48">
        <f>IF($H$89&gt;0,H84/$H$89,0)</f>
        <v/>
      </c>
      <c r="N84" s="46" t="n"/>
      <c r="O84" s="46" t="n"/>
      <c r="P84" s="46" t="n"/>
      <c r="Q84" s="49">
        <f>PESO_RV*SUMIFS(Ativos!$F$5:$F$35,Ativos!$B$5:$B$35,"AÇÃO")/Ativos!$F$36</f>
        <v/>
      </c>
      <c r="R84" s="46" t="n"/>
      <c r="S84" s="46" t="n"/>
      <c r="T84" s="46" t="n"/>
      <c r="U84" s="50">
        <f>M84-Q84</f>
        <v/>
      </c>
      <c r="V84" s="46" t="n"/>
      <c r="W84" s="46" t="n"/>
      <c r="X84" s="46" t="n"/>
      <c r="Y84" s="51">
        <f>MAX(0,Q84*$H$89-H84)</f>
        <v/>
      </c>
      <c r="Z84" s="46" t="n"/>
      <c r="AA84" s="46" t="n"/>
      <c r="AB84" s="46" t="n"/>
      <c r="AC84" s="46" t="n"/>
      <c r="AD84" s="46" t="n"/>
      <c r="AE84" s="46" t="n"/>
      <c r="AF84" s="8" t="n"/>
    </row>
    <row r="85" ht="20" customHeight="1">
      <c r="A85" s="8" t="n"/>
      <c r="B85" s="8" t="n"/>
      <c r="C85" s="52" t="inlineStr">
        <is>
          <t>FIIs</t>
        </is>
      </c>
      <c r="D85" s="53" t="n"/>
      <c r="E85" s="53" t="n"/>
      <c r="F85" s="53" t="n"/>
      <c r="G85" s="53" t="n"/>
      <c r="H85" s="54">
        <f>Carteira!G39</f>
        <v/>
      </c>
      <c r="I85" s="53" t="n"/>
      <c r="J85" s="53" t="n"/>
      <c r="K85" s="53" t="n"/>
      <c r="L85" s="53" t="n"/>
      <c r="M85" s="55">
        <f>IF($H$89&gt;0,H85/$H$89,0)</f>
        <v/>
      </c>
      <c r="N85" s="53" t="n"/>
      <c r="O85" s="53" t="n"/>
      <c r="P85" s="53" t="n"/>
      <c r="Q85" s="56">
        <f>PESO_RV*SUMIFS(Ativos!$F$5:$F$35,Ativos!$B$5:$B$35,"FII")/Ativos!$F$36</f>
        <v/>
      </c>
      <c r="R85" s="53" t="n"/>
      <c r="S85" s="53" t="n"/>
      <c r="T85" s="53" t="n"/>
      <c r="U85" s="57">
        <f>M85-Q85</f>
        <v/>
      </c>
      <c r="V85" s="53" t="n"/>
      <c r="W85" s="53" t="n"/>
      <c r="X85" s="53" t="n"/>
      <c r="Y85" s="58">
        <f>MAX(0,Q85*$H$89-H85)</f>
        <v/>
      </c>
      <c r="Z85" s="53" t="n"/>
      <c r="AA85" s="53" t="n"/>
      <c r="AB85" s="53" t="n"/>
      <c r="AC85" s="53" t="n"/>
      <c r="AD85" s="53" t="n"/>
      <c r="AE85" s="53" t="n"/>
      <c r="AF85" s="8" t="n"/>
    </row>
    <row r="86" ht="20" customHeight="1">
      <c r="A86" s="8" t="n"/>
      <c r="B86" s="8" t="n"/>
      <c r="C86" s="45">
        <f>Premissas!A11</f>
        <v/>
      </c>
      <c r="D86" s="46" t="n"/>
      <c r="E86" s="46" t="n"/>
      <c r="F86" s="46" t="n"/>
      <c r="G86" s="46" t="n"/>
      <c r="H86" s="47">
        <f>Premissas!B11</f>
        <v/>
      </c>
      <c r="I86" s="46" t="n"/>
      <c r="J86" s="46" t="n"/>
      <c r="K86" s="46" t="n"/>
      <c r="L86" s="46" t="n"/>
      <c r="M86" s="48">
        <f>IF($H$89&gt;0,H86/$H$89,0)</f>
        <v/>
      </c>
      <c r="N86" s="46" t="n"/>
      <c r="O86" s="46" t="n"/>
      <c r="P86" s="46" t="n"/>
      <c r="Q86" s="49">
        <f>Premissas!C11</f>
        <v/>
      </c>
      <c r="R86" s="46" t="n"/>
      <c r="S86" s="46" t="n"/>
      <c r="T86" s="46" t="n"/>
      <c r="U86" s="50">
        <f>M86-Q86</f>
        <v/>
      </c>
      <c r="V86" s="46" t="n"/>
      <c r="W86" s="46" t="n"/>
      <c r="X86" s="46" t="n"/>
      <c r="Y86" s="51">
        <f>MAX(0,Q86*$H$89-H86)</f>
        <v/>
      </c>
      <c r="Z86" s="46" t="n"/>
      <c r="AA86" s="46" t="n"/>
      <c r="AB86" s="46" t="n"/>
      <c r="AC86" s="46" t="n"/>
      <c r="AD86" s="46" t="n"/>
      <c r="AE86" s="46" t="n"/>
      <c r="AF86" s="8" t="n"/>
    </row>
    <row r="87" ht="20" customHeight="1">
      <c r="A87" s="8" t="n"/>
      <c r="B87" s="8" t="n"/>
      <c r="C87" s="52">
        <f>Premissas!A12</f>
        <v/>
      </c>
      <c r="D87" s="53" t="n"/>
      <c r="E87" s="53" t="n"/>
      <c r="F87" s="53" t="n"/>
      <c r="G87" s="53" t="n"/>
      <c r="H87" s="54">
        <f>Premissas!B12</f>
        <v/>
      </c>
      <c r="I87" s="53" t="n"/>
      <c r="J87" s="53" t="n"/>
      <c r="K87" s="53" t="n"/>
      <c r="L87" s="53" t="n"/>
      <c r="M87" s="55">
        <f>IF($H$89&gt;0,H87/$H$89,0)</f>
        <v/>
      </c>
      <c r="N87" s="53" t="n"/>
      <c r="O87" s="53" t="n"/>
      <c r="P87" s="53" t="n"/>
      <c r="Q87" s="56">
        <f>Premissas!C12</f>
        <v/>
      </c>
      <c r="R87" s="53" t="n"/>
      <c r="S87" s="53" t="n"/>
      <c r="T87" s="53" t="n"/>
      <c r="U87" s="57">
        <f>M87-Q87</f>
        <v/>
      </c>
      <c r="V87" s="53" t="n"/>
      <c r="W87" s="53" t="n"/>
      <c r="X87" s="53" t="n"/>
      <c r="Y87" s="58">
        <f>MAX(0,Q87*$H$89-H87)</f>
        <v/>
      </c>
      <c r="Z87" s="53" t="n"/>
      <c r="AA87" s="53" t="n"/>
      <c r="AB87" s="53" t="n"/>
      <c r="AC87" s="53" t="n"/>
      <c r="AD87" s="53" t="n"/>
      <c r="AE87" s="53" t="n"/>
      <c r="AF87" s="8" t="n"/>
    </row>
    <row r="88" ht="20" customHeight="1">
      <c r="A88" s="8" t="n"/>
      <c r="B88" s="8" t="n"/>
      <c r="C88" s="45">
        <f>Premissas!A13</f>
        <v/>
      </c>
      <c r="D88" s="46" t="n"/>
      <c r="E88" s="46" t="n"/>
      <c r="F88" s="46" t="n"/>
      <c r="G88" s="46" t="n"/>
      <c r="H88" s="47">
        <f>Premissas!B13</f>
        <v/>
      </c>
      <c r="I88" s="46" t="n"/>
      <c r="J88" s="46" t="n"/>
      <c r="K88" s="46" t="n"/>
      <c r="L88" s="46" t="n"/>
      <c r="M88" s="48">
        <f>IF($H$89&gt;0,H88/$H$89,0)</f>
        <v/>
      </c>
      <c r="N88" s="46" t="n"/>
      <c r="O88" s="46" t="n"/>
      <c r="P88" s="46" t="n"/>
      <c r="Q88" s="49">
        <f>Premissas!C13</f>
        <v/>
      </c>
      <c r="R88" s="46" t="n"/>
      <c r="S88" s="46" t="n"/>
      <c r="T88" s="46" t="n"/>
      <c r="U88" s="50">
        <f>M88-Q88</f>
        <v/>
      </c>
      <c r="V88" s="46" t="n"/>
      <c r="W88" s="46" t="n"/>
      <c r="X88" s="46" t="n"/>
      <c r="Y88" s="51">
        <f>MAX(0,Q88*$H$89-H88)</f>
        <v/>
      </c>
      <c r="Z88" s="46" t="n"/>
      <c r="AA88" s="46" t="n"/>
      <c r="AB88" s="46" t="n"/>
      <c r="AC88" s="46" t="n"/>
      <c r="AD88" s="46" t="n"/>
      <c r="AE88" s="46" t="n"/>
      <c r="AF88" s="8" t="n"/>
    </row>
    <row r="89" ht="20" customHeight="1">
      <c r="A89" s="8" t="n"/>
      <c r="B89" s="8" t="n"/>
      <c r="C89" s="59" t="inlineStr">
        <is>
          <t>TOTAL</t>
        </is>
      </c>
      <c r="D89" s="60" t="n"/>
      <c r="E89" s="60" t="n"/>
      <c r="F89" s="60" t="n"/>
      <c r="G89" s="60" t="n"/>
      <c r="H89" s="61">
        <f>SUM(H84:H88)</f>
        <v/>
      </c>
      <c r="I89" s="60" t="n"/>
      <c r="J89" s="60" t="n"/>
      <c r="K89" s="60" t="n"/>
      <c r="L89" s="60" t="n"/>
      <c r="M89" s="62">
        <f>SUM(M84:M88)</f>
        <v/>
      </c>
      <c r="N89" s="60" t="n"/>
      <c r="O89" s="60" t="n"/>
      <c r="P89" s="60" t="n"/>
      <c r="Q89" s="62">
        <f>SUM(Q84:Q88)</f>
        <v/>
      </c>
      <c r="R89" s="60" t="n"/>
      <c r="S89" s="60" t="n"/>
      <c r="T89" s="60" t="n"/>
      <c r="U89" s="63" t="n"/>
      <c r="V89" s="60" t="n"/>
      <c r="W89" s="60" t="n"/>
      <c r="X89" s="60" t="n"/>
      <c r="Y89" s="61">
        <f>SUM(Y84:Y88)</f>
        <v/>
      </c>
      <c r="Z89" s="60" t="n"/>
      <c r="AA89" s="60" t="n"/>
      <c r="AB89" s="60" t="n"/>
      <c r="AC89" s="60" t="n"/>
      <c r="AD89" s="60" t="n"/>
      <c r="AE89" s="60" t="n"/>
      <c r="AF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</row>
  </sheetData>
  <mergeCells count="156">
    <mergeCell ref="D20:E20"/>
    <mergeCell ref="C23"/>
    <mergeCell ref="C83:G83"/>
    <mergeCell ref="AB8:AE8"/>
    <mergeCell ref="Y84:AE84"/>
    <mergeCell ref="N20:O20"/>
    <mergeCell ref="W9:Z9"/>
    <mergeCell ref="S23:U23"/>
    <mergeCell ref="AC23:AE23"/>
    <mergeCell ref="M24"/>
    <mergeCell ref="Q86:T86"/>
    <mergeCell ref="D22:E22"/>
    <mergeCell ref="Y86:AE86"/>
    <mergeCell ref="M14:P14"/>
    <mergeCell ref="N22:O22"/>
    <mergeCell ref="C13:F13"/>
    <mergeCell ref="I24:K24"/>
    <mergeCell ref="W13:Z13"/>
    <mergeCell ref="F22:H22"/>
    <mergeCell ref="H83:L83"/>
    <mergeCell ref="S24:U24"/>
    <mergeCell ref="C15:F15"/>
    <mergeCell ref="Q87:T87"/>
    <mergeCell ref="Z20:AB20"/>
    <mergeCell ref="W15:Z15"/>
    <mergeCell ref="H85:L85"/>
    <mergeCell ref="AB14:AE14"/>
    <mergeCell ref="H9:K9"/>
    <mergeCell ref="R13:U13"/>
    <mergeCell ref="C19:K19"/>
    <mergeCell ref="X20:Y20"/>
    <mergeCell ref="M88:P88"/>
    <mergeCell ref="M19:U19"/>
    <mergeCell ref="M20"/>
    <mergeCell ref="C25"/>
    <mergeCell ref="W20"/>
    <mergeCell ref="S25:U25"/>
    <mergeCell ref="Q88:T88"/>
    <mergeCell ref="M22"/>
    <mergeCell ref="D24:E24"/>
    <mergeCell ref="W22"/>
    <mergeCell ref="Y88:AE88"/>
    <mergeCell ref="N24:O24"/>
    <mergeCell ref="B1:AF1"/>
    <mergeCell ref="F21:H21"/>
    <mergeCell ref="M85:P85"/>
    <mergeCell ref="H13:K13"/>
    <mergeCell ref="M8:P8"/>
    <mergeCell ref="I22:K22"/>
    <mergeCell ref="C86:G86"/>
    <mergeCell ref="AB13:AE13"/>
    <mergeCell ref="U83:X83"/>
    <mergeCell ref="AB7:AE7"/>
    <mergeCell ref="N25:O25"/>
    <mergeCell ref="H15:K15"/>
    <mergeCell ref="I21:K21"/>
    <mergeCell ref="M23"/>
    <mergeCell ref="AC20:AE20"/>
    <mergeCell ref="U85:X85"/>
    <mergeCell ref="W14:Z14"/>
    <mergeCell ref="H8:K8"/>
    <mergeCell ref="R8:U8"/>
    <mergeCell ref="C85:G85"/>
    <mergeCell ref="I23:K23"/>
    <mergeCell ref="C4:AE4"/>
    <mergeCell ref="AC22:AE22"/>
    <mergeCell ref="M87:P87"/>
    <mergeCell ref="C24"/>
    <mergeCell ref="C84:G84"/>
    <mergeCell ref="W24"/>
    <mergeCell ref="C14:F14"/>
    <mergeCell ref="AC21:AE21"/>
    <mergeCell ref="W19:AE19"/>
    <mergeCell ref="H84:L84"/>
    <mergeCell ref="Y2:AE2"/>
    <mergeCell ref="P20:R20"/>
    <mergeCell ref="F25:H25"/>
    <mergeCell ref="M13:P13"/>
    <mergeCell ref="M25"/>
    <mergeCell ref="M7:P7"/>
    <mergeCell ref="H86:L86"/>
    <mergeCell ref="D23:E23"/>
    <mergeCell ref="P22:R22"/>
    <mergeCell ref="U87:X87"/>
    <mergeCell ref="C87:G87"/>
    <mergeCell ref="I25:K25"/>
    <mergeCell ref="F24:H24"/>
    <mergeCell ref="Q89:T89"/>
    <mergeCell ref="P21:R21"/>
    <mergeCell ref="X21:Y21"/>
    <mergeCell ref="U89:X89"/>
    <mergeCell ref="C8:F8"/>
    <mergeCell ref="W8:Z8"/>
    <mergeCell ref="C89:G89"/>
    <mergeCell ref="P23:R23"/>
    <mergeCell ref="X23:Y23"/>
    <mergeCell ref="C88:G88"/>
    <mergeCell ref="F23:H23"/>
    <mergeCell ref="W23"/>
    <mergeCell ref="H14:K14"/>
    <mergeCell ref="AC25:AE25"/>
    <mergeCell ref="H89:L89"/>
    <mergeCell ref="M83:P83"/>
    <mergeCell ref="I20:K20"/>
    <mergeCell ref="M9:P9"/>
    <mergeCell ref="S20:U20"/>
    <mergeCell ref="U84:X84"/>
    <mergeCell ref="H88:L88"/>
    <mergeCell ref="Z24:AB24"/>
    <mergeCell ref="Q83:T83"/>
    <mergeCell ref="Y83:AE83"/>
    <mergeCell ref="R7:U7"/>
    <mergeCell ref="S22:U22"/>
    <mergeCell ref="U86:X86"/>
    <mergeCell ref="Q85:T85"/>
    <mergeCell ref="D25:E25"/>
    <mergeCell ref="H87:L87"/>
    <mergeCell ref="S21:U21"/>
    <mergeCell ref="Y85:AE85"/>
    <mergeCell ref="AB9:AE9"/>
    <mergeCell ref="P25:R25"/>
    <mergeCell ref="W7:Z7"/>
    <mergeCell ref="X22:Y22"/>
    <mergeCell ref="M89:P89"/>
    <mergeCell ref="F20:H20"/>
    <mergeCell ref="AC24:AE24"/>
    <mergeCell ref="Z22:AB22"/>
    <mergeCell ref="C7:F7"/>
    <mergeCell ref="Z21:AB21"/>
    <mergeCell ref="D21:E21"/>
    <mergeCell ref="R9:U9"/>
    <mergeCell ref="U88:X88"/>
    <mergeCell ref="N21:O21"/>
    <mergeCell ref="R14:U14"/>
    <mergeCell ref="Z23:AB23"/>
    <mergeCell ref="W25"/>
    <mergeCell ref="Y87:AE87"/>
    <mergeCell ref="AB15:AE15"/>
    <mergeCell ref="N23:O23"/>
    <mergeCell ref="C20"/>
    <mergeCell ref="P24:R24"/>
    <mergeCell ref="X24:Y24"/>
    <mergeCell ref="Y89:AE89"/>
    <mergeCell ref="R15:U15"/>
    <mergeCell ref="C22"/>
    <mergeCell ref="C9:F9"/>
    <mergeCell ref="M84:P84"/>
    <mergeCell ref="C21"/>
    <mergeCell ref="X25:Y25"/>
    <mergeCell ref="M21"/>
    <mergeCell ref="W21"/>
    <mergeCell ref="H7:K7"/>
    <mergeCell ref="M15:P15"/>
    <mergeCell ref="M86:P86"/>
    <mergeCell ref="Q84:T84"/>
    <mergeCell ref="Z25:AB25"/>
  </mergeCells>
  <conditionalFormatting sqref="W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P21:U25">
    <cfRule type="cellIs" priority="3" operator="lessThan" dxfId="2">
      <formula>0</formula>
    </cfRule>
    <cfRule type="cellIs" priority="4" operator="greaterThan" dxfId="3">
      <formula>0</formula>
    </cfRule>
  </conditionalFormatting>
  <conditionalFormatting sqref="Z21:AE25">
    <cfRule type="cellIs" priority="5" operator="lessThan" dxfId="2">
      <formula>0</formula>
    </cfRule>
    <cfRule type="cellIs" priority="6" operator="greaterThan" dxfId="3">
      <formula>0</formula>
    </cfRule>
  </conditionalFormatting>
  <conditionalFormatting sqref="U84:U88">
    <cfRule type="cellIs" priority="7" operator="lessThan" dxfId="4">
      <formula>0</formula>
    </cfRule>
    <cfRule type="cellIs" priority="8" operator="greaterThan" dxfId="5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landscape" fitToHeight="0" fitToWidth="1"/>
  <rowBreaks count="2" manualBreakCount="2">
    <brk id="26" min="0" max="16383" man="1"/>
    <brk id="62" min="0" max="16383" man="1"/>
  </rowBreaks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AN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12" customWidth="1" min="4" max="4"/>
    <col width="15" customWidth="1" min="5" max="5"/>
    <col width="11" customWidth="1" min="6" max="6"/>
    <col width="15" customWidth="1" min="7" max="7"/>
    <col width="15" customWidth="1" min="8" max="8"/>
    <col width="11" customWidth="1" min="9" max="9"/>
    <col width="14" customWidth="1" min="10" max="10"/>
    <col width="13" customWidth="1" min="11" max="11"/>
    <col width="14" customWidth="1" min="12" max="12"/>
    <col width="11" customWidth="1" min="13" max="13"/>
    <col width="10" customWidth="1" min="14" max="14"/>
    <col width="9" customWidth="1" min="15" max="15"/>
    <col width="9" customWidth="1" min="16" max="16"/>
    <col width="9" customWidth="1" min="17" max="17"/>
    <col width="10" customWidth="1" min="18" max="18"/>
    <col width="15" customWidth="1" min="19" max="19"/>
    <col width="13" customWidth="1" min="20" max="20"/>
    <col width="13" customWidth="1" min="21" max="21"/>
    <col width="13" customWidth="1" min="22" max="22"/>
    <col width="10" customWidth="1" min="23" max="23"/>
    <col width="11" customWidth="1" min="24" max="24"/>
    <col width="11" customWidth="1" min="25" max="25"/>
    <col width="14" customWidth="1" min="26" max="26"/>
    <col width="12" customWidth="1" min="27" max="27"/>
    <col width="22" customWidth="1" min="28" max="28"/>
  </cols>
  <sheetData>
    <row r="1" ht="30" customHeight="1">
      <c r="A1" s="1" t="n"/>
      <c r="B1" s="2" t="inlineStr">
        <is>
          <t>◆ InvestERP        Painel     Carteira     Análises     ✚ Lançar     Lançamentos     Proventos     Premissas     Verificar</t>
        </is>
      </c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34" customHeight="1">
      <c r="A2" s="64" t="inlineStr">
        <is>
          <t>Carteira</t>
        </is>
      </c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5" t="n"/>
      <c r="W2" s="65" t="n"/>
      <c r="X2" s="65" t="n"/>
      <c r="Y2" s="65" t="n"/>
      <c r="Z2" s="65" t="n"/>
      <c r="AA2" s="65" t="n"/>
      <c r="AB2" s="65" t="n"/>
    </row>
    <row r="3" ht="16" customHeight="1">
      <c r="A3" s="66" t="inlineStr">
        <is>
          <t>Cada ação/FII em uma linha só: posição, proventos, peso e meta de renda — calculado, não digite aqui.</t>
        </is>
      </c>
    </row>
    <row r="4" ht="32" customHeight="1">
      <c r="A4" s="67" t="inlineStr">
        <is>
          <t>Ticker</t>
        </is>
      </c>
      <c r="B4" s="67" t="inlineStr">
        <is>
          <t>Tipo</t>
        </is>
      </c>
      <c r="C4" s="67" t="inlineStr">
        <is>
          <t>Qtd atual</t>
        </is>
      </c>
      <c r="D4" s="67" t="inlineStr">
        <is>
          <t>Preço médio (R$)</t>
        </is>
      </c>
      <c r="E4" s="67" t="inlineStr">
        <is>
          <t>Valor investido (R$)</t>
        </is>
      </c>
      <c r="F4" s="67" t="inlineStr">
        <is>
          <t>Cotação (R$)</t>
        </is>
      </c>
      <c r="G4" s="67" t="inlineStr">
        <is>
          <t>Posição atual (R$)</t>
        </is>
      </c>
      <c r="H4" s="67" t="inlineStr">
        <is>
          <t>Lucro / prejuízo (R$)</t>
        </is>
      </c>
      <c r="I4" s="67" t="inlineStr">
        <is>
          <t>Valorização</t>
        </is>
      </c>
      <c r="J4" s="67" t="inlineStr">
        <is>
          <t>Proventos recebidos (R$)</t>
        </is>
      </c>
      <c r="K4" s="67" t="inlineStr">
        <is>
          <t>Proventos 12m (R$)</t>
        </is>
      </c>
      <c r="L4" s="67" t="inlineStr">
        <is>
          <t>Retorno total (R$)</t>
        </is>
      </c>
      <c r="M4" s="67" t="inlineStr">
        <is>
          <t>Retorno total %</t>
        </is>
      </c>
      <c r="N4" s="67" t="inlineStr">
        <is>
          <t>Yield on cost</t>
        </is>
      </c>
      <c r="O4" s="67" t="inlineStr">
        <is>
          <t>DY atual</t>
        </is>
      </c>
      <c r="P4" s="67" t="inlineStr">
        <is>
          <t>Peso atual</t>
        </is>
      </c>
      <c r="Q4" s="67" t="inlineStr">
        <is>
          <t>Peso ideal</t>
        </is>
      </c>
      <c r="R4" s="67" t="inlineStr">
        <is>
          <t>Desvio do peso</t>
        </is>
      </c>
      <c r="S4" s="67" t="inlineStr">
        <is>
          <t>Aporte p/ peso ideal (R$)</t>
        </is>
      </c>
      <c r="T4" s="67" t="inlineStr">
        <is>
          <t>Provento 12m por cota (R$)</t>
        </is>
      </c>
      <c r="U4" s="67" t="inlineStr">
        <is>
          <t>Provento mensal por cota (R$)</t>
        </is>
      </c>
      <c r="V4" s="67" t="inlineStr">
        <is>
          <t>Renda mensal (R$)</t>
        </is>
      </c>
      <c r="W4" s="67" t="inlineStr">
        <is>
          <t>% da meta</t>
        </is>
      </c>
      <c r="X4" s="67" t="inlineStr">
        <is>
          <t>Cotas p/ meta</t>
        </is>
      </c>
      <c r="Y4" s="67" t="inlineStr">
        <is>
          <t>Cotas faltantes</t>
        </is>
      </c>
      <c r="Z4" s="67" t="inlineStr">
        <is>
          <t>Aporte p/ meta (R$)</t>
        </is>
      </c>
      <c r="AA4" s="67" t="inlineStr">
        <is>
          <t>Meses p/ meta</t>
        </is>
      </c>
      <c r="AB4" s="67" t="inlineStr">
        <is>
          <t>Segmento</t>
        </is>
      </c>
    </row>
    <row r="5">
      <c r="A5" s="68">
        <f>IF(Ativos!A5="","",Ativos!A5)</f>
        <v/>
      </c>
      <c r="B5" s="68">
        <f>IF(Ativos!B5="","",Ativos!B5)</f>
        <v/>
      </c>
      <c r="C5" s="69">
        <f>SUMIFS('Lançamentos'!$D$5:$D$5000,'Lançamentos'!$B$5:$B$5000,A5,'Lançamentos'!$C$5:$C$5000,"COMPRA")-SUMIFS('Lançamentos'!$D$5:$D$5000,'Lançamentos'!$B$5:$B$5000,A5,'Lançamentos'!$C$5:$C$5000,"VENDA")</f>
        <v/>
      </c>
      <c r="D5" s="70">
        <f>IFERROR(SUMIFS('Lançamentos'!$G$5:$G$5000,'Lançamentos'!$B$5:$B$5000,A5,'Lançamentos'!$C$5:$C$5000,"COMPRA")/SUMIFS('Lançamentos'!$D$5:$D$5000,'Lançamentos'!$B$5:$B$5000,A5,'Lançamentos'!$C$5:$C$5000,"COMPRA"),0)</f>
        <v/>
      </c>
      <c r="E5" s="70">
        <f>C5*D5</f>
        <v/>
      </c>
      <c r="F5" s="71">
        <f>N(Ativos!D5)</f>
        <v/>
      </c>
      <c r="G5" s="70">
        <f>C5*F5</f>
        <v/>
      </c>
      <c r="H5" s="70">
        <f>G5-E5</f>
        <v/>
      </c>
      <c r="I5" s="72">
        <f>IF(E5&gt;0,H5/E5,0)</f>
        <v/>
      </c>
      <c r="J5" s="70">
        <f>SUMIFS(Proventos!$F$5:$F$5000,Proventos!$B$5:$B$5000,A5)</f>
        <v/>
      </c>
      <c r="K5" s="70">
        <f>SUMIFS(Proventos!$F$5:$F$5000,Proventos!$B$5:$B$5000,A5,Proventos!$A$5:$A$5000,"&gt;="&amp;(TODAY()-365))</f>
        <v/>
      </c>
      <c r="L5" s="70">
        <f>H5+J5</f>
        <v/>
      </c>
      <c r="M5" s="72">
        <f>IF(E5&gt;0,L5/E5,0)</f>
        <v/>
      </c>
      <c r="N5" s="72">
        <f>IF(D5&gt;0,T5/D5,0)</f>
        <v/>
      </c>
      <c r="O5" s="72">
        <f>IF(F5&gt;0,T5/F5,0)</f>
        <v/>
      </c>
      <c r="P5" s="72">
        <f>IF($G$36&gt;0,G5/$G$36,0)</f>
        <v/>
      </c>
      <c r="Q5" s="73">
        <f>N(Ativos!F5)</f>
        <v/>
      </c>
      <c r="R5" s="72">
        <f>P5-Q5</f>
        <v/>
      </c>
      <c r="S5" s="70">
        <f>MAX(0,Q5*$G$36-G5)</f>
        <v/>
      </c>
      <c r="T5" s="71">
        <f>N(Ativos!E5)</f>
        <v/>
      </c>
      <c r="U5" s="74">
        <f>T5/12</f>
        <v/>
      </c>
      <c r="V5" s="70">
        <f>C5*U5</f>
        <v/>
      </c>
      <c r="W5" s="72">
        <f>IF(META_MENSAL&gt;0,MIN(1,V5/META_MENSAL),0)</f>
        <v/>
      </c>
      <c r="X5" s="69">
        <f>IF(U5&gt;0,ROUNDUP(META_MENSAL/U5,0),0)</f>
        <v/>
      </c>
      <c r="Y5" s="69">
        <f>MAX(0,X5-C5)</f>
        <v/>
      </c>
      <c r="Z5" s="75">
        <f>Y5*F5</f>
        <v/>
      </c>
      <c r="AA5" s="76">
        <f>IF(APORTE_MENSAL&gt;0,ROUNDUP(Z5/APORTE_MENSAL,0),0)</f>
        <v/>
      </c>
      <c r="AB5" s="68">
        <f>IF(Ativos!C5="","",Ativos!C5)</f>
        <v/>
      </c>
    </row>
    <row r="6">
      <c r="A6" s="77">
        <f>IF(Ativos!A6="","",Ativos!A6)</f>
        <v/>
      </c>
      <c r="B6" s="77">
        <f>IF(Ativos!B6="","",Ativos!B6)</f>
        <v/>
      </c>
      <c r="C6" s="78">
        <f>SUMIFS('Lançamentos'!$D$5:$D$5000,'Lançamentos'!$B$5:$B$5000,A6,'Lançamentos'!$C$5:$C$5000,"COMPRA")-SUMIFS('Lançamentos'!$D$5:$D$5000,'Lançamentos'!$B$5:$B$5000,A6,'Lançamentos'!$C$5:$C$5000,"VENDA")</f>
        <v/>
      </c>
      <c r="D6" s="79">
        <f>IFERROR(SUMIFS('Lançamentos'!$G$5:$G$5000,'Lançamentos'!$B$5:$B$5000,A6,'Lançamentos'!$C$5:$C$5000,"COMPRA")/SUMIFS('Lançamentos'!$D$5:$D$5000,'Lançamentos'!$B$5:$B$5000,A6,'Lançamentos'!$C$5:$C$5000,"COMPRA"),0)</f>
        <v/>
      </c>
      <c r="E6" s="79">
        <f>C6*D6</f>
        <v/>
      </c>
      <c r="F6" s="80">
        <f>N(Ativos!D6)</f>
        <v/>
      </c>
      <c r="G6" s="79">
        <f>C6*F6</f>
        <v/>
      </c>
      <c r="H6" s="79">
        <f>G6-E6</f>
        <v/>
      </c>
      <c r="I6" s="81">
        <f>IF(E6&gt;0,H6/E6,0)</f>
        <v/>
      </c>
      <c r="J6" s="79">
        <f>SUMIFS(Proventos!$F$5:$F$5000,Proventos!$B$5:$B$5000,A6)</f>
        <v/>
      </c>
      <c r="K6" s="79">
        <f>SUMIFS(Proventos!$F$5:$F$5000,Proventos!$B$5:$B$5000,A6,Proventos!$A$5:$A$5000,"&gt;="&amp;(TODAY()-365))</f>
        <v/>
      </c>
      <c r="L6" s="79">
        <f>H6+J6</f>
        <v/>
      </c>
      <c r="M6" s="81">
        <f>IF(E6&gt;0,L6/E6,0)</f>
        <v/>
      </c>
      <c r="N6" s="81">
        <f>IF(D6&gt;0,T6/D6,0)</f>
        <v/>
      </c>
      <c r="O6" s="81">
        <f>IF(F6&gt;0,T6/F6,0)</f>
        <v/>
      </c>
      <c r="P6" s="81">
        <f>IF($G$36&gt;0,G6/$G$36,0)</f>
        <v/>
      </c>
      <c r="Q6" s="82">
        <f>N(Ativos!F6)</f>
        <v/>
      </c>
      <c r="R6" s="81">
        <f>P6-Q6</f>
        <v/>
      </c>
      <c r="S6" s="79">
        <f>MAX(0,Q6*$G$36-G6)</f>
        <v/>
      </c>
      <c r="T6" s="80">
        <f>N(Ativos!E6)</f>
        <v/>
      </c>
      <c r="U6" s="83">
        <f>T6/12</f>
        <v/>
      </c>
      <c r="V6" s="79">
        <f>C6*U6</f>
        <v/>
      </c>
      <c r="W6" s="81">
        <f>IF(META_MENSAL&gt;0,MIN(1,V6/META_MENSAL),0)</f>
        <v/>
      </c>
      <c r="X6" s="78">
        <f>IF(U6&gt;0,ROUNDUP(META_MENSAL/U6,0),0)</f>
        <v/>
      </c>
      <c r="Y6" s="78">
        <f>MAX(0,X6-C6)</f>
        <v/>
      </c>
      <c r="Z6" s="84">
        <f>Y6*F6</f>
        <v/>
      </c>
      <c r="AA6" s="85">
        <f>IF(APORTE_MENSAL&gt;0,ROUNDUP(Z6/APORTE_MENSAL,0),0)</f>
        <v/>
      </c>
      <c r="AB6" s="77">
        <f>IF(Ativos!C6="","",Ativos!C6)</f>
        <v/>
      </c>
    </row>
    <row r="7">
      <c r="A7" s="68">
        <f>IF(Ativos!A7="","",Ativos!A7)</f>
        <v/>
      </c>
      <c r="B7" s="68">
        <f>IF(Ativos!B7="","",Ativos!B7)</f>
        <v/>
      </c>
      <c r="C7" s="69">
        <f>SUMIFS('Lançamentos'!$D$5:$D$5000,'Lançamentos'!$B$5:$B$5000,A7,'Lançamentos'!$C$5:$C$5000,"COMPRA")-SUMIFS('Lançamentos'!$D$5:$D$5000,'Lançamentos'!$B$5:$B$5000,A7,'Lançamentos'!$C$5:$C$5000,"VENDA")</f>
        <v/>
      </c>
      <c r="D7" s="70">
        <f>IFERROR(SUMIFS('Lançamentos'!$G$5:$G$5000,'Lançamentos'!$B$5:$B$5000,A7,'Lançamentos'!$C$5:$C$5000,"COMPRA")/SUMIFS('Lançamentos'!$D$5:$D$5000,'Lançamentos'!$B$5:$B$5000,A7,'Lançamentos'!$C$5:$C$5000,"COMPRA"),0)</f>
        <v/>
      </c>
      <c r="E7" s="70">
        <f>C7*D7</f>
        <v/>
      </c>
      <c r="F7" s="71">
        <f>N(Ativos!D7)</f>
        <v/>
      </c>
      <c r="G7" s="70">
        <f>C7*F7</f>
        <v/>
      </c>
      <c r="H7" s="70">
        <f>G7-E7</f>
        <v/>
      </c>
      <c r="I7" s="72">
        <f>IF(E7&gt;0,H7/E7,0)</f>
        <v/>
      </c>
      <c r="J7" s="70">
        <f>SUMIFS(Proventos!$F$5:$F$5000,Proventos!$B$5:$B$5000,A7)</f>
        <v/>
      </c>
      <c r="K7" s="70">
        <f>SUMIFS(Proventos!$F$5:$F$5000,Proventos!$B$5:$B$5000,A7,Proventos!$A$5:$A$5000,"&gt;="&amp;(TODAY()-365))</f>
        <v/>
      </c>
      <c r="L7" s="70">
        <f>H7+J7</f>
        <v/>
      </c>
      <c r="M7" s="72">
        <f>IF(E7&gt;0,L7/E7,0)</f>
        <v/>
      </c>
      <c r="N7" s="72">
        <f>IF(D7&gt;0,T7/D7,0)</f>
        <v/>
      </c>
      <c r="O7" s="72">
        <f>IF(F7&gt;0,T7/F7,0)</f>
        <v/>
      </c>
      <c r="P7" s="72">
        <f>IF($G$36&gt;0,G7/$G$36,0)</f>
        <v/>
      </c>
      <c r="Q7" s="73">
        <f>N(Ativos!F7)</f>
        <v/>
      </c>
      <c r="R7" s="72">
        <f>P7-Q7</f>
        <v/>
      </c>
      <c r="S7" s="70">
        <f>MAX(0,Q7*$G$36-G7)</f>
        <v/>
      </c>
      <c r="T7" s="71">
        <f>N(Ativos!E7)</f>
        <v/>
      </c>
      <c r="U7" s="74">
        <f>T7/12</f>
        <v/>
      </c>
      <c r="V7" s="70">
        <f>C7*U7</f>
        <v/>
      </c>
      <c r="W7" s="72">
        <f>IF(META_MENSAL&gt;0,MIN(1,V7/META_MENSAL),0)</f>
        <v/>
      </c>
      <c r="X7" s="69">
        <f>IF(U7&gt;0,ROUNDUP(META_MENSAL/U7,0),0)</f>
        <v/>
      </c>
      <c r="Y7" s="69">
        <f>MAX(0,X7-C7)</f>
        <v/>
      </c>
      <c r="Z7" s="75">
        <f>Y7*F7</f>
        <v/>
      </c>
      <c r="AA7" s="76">
        <f>IF(APORTE_MENSAL&gt;0,ROUNDUP(Z7/APORTE_MENSAL,0),0)</f>
        <v/>
      </c>
      <c r="AB7" s="68">
        <f>IF(Ativos!C7="","",Ativos!C7)</f>
        <v/>
      </c>
    </row>
    <row r="8">
      <c r="A8" s="77">
        <f>IF(Ativos!A8="","",Ativos!A8)</f>
        <v/>
      </c>
      <c r="B8" s="77">
        <f>IF(Ativos!B8="","",Ativos!B8)</f>
        <v/>
      </c>
      <c r="C8" s="78">
        <f>SUMIFS('Lançamentos'!$D$5:$D$5000,'Lançamentos'!$B$5:$B$5000,A8,'Lançamentos'!$C$5:$C$5000,"COMPRA")-SUMIFS('Lançamentos'!$D$5:$D$5000,'Lançamentos'!$B$5:$B$5000,A8,'Lançamentos'!$C$5:$C$5000,"VENDA")</f>
        <v/>
      </c>
      <c r="D8" s="79">
        <f>IFERROR(SUMIFS('Lançamentos'!$G$5:$G$5000,'Lançamentos'!$B$5:$B$5000,A8,'Lançamentos'!$C$5:$C$5000,"COMPRA")/SUMIFS('Lançamentos'!$D$5:$D$5000,'Lançamentos'!$B$5:$B$5000,A8,'Lançamentos'!$C$5:$C$5000,"COMPRA"),0)</f>
        <v/>
      </c>
      <c r="E8" s="79">
        <f>C8*D8</f>
        <v/>
      </c>
      <c r="F8" s="80">
        <f>N(Ativos!D8)</f>
        <v/>
      </c>
      <c r="G8" s="79">
        <f>C8*F8</f>
        <v/>
      </c>
      <c r="H8" s="79">
        <f>G8-E8</f>
        <v/>
      </c>
      <c r="I8" s="81">
        <f>IF(E8&gt;0,H8/E8,0)</f>
        <v/>
      </c>
      <c r="J8" s="79">
        <f>SUMIFS(Proventos!$F$5:$F$5000,Proventos!$B$5:$B$5000,A8)</f>
        <v/>
      </c>
      <c r="K8" s="79">
        <f>SUMIFS(Proventos!$F$5:$F$5000,Proventos!$B$5:$B$5000,A8,Proventos!$A$5:$A$5000,"&gt;="&amp;(TODAY()-365))</f>
        <v/>
      </c>
      <c r="L8" s="79">
        <f>H8+J8</f>
        <v/>
      </c>
      <c r="M8" s="81">
        <f>IF(E8&gt;0,L8/E8,0)</f>
        <v/>
      </c>
      <c r="N8" s="81">
        <f>IF(D8&gt;0,T8/D8,0)</f>
        <v/>
      </c>
      <c r="O8" s="81">
        <f>IF(F8&gt;0,T8/F8,0)</f>
        <v/>
      </c>
      <c r="P8" s="81">
        <f>IF($G$36&gt;0,G8/$G$36,0)</f>
        <v/>
      </c>
      <c r="Q8" s="82">
        <f>N(Ativos!F8)</f>
        <v/>
      </c>
      <c r="R8" s="81">
        <f>P8-Q8</f>
        <v/>
      </c>
      <c r="S8" s="79">
        <f>MAX(0,Q8*$G$36-G8)</f>
        <v/>
      </c>
      <c r="T8" s="80">
        <f>N(Ativos!E8)</f>
        <v/>
      </c>
      <c r="U8" s="83">
        <f>T8/12</f>
        <v/>
      </c>
      <c r="V8" s="79">
        <f>C8*U8</f>
        <v/>
      </c>
      <c r="W8" s="81">
        <f>IF(META_MENSAL&gt;0,MIN(1,V8/META_MENSAL),0)</f>
        <v/>
      </c>
      <c r="X8" s="78">
        <f>IF(U8&gt;0,ROUNDUP(META_MENSAL/U8,0),0)</f>
        <v/>
      </c>
      <c r="Y8" s="78">
        <f>MAX(0,X8-C8)</f>
        <v/>
      </c>
      <c r="Z8" s="84">
        <f>Y8*F8</f>
        <v/>
      </c>
      <c r="AA8" s="85">
        <f>IF(APORTE_MENSAL&gt;0,ROUNDUP(Z8/APORTE_MENSAL,0),0)</f>
        <v/>
      </c>
      <c r="AB8" s="77">
        <f>IF(Ativos!C8="","",Ativos!C8)</f>
        <v/>
      </c>
    </row>
    <row r="9">
      <c r="A9" s="68">
        <f>IF(Ativos!A9="","",Ativos!A9)</f>
        <v/>
      </c>
      <c r="B9" s="68">
        <f>IF(Ativos!B9="","",Ativos!B9)</f>
        <v/>
      </c>
      <c r="C9" s="69">
        <f>SUMIFS('Lançamentos'!$D$5:$D$5000,'Lançamentos'!$B$5:$B$5000,A9,'Lançamentos'!$C$5:$C$5000,"COMPRA")-SUMIFS('Lançamentos'!$D$5:$D$5000,'Lançamentos'!$B$5:$B$5000,A9,'Lançamentos'!$C$5:$C$5000,"VENDA")</f>
        <v/>
      </c>
      <c r="D9" s="70">
        <f>IFERROR(SUMIFS('Lançamentos'!$G$5:$G$5000,'Lançamentos'!$B$5:$B$5000,A9,'Lançamentos'!$C$5:$C$5000,"COMPRA")/SUMIFS('Lançamentos'!$D$5:$D$5000,'Lançamentos'!$B$5:$B$5000,A9,'Lançamentos'!$C$5:$C$5000,"COMPRA"),0)</f>
        <v/>
      </c>
      <c r="E9" s="70">
        <f>C9*D9</f>
        <v/>
      </c>
      <c r="F9" s="71">
        <f>N(Ativos!D9)</f>
        <v/>
      </c>
      <c r="G9" s="70">
        <f>C9*F9</f>
        <v/>
      </c>
      <c r="H9" s="70">
        <f>G9-E9</f>
        <v/>
      </c>
      <c r="I9" s="72">
        <f>IF(E9&gt;0,H9/E9,0)</f>
        <v/>
      </c>
      <c r="J9" s="70">
        <f>SUMIFS(Proventos!$F$5:$F$5000,Proventos!$B$5:$B$5000,A9)</f>
        <v/>
      </c>
      <c r="K9" s="70">
        <f>SUMIFS(Proventos!$F$5:$F$5000,Proventos!$B$5:$B$5000,A9,Proventos!$A$5:$A$5000,"&gt;="&amp;(TODAY()-365))</f>
        <v/>
      </c>
      <c r="L9" s="70">
        <f>H9+J9</f>
        <v/>
      </c>
      <c r="M9" s="72">
        <f>IF(E9&gt;0,L9/E9,0)</f>
        <v/>
      </c>
      <c r="N9" s="72">
        <f>IF(D9&gt;0,T9/D9,0)</f>
        <v/>
      </c>
      <c r="O9" s="72">
        <f>IF(F9&gt;0,T9/F9,0)</f>
        <v/>
      </c>
      <c r="P9" s="72">
        <f>IF($G$36&gt;0,G9/$G$36,0)</f>
        <v/>
      </c>
      <c r="Q9" s="73">
        <f>N(Ativos!F9)</f>
        <v/>
      </c>
      <c r="R9" s="72">
        <f>P9-Q9</f>
        <v/>
      </c>
      <c r="S9" s="70">
        <f>MAX(0,Q9*$G$36-G9)</f>
        <v/>
      </c>
      <c r="T9" s="71">
        <f>N(Ativos!E9)</f>
        <v/>
      </c>
      <c r="U9" s="74">
        <f>T9/12</f>
        <v/>
      </c>
      <c r="V9" s="70">
        <f>C9*U9</f>
        <v/>
      </c>
      <c r="W9" s="72">
        <f>IF(META_MENSAL&gt;0,MIN(1,V9/META_MENSAL),0)</f>
        <v/>
      </c>
      <c r="X9" s="69">
        <f>IF(U9&gt;0,ROUNDUP(META_MENSAL/U9,0),0)</f>
        <v/>
      </c>
      <c r="Y9" s="69">
        <f>MAX(0,X9-C9)</f>
        <v/>
      </c>
      <c r="Z9" s="75">
        <f>Y9*F9</f>
        <v/>
      </c>
      <c r="AA9" s="76">
        <f>IF(APORTE_MENSAL&gt;0,ROUNDUP(Z9/APORTE_MENSAL,0),0)</f>
        <v/>
      </c>
      <c r="AB9" s="68">
        <f>IF(Ativos!C9="","",Ativos!C9)</f>
        <v/>
      </c>
    </row>
    <row r="10">
      <c r="A10" s="77">
        <f>IF(Ativos!A10="","",Ativos!A10)</f>
        <v/>
      </c>
      <c r="B10" s="77">
        <f>IF(Ativos!B10="","",Ativos!B10)</f>
        <v/>
      </c>
      <c r="C10" s="78">
        <f>SUMIFS('Lançamentos'!$D$5:$D$5000,'Lançamentos'!$B$5:$B$5000,A10,'Lançamentos'!$C$5:$C$5000,"COMPRA")-SUMIFS('Lançamentos'!$D$5:$D$5000,'Lançamentos'!$B$5:$B$5000,A10,'Lançamentos'!$C$5:$C$5000,"VENDA")</f>
        <v/>
      </c>
      <c r="D10" s="79">
        <f>IFERROR(SUMIFS('Lançamentos'!$G$5:$G$5000,'Lançamentos'!$B$5:$B$5000,A10,'Lançamentos'!$C$5:$C$5000,"COMPRA")/SUMIFS('Lançamentos'!$D$5:$D$5000,'Lançamentos'!$B$5:$B$5000,A10,'Lançamentos'!$C$5:$C$5000,"COMPRA"),0)</f>
        <v/>
      </c>
      <c r="E10" s="79">
        <f>C10*D10</f>
        <v/>
      </c>
      <c r="F10" s="80">
        <f>N(Ativos!D10)</f>
        <v/>
      </c>
      <c r="G10" s="79">
        <f>C10*F10</f>
        <v/>
      </c>
      <c r="H10" s="79">
        <f>G10-E10</f>
        <v/>
      </c>
      <c r="I10" s="81">
        <f>IF(E10&gt;0,H10/E10,0)</f>
        <v/>
      </c>
      <c r="J10" s="79">
        <f>SUMIFS(Proventos!$F$5:$F$5000,Proventos!$B$5:$B$5000,A10)</f>
        <v/>
      </c>
      <c r="K10" s="79">
        <f>SUMIFS(Proventos!$F$5:$F$5000,Proventos!$B$5:$B$5000,A10,Proventos!$A$5:$A$5000,"&gt;="&amp;(TODAY()-365))</f>
        <v/>
      </c>
      <c r="L10" s="79">
        <f>H10+J10</f>
        <v/>
      </c>
      <c r="M10" s="81">
        <f>IF(E10&gt;0,L10/E10,0)</f>
        <v/>
      </c>
      <c r="N10" s="81">
        <f>IF(D10&gt;0,T10/D10,0)</f>
        <v/>
      </c>
      <c r="O10" s="81">
        <f>IF(F10&gt;0,T10/F10,0)</f>
        <v/>
      </c>
      <c r="P10" s="81">
        <f>IF($G$36&gt;0,G10/$G$36,0)</f>
        <v/>
      </c>
      <c r="Q10" s="82">
        <f>N(Ativos!F10)</f>
        <v/>
      </c>
      <c r="R10" s="81">
        <f>P10-Q10</f>
        <v/>
      </c>
      <c r="S10" s="79">
        <f>MAX(0,Q10*$G$36-G10)</f>
        <v/>
      </c>
      <c r="T10" s="80">
        <f>N(Ativos!E10)</f>
        <v/>
      </c>
      <c r="U10" s="83">
        <f>T10/12</f>
        <v/>
      </c>
      <c r="V10" s="79">
        <f>C10*U10</f>
        <v/>
      </c>
      <c r="W10" s="81">
        <f>IF(META_MENSAL&gt;0,MIN(1,V10/META_MENSAL),0)</f>
        <v/>
      </c>
      <c r="X10" s="78">
        <f>IF(U10&gt;0,ROUNDUP(META_MENSAL/U10,0),0)</f>
        <v/>
      </c>
      <c r="Y10" s="78">
        <f>MAX(0,X10-C10)</f>
        <v/>
      </c>
      <c r="Z10" s="84">
        <f>Y10*F10</f>
        <v/>
      </c>
      <c r="AA10" s="85">
        <f>IF(APORTE_MENSAL&gt;0,ROUNDUP(Z10/APORTE_MENSAL,0),0)</f>
        <v/>
      </c>
      <c r="AB10" s="77">
        <f>IF(Ativos!C10="","",Ativos!C10)</f>
        <v/>
      </c>
    </row>
    <row r="11">
      <c r="A11" s="68">
        <f>IF(Ativos!A11="","",Ativos!A11)</f>
        <v/>
      </c>
      <c r="B11" s="68">
        <f>IF(Ativos!B11="","",Ativos!B11)</f>
        <v/>
      </c>
      <c r="C11" s="69">
        <f>SUMIFS('Lançamentos'!$D$5:$D$5000,'Lançamentos'!$B$5:$B$5000,A11,'Lançamentos'!$C$5:$C$5000,"COMPRA")-SUMIFS('Lançamentos'!$D$5:$D$5000,'Lançamentos'!$B$5:$B$5000,A11,'Lançamentos'!$C$5:$C$5000,"VENDA")</f>
        <v/>
      </c>
      <c r="D11" s="70">
        <f>IFERROR(SUMIFS('Lançamentos'!$G$5:$G$5000,'Lançamentos'!$B$5:$B$5000,A11,'Lançamentos'!$C$5:$C$5000,"COMPRA")/SUMIFS('Lançamentos'!$D$5:$D$5000,'Lançamentos'!$B$5:$B$5000,A11,'Lançamentos'!$C$5:$C$5000,"COMPRA"),0)</f>
        <v/>
      </c>
      <c r="E11" s="70">
        <f>C11*D11</f>
        <v/>
      </c>
      <c r="F11" s="71">
        <f>N(Ativos!D11)</f>
        <v/>
      </c>
      <c r="G11" s="70">
        <f>C11*F11</f>
        <v/>
      </c>
      <c r="H11" s="70">
        <f>G11-E11</f>
        <v/>
      </c>
      <c r="I11" s="72">
        <f>IF(E11&gt;0,H11/E11,0)</f>
        <v/>
      </c>
      <c r="J11" s="70">
        <f>SUMIFS(Proventos!$F$5:$F$5000,Proventos!$B$5:$B$5000,A11)</f>
        <v/>
      </c>
      <c r="K11" s="70">
        <f>SUMIFS(Proventos!$F$5:$F$5000,Proventos!$B$5:$B$5000,A11,Proventos!$A$5:$A$5000,"&gt;="&amp;(TODAY()-365))</f>
        <v/>
      </c>
      <c r="L11" s="70">
        <f>H11+J11</f>
        <v/>
      </c>
      <c r="M11" s="72">
        <f>IF(E11&gt;0,L11/E11,0)</f>
        <v/>
      </c>
      <c r="N11" s="72">
        <f>IF(D11&gt;0,T11/D11,0)</f>
        <v/>
      </c>
      <c r="O11" s="72">
        <f>IF(F11&gt;0,T11/F11,0)</f>
        <v/>
      </c>
      <c r="P11" s="72">
        <f>IF($G$36&gt;0,G11/$G$36,0)</f>
        <v/>
      </c>
      <c r="Q11" s="73">
        <f>N(Ativos!F11)</f>
        <v/>
      </c>
      <c r="R11" s="72">
        <f>P11-Q11</f>
        <v/>
      </c>
      <c r="S11" s="70">
        <f>MAX(0,Q11*$G$36-G11)</f>
        <v/>
      </c>
      <c r="T11" s="71">
        <f>N(Ativos!E11)</f>
        <v/>
      </c>
      <c r="U11" s="74">
        <f>T11/12</f>
        <v/>
      </c>
      <c r="V11" s="70">
        <f>C11*U11</f>
        <v/>
      </c>
      <c r="W11" s="72">
        <f>IF(META_MENSAL&gt;0,MIN(1,V11/META_MENSAL),0)</f>
        <v/>
      </c>
      <c r="X11" s="69">
        <f>IF(U11&gt;0,ROUNDUP(META_MENSAL/U11,0),0)</f>
        <v/>
      </c>
      <c r="Y11" s="69">
        <f>MAX(0,X11-C11)</f>
        <v/>
      </c>
      <c r="Z11" s="75">
        <f>Y11*F11</f>
        <v/>
      </c>
      <c r="AA11" s="76">
        <f>IF(APORTE_MENSAL&gt;0,ROUNDUP(Z11/APORTE_MENSAL,0),0)</f>
        <v/>
      </c>
      <c r="AB11" s="68">
        <f>IF(Ativos!C11="","",Ativos!C11)</f>
        <v/>
      </c>
    </row>
    <row r="12">
      <c r="A12" s="77">
        <f>IF(Ativos!A12="","",Ativos!A12)</f>
        <v/>
      </c>
      <c r="B12" s="77">
        <f>IF(Ativos!B12="","",Ativos!B12)</f>
        <v/>
      </c>
      <c r="C12" s="78">
        <f>SUMIFS('Lançamentos'!$D$5:$D$5000,'Lançamentos'!$B$5:$B$5000,A12,'Lançamentos'!$C$5:$C$5000,"COMPRA")-SUMIFS('Lançamentos'!$D$5:$D$5000,'Lançamentos'!$B$5:$B$5000,A12,'Lançamentos'!$C$5:$C$5000,"VENDA")</f>
        <v/>
      </c>
      <c r="D12" s="79">
        <f>IFERROR(SUMIFS('Lançamentos'!$G$5:$G$5000,'Lançamentos'!$B$5:$B$5000,A12,'Lançamentos'!$C$5:$C$5000,"COMPRA")/SUMIFS('Lançamentos'!$D$5:$D$5000,'Lançamentos'!$B$5:$B$5000,A12,'Lançamentos'!$C$5:$C$5000,"COMPRA"),0)</f>
        <v/>
      </c>
      <c r="E12" s="79">
        <f>C12*D12</f>
        <v/>
      </c>
      <c r="F12" s="80">
        <f>N(Ativos!D12)</f>
        <v/>
      </c>
      <c r="G12" s="79">
        <f>C12*F12</f>
        <v/>
      </c>
      <c r="H12" s="79">
        <f>G12-E12</f>
        <v/>
      </c>
      <c r="I12" s="81">
        <f>IF(E12&gt;0,H12/E12,0)</f>
        <v/>
      </c>
      <c r="J12" s="79">
        <f>SUMIFS(Proventos!$F$5:$F$5000,Proventos!$B$5:$B$5000,A12)</f>
        <v/>
      </c>
      <c r="K12" s="79">
        <f>SUMIFS(Proventos!$F$5:$F$5000,Proventos!$B$5:$B$5000,A12,Proventos!$A$5:$A$5000,"&gt;="&amp;(TODAY()-365))</f>
        <v/>
      </c>
      <c r="L12" s="79">
        <f>H12+J12</f>
        <v/>
      </c>
      <c r="M12" s="81">
        <f>IF(E12&gt;0,L12/E12,0)</f>
        <v/>
      </c>
      <c r="N12" s="81">
        <f>IF(D12&gt;0,T12/D12,0)</f>
        <v/>
      </c>
      <c r="O12" s="81">
        <f>IF(F12&gt;0,T12/F12,0)</f>
        <v/>
      </c>
      <c r="P12" s="81">
        <f>IF($G$36&gt;0,G12/$G$36,0)</f>
        <v/>
      </c>
      <c r="Q12" s="82">
        <f>N(Ativos!F12)</f>
        <v/>
      </c>
      <c r="R12" s="81">
        <f>P12-Q12</f>
        <v/>
      </c>
      <c r="S12" s="79">
        <f>MAX(0,Q12*$G$36-G12)</f>
        <v/>
      </c>
      <c r="T12" s="80">
        <f>N(Ativos!E12)</f>
        <v/>
      </c>
      <c r="U12" s="83">
        <f>T12/12</f>
        <v/>
      </c>
      <c r="V12" s="79">
        <f>C12*U12</f>
        <v/>
      </c>
      <c r="W12" s="81">
        <f>IF(META_MENSAL&gt;0,MIN(1,V12/META_MENSAL),0)</f>
        <v/>
      </c>
      <c r="X12" s="78">
        <f>IF(U12&gt;0,ROUNDUP(META_MENSAL/U12,0),0)</f>
        <v/>
      </c>
      <c r="Y12" s="78">
        <f>MAX(0,X12-C12)</f>
        <v/>
      </c>
      <c r="Z12" s="84">
        <f>Y12*F12</f>
        <v/>
      </c>
      <c r="AA12" s="85">
        <f>IF(APORTE_MENSAL&gt;0,ROUNDUP(Z12/APORTE_MENSAL,0),0)</f>
        <v/>
      </c>
      <c r="AB12" s="77">
        <f>IF(Ativos!C12="","",Ativos!C12)</f>
        <v/>
      </c>
    </row>
    <row r="13">
      <c r="A13" s="68">
        <f>IF(Ativos!A13="","",Ativos!A13)</f>
        <v/>
      </c>
      <c r="B13" s="68">
        <f>IF(Ativos!B13="","",Ativos!B13)</f>
        <v/>
      </c>
      <c r="C13" s="69">
        <f>SUMIFS('Lançamentos'!$D$5:$D$5000,'Lançamentos'!$B$5:$B$5000,A13,'Lançamentos'!$C$5:$C$5000,"COMPRA")-SUMIFS('Lançamentos'!$D$5:$D$5000,'Lançamentos'!$B$5:$B$5000,A13,'Lançamentos'!$C$5:$C$5000,"VENDA")</f>
        <v/>
      </c>
      <c r="D13" s="70">
        <f>IFERROR(SUMIFS('Lançamentos'!$G$5:$G$5000,'Lançamentos'!$B$5:$B$5000,A13,'Lançamentos'!$C$5:$C$5000,"COMPRA")/SUMIFS('Lançamentos'!$D$5:$D$5000,'Lançamentos'!$B$5:$B$5000,A13,'Lançamentos'!$C$5:$C$5000,"COMPRA"),0)</f>
        <v/>
      </c>
      <c r="E13" s="70">
        <f>C13*D13</f>
        <v/>
      </c>
      <c r="F13" s="71">
        <f>N(Ativos!D13)</f>
        <v/>
      </c>
      <c r="G13" s="70">
        <f>C13*F13</f>
        <v/>
      </c>
      <c r="H13" s="70">
        <f>G13-E13</f>
        <v/>
      </c>
      <c r="I13" s="72">
        <f>IF(E13&gt;0,H13/E13,0)</f>
        <v/>
      </c>
      <c r="J13" s="70">
        <f>SUMIFS(Proventos!$F$5:$F$5000,Proventos!$B$5:$B$5000,A13)</f>
        <v/>
      </c>
      <c r="K13" s="70">
        <f>SUMIFS(Proventos!$F$5:$F$5000,Proventos!$B$5:$B$5000,A13,Proventos!$A$5:$A$5000,"&gt;="&amp;(TODAY()-365))</f>
        <v/>
      </c>
      <c r="L13" s="70">
        <f>H13+J13</f>
        <v/>
      </c>
      <c r="M13" s="72">
        <f>IF(E13&gt;0,L13/E13,0)</f>
        <v/>
      </c>
      <c r="N13" s="72">
        <f>IF(D13&gt;0,T13/D13,0)</f>
        <v/>
      </c>
      <c r="O13" s="72">
        <f>IF(F13&gt;0,T13/F13,0)</f>
        <v/>
      </c>
      <c r="P13" s="72">
        <f>IF($G$36&gt;0,G13/$G$36,0)</f>
        <v/>
      </c>
      <c r="Q13" s="73">
        <f>N(Ativos!F13)</f>
        <v/>
      </c>
      <c r="R13" s="72">
        <f>P13-Q13</f>
        <v/>
      </c>
      <c r="S13" s="70">
        <f>MAX(0,Q13*$G$36-G13)</f>
        <v/>
      </c>
      <c r="T13" s="71">
        <f>N(Ativos!E13)</f>
        <v/>
      </c>
      <c r="U13" s="74">
        <f>T13/12</f>
        <v/>
      </c>
      <c r="V13" s="70">
        <f>C13*U13</f>
        <v/>
      </c>
      <c r="W13" s="72">
        <f>IF(META_MENSAL&gt;0,MIN(1,V13/META_MENSAL),0)</f>
        <v/>
      </c>
      <c r="X13" s="69">
        <f>IF(U13&gt;0,ROUNDUP(META_MENSAL/U13,0),0)</f>
        <v/>
      </c>
      <c r="Y13" s="69">
        <f>MAX(0,X13-C13)</f>
        <v/>
      </c>
      <c r="Z13" s="75">
        <f>Y13*F13</f>
        <v/>
      </c>
      <c r="AA13" s="76">
        <f>IF(APORTE_MENSAL&gt;0,ROUNDUP(Z13/APORTE_MENSAL,0),0)</f>
        <v/>
      </c>
      <c r="AB13" s="68">
        <f>IF(Ativos!C13="","",Ativos!C13)</f>
        <v/>
      </c>
    </row>
    <row r="14">
      <c r="A14" s="77">
        <f>IF(Ativos!A14="","",Ativos!A14)</f>
        <v/>
      </c>
      <c r="B14" s="77">
        <f>IF(Ativos!B14="","",Ativos!B14)</f>
        <v/>
      </c>
      <c r="C14" s="78">
        <f>SUMIFS('Lançamentos'!$D$5:$D$5000,'Lançamentos'!$B$5:$B$5000,A14,'Lançamentos'!$C$5:$C$5000,"COMPRA")-SUMIFS('Lançamentos'!$D$5:$D$5000,'Lançamentos'!$B$5:$B$5000,A14,'Lançamentos'!$C$5:$C$5000,"VENDA")</f>
        <v/>
      </c>
      <c r="D14" s="79">
        <f>IFERROR(SUMIFS('Lançamentos'!$G$5:$G$5000,'Lançamentos'!$B$5:$B$5000,A14,'Lançamentos'!$C$5:$C$5000,"COMPRA")/SUMIFS('Lançamentos'!$D$5:$D$5000,'Lançamentos'!$B$5:$B$5000,A14,'Lançamentos'!$C$5:$C$5000,"COMPRA"),0)</f>
        <v/>
      </c>
      <c r="E14" s="79">
        <f>C14*D14</f>
        <v/>
      </c>
      <c r="F14" s="80">
        <f>N(Ativos!D14)</f>
        <v/>
      </c>
      <c r="G14" s="79">
        <f>C14*F14</f>
        <v/>
      </c>
      <c r="H14" s="79">
        <f>G14-E14</f>
        <v/>
      </c>
      <c r="I14" s="81">
        <f>IF(E14&gt;0,H14/E14,0)</f>
        <v/>
      </c>
      <c r="J14" s="79">
        <f>SUMIFS(Proventos!$F$5:$F$5000,Proventos!$B$5:$B$5000,A14)</f>
        <v/>
      </c>
      <c r="K14" s="79">
        <f>SUMIFS(Proventos!$F$5:$F$5000,Proventos!$B$5:$B$5000,A14,Proventos!$A$5:$A$5000,"&gt;="&amp;(TODAY()-365))</f>
        <v/>
      </c>
      <c r="L14" s="79">
        <f>H14+J14</f>
        <v/>
      </c>
      <c r="M14" s="81">
        <f>IF(E14&gt;0,L14/E14,0)</f>
        <v/>
      </c>
      <c r="N14" s="81">
        <f>IF(D14&gt;0,T14/D14,0)</f>
        <v/>
      </c>
      <c r="O14" s="81">
        <f>IF(F14&gt;0,T14/F14,0)</f>
        <v/>
      </c>
      <c r="P14" s="81">
        <f>IF($G$36&gt;0,G14/$G$36,0)</f>
        <v/>
      </c>
      <c r="Q14" s="82">
        <f>N(Ativos!F14)</f>
        <v/>
      </c>
      <c r="R14" s="81">
        <f>P14-Q14</f>
        <v/>
      </c>
      <c r="S14" s="79">
        <f>MAX(0,Q14*$G$36-G14)</f>
        <v/>
      </c>
      <c r="T14" s="80">
        <f>N(Ativos!E14)</f>
        <v/>
      </c>
      <c r="U14" s="83">
        <f>T14/12</f>
        <v/>
      </c>
      <c r="V14" s="79">
        <f>C14*U14</f>
        <v/>
      </c>
      <c r="W14" s="81">
        <f>IF(META_MENSAL&gt;0,MIN(1,V14/META_MENSAL),0)</f>
        <v/>
      </c>
      <c r="X14" s="78">
        <f>IF(U14&gt;0,ROUNDUP(META_MENSAL/U14,0),0)</f>
        <v/>
      </c>
      <c r="Y14" s="78">
        <f>MAX(0,X14-C14)</f>
        <v/>
      </c>
      <c r="Z14" s="84">
        <f>Y14*F14</f>
        <v/>
      </c>
      <c r="AA14" s="85">
        <f>IF(APORTE_MENSAL&gt;0,ROUNDUP(Z14/APORTE_MENSAL,0),0)</f>
        <v/>
      </c>
      <c r="AB14" s="77">
        <f>IF(Ativos!C14="","",Ativos!C14)</f>
        <v/>
      </c>
    </row>
    <row r="15">
      <c r="A15" s="68">
        <f>IF(Ativos!A15="","",Ativos!A15)</f>
        <v/>
      </c>
      <c r="B15" s="68">
        <f>IF(Ativos!B15="","",Ativos!B15)</f>
        <v/>
      </c>
      <c r="C15" s="69">
        <f>SUMIFS('Lançamentos'!$D$5:$D$5000,'Lançamentos'!$B$5:$B$5000,A15,'Lançamentos'!$C$5:$C$5000,"COMPRA")-SUMIFS('Lançamentos'!$D$5:$D$5000,'Lançamentos'!$B$5:$B$5000,A15,'Lançamentos'!$C$5:$C$5000,"VENDA")</f>
        <v/>
      </c>
      <c r="D15" s="70">
        <f>IFERROR(SUMIFS('Lançamentos'!$G$5:$G$5000,'Lançamentos'!$B$5:$B$5000,A15,'Lançamentos'!$C$5:$C$5000,"COMPRA")/SUMIFS('Lançamentos'!$D$5:$D$5000,'Lançamentos'!$B$5:$B$5000,A15,'Lançamentos'!$C$5:$C$5000,"COMPRA"),0)</f>
        <v/>
      </c>
      <c r="E15" s="70">
        <f>C15*D15</f>
        <v/>
      </c>
      <c r="F15" s="71">
        <f>N(Ativos!D15)</f>
        <v/>
      </c>
      <c r="G15" s="70">
        <f>C15*F15</f>
        <v/>
      </c>
      <c r="H15" s="70">
        <f>G15-E15</f>
        <v/>
      </c>
      <c r="I15" s="72">
        <f>IF(E15&gt;0,H15/E15,0)</f>
        <v/>
      </c>
      <c r="J15" s="70">
        <f>SUMIFS(Proventos!$F$5:$F$5000,Proventos!$B$5:$B$5000,A15)</f>
        <v/>
      </c>
      <c r="K15" s="70">
        <f>SUMIFS(Proventos!$F$5:$F$5000,Proventos!$B$5:$B$5000,A15,Proventos!$A$5:$A$5000,"&gt;="&amp;(TODAY()-365))</f>
        <v/>
      </c>
      <c r="L15" s="70">
        <f>H15+J15</f>
        <v/>
      </c>
      <c r="M15" s="72">
        <f>IF(E15&gt;0,L15/E15,0)</f>
        <v/>
      </c>
      <c r="N15" s="72">
        <f>IF(D15&gt;0,T15/D15,0)</f>
        <v/>
      </c>
      <c r="O15" s="72">
        <f>IF(F15&gt;0,T15/F15,0)</f>
        <v/>
      </c>
      <c r="P15" s="72">
        <f>IF($G$36&gt;0,G15/$G$36,0)</f>
        <v/>
      </c>
      <c r="Q15" s="73">
        <f>N(Ativos!F15)</f>
        <v/>
      </c>
      <c r="R15" s="72">
        <f>P15-Q15</f>
        <v/>
      </c>
      <c r="S15" s="70">
        <f>MAX(0,Q15*$G$36-G15)</f>
        <v/>
      </c>
      <c r="T15" s="71">
        <f>N(Ativos!E15)</f>
        <v/>
      </c>
      <c r="U15" s="74">
        <f>T15/12</f>
        <v/>
      </c>
      <c r="V15" s="70">
        <f>C15*U15</f>
        <v/>
      </c>
      <c r="W15" s="72">
        <f>IF(META_MENSAL&gt;0,MIN(1,V15/META_MENSAL),0)</f>
        <v/>
      </c>
      <c r="X15" s="69">
        <f>IF(U15&gt;0,ROUNDUP(META_MENSAL/U15,0),0)</f>
        <v/>
      </c>
      <c r="Y15" s="69">
        <f>MAX(0,X15-C15)</f>
        <v/>
      </c>
      <c r="Z15" s="75">
        <f>Y15*F15</f>
        <v/>
      </c>
      <c r="AA15" s="76">
        <f>IF(APORTE_MENSAL&gt;0,ROUNDUP(Z15/APORTE_MENSAL,0),0)</f>
        <v/>
      </c>
      <c r="AB15" s="68">
        <f>IF(Ativos!C15="","",Ativos!C15)</f>
        <v/>
      </c>
    </row>
    <row r="16">
      <c r="A16" s="77">
        <f>IF(Ativos!A16="","",Ativos!A16)</f>
        <v/>
      </c>
      <c r="B16" s="77">
        <f>IF(Ativos!B16="","",Ativos!B16)</f>
        <v/>
      </c>
      <c r="C16" s="78">
        <f>SUMIFS('Lançamentos'!$D$5:$D$5000,'Lançamentos'!$B$5:$B$5000,A16,'Lançamentos'!$C$5:$C$5000,"COMPRA")-SUMIFS('Lançamentos'!$D$5:$D$5000,'Lançamentos'!$B$5:$B$5000,A16,'Lançamentos'!$C$5:$C$5000,"VENDA")</f>
        <v/>
      </c>
      <c r="D16" s="79">
        <f>IFERROR(SUMIFS('Lançamentos'!$G$5:$G$5000,'Lançamentos'!$B$5:$B$5000,A16,'Lançamentos'!$C$5:$C$5000,"COMPRA")/SUMIFS('Lançamentos'!$D$5:$D$5000,'Lançamentos'!$B$5:$B$5000,A16,'Lançamentos'!$C$5:$C$5000,"COMPRA"),0)</f>
        <v/>
      </c>
      <c r="E16" s="79">
        <f>C16*D16</f>
        <v/>
      </c>
      <c r="F16" s="80">
        <f>N(Ativos!D16)</f>
        <v/>
      </c>
      <c r="G16" s="79">
        <f>C16*F16</f>
        <v/>
      </c>
      <c r="H16" s="79">
        <f>G16-E16</f>
        <v/>
      </c>
      <c r="I16" s="81">
        <f>IF(E16&gt;0,H16/E16,0)</f>
        <v/>
      </c>
      <c r="J16" s="79">
        <f>SUMIFS(Proventos!$F$5:$F$5000,Proventos!$B$5:$B$5000,A16)</f>
        <v/>
      </c>
      <c r="K16" s="79">
        <f>SUMIFS(Proventos!$F$5:$F$5000,Proventos!$B$5:$B$5000,A16,Proventos!$A$5:$A$5000,"&gt;="&amp;(TODAY()-365))</f>
        <v/>
      </c>
      <c r="L16" s="79">
        <f>H16+J16</f>
        <v/>
      </c>
      <c r="M16" s="81">
        <f>IF(E16&gt;0,L16/E16,0)</f>
        <v/>
      </c>
      <c r="N16" s="81">
        <f>IF(D16&gt;0,T16/D16,0)</f>
        <v/>
      </c>
      <c r="O16" s="81">
        <f>IF(F16&gt;0,T16/F16,0)</f>
        <v/>
      </c>
      <c r="P16" s="81">
        <f>IF($G$36&gt;0,G16/$G$36,0)</f>
        <v/>
      </c>
      <c r="Q16" s="82">
        <f>N(Ativos!F16)</f>
        <v/>
      </c>
      <c r="R16" s="81">
        <f>P16-Q16</f>
        <v/>
      </c>
      <c r="S16" s="79">
        <f>MAX(0,Q16*$G$36-G16)</f>
        <v/>
      </c>
      <c r="T16" s="80">
        <f>N(Ativos!E16)</f>
        <v/>
      </c>
      <c r="U16" s="83">
        <f>T16/12</f>
        <v/>
      </c>
      <c r="V16" s="79">
        <f>C16*U16</f>
        <v/>
      </c>
      <c r="W16" s="81">
        <f>IF(META_MENSAL&gt;0,MIN(1,V16/META_MENSAL),0)</f>
        <v/>
      </c>
      <c r="X16" s="78">
        <f>IF(U16&gt;0,ROUNDUP(META_MENSAL/U16,0),0)</f>
        <v/>
      </c>
      <c r="Y16" s="78">
        <f>MAX(0,X16-C16)</f>
        <v/>
      </c>
      <c r="Z16" s="84">
        <f>Y16*F16</f>
        <v/>
      </c>
      <c r="AA16" s="85">
        <f>IF(APORTE_MENSAL&gt;0,ROUNDUP(Z16/APORTE_MENSAL,0),0)</f>
        <v/>
      </c>
      <c r="AB16" s="77">
        <f>IF(Ativos!C16="","",Ativos!C16)</f>
        <v/>
      </c>
    </row>
    <row r="17">
      <c r="A17" s="68">
        <f>IF(Ativos!A17="","",Ativos!A17)</f>
        <v/>
      </c>
      <c r="B17" s="68">
        <f>IF(Ativos!B17="","",Ativos!B17)</f>
        <v/>
      </c>
      <c r="C17" s="69">
        <f>SUMIFS('Lançamentos'!$D$5:$D$5000,'Lançamentos'!$B$5:$B$5000,A17,'Lançamentos'!$C$5:$C$5000,"COMPRA")-SUMIFS('Lançamentos'!$D$5:$D$5000,'Lançamentos'!$B$5:$B$5000,A17,'Lançamentos'!$C$5:$C$5000,"VENDA")</f>
        <v/>
      </c>
      <c r="D17" s="70">
        <f>IFERROR(SUMIFS('Lançamentos'!$G$5:$G$5000,'Lançamentos'!$B$5:$B$5000,A17,'Lançamentos'!$C$5:$C$5000,"COMPRA")/SUMIFS('Lançamentos'!$D$5:$D$5000,'Lançamentos'!$B$5:$B$5000,A17,'Lançamentos'!$C$5:$C$5000,"COMPRA"),0)</f>
        <v/>
      </c>
      <c r="E17" s="70">
        <f>C17*D17</f>
        <v/>
      </c>
      <c r="F17" s="71">
        <f>N(Ativos!D17)</f>
        <v/>
      </c>
      <c r="G17" s="70">
        <f>C17*F17</f>
        <v/>
      </c>
      <c r="H17" s="70">
        <f>G17-E17</f>
        <v/>
      </c>
      <c r="I17" s="72">
        <f>IF(E17&gt;0,H17/E17,0)</f>
        <v/>
      </c>
      <c r="J17" s="70">
        <f>SUMIFS(Proventos!$F$5:$F$5000,Proventos!$B$5:$B$5000,A17)</f>
        <v/>
      </c>
      <c r="K17" s="70">
        <f>SUMIFS(Proventos!$F$5:$F$5000,Proventos!$B$5:$B$5000,A17,Proventos!$A$5:$A$5000,"&gt;="&amp;(TODAY()-365))</f>
        <v/>
      </c>
      <c r="L17" s="70">
        <f>H17+J17</f>
        <v/>
      </c>
      <c r="M17" s="72">
        <f>IF(E17&gt;0,L17/E17,0)</f>
        <v/>
      </c>
      <c r="N17" s="72">
        <f>IF(D17&gt;0,T17/D17,0)</f>
        <v/>
      </c>
      <c r="O17" s="72">
        <f>IF(F17&gt;0,T17/F17,0)</f>
        <v/>
      </c>
      <c r="P17" s="72">
        <f>IF($G$36&gt;0,G17/$G$36,0)</f>
        <v/>
      </c>
      <c r="Q17" s="73">
        <f>N(Ativos!F17)</f>
        <v/>
      </c>
      <c r="R17" s="72">
        <f>P17-Q17</f>
        <v/>
      </c>
      <c r="S17" s="70">
        <f>MAX(0,Q17*$G$36-G17)</f>
        <v/>
      </c>
      <c r="T17" s="71">
        <f>N(Ativos!E17)</f>
        <v/>
      </c>
      <c r="U17" s="74">
        <f>T17/12</f>
        <v/>
      </c>
      <c r="V17" s="70">
        <f>C17*U17</f>
        <v/>
      </c>
      <c r="W17" s="72">
        <f>IF(META_MENSAL&gt;0,MIN(1,V17/META_MENSAL),0)</f>
        <v/>
      </c>
      <c r="X17" s="69">
        <f>IF(U17&gt;0,ROUNDUP(META_MENSAL/U17,0),0)</f>
        <v/>
      </c>
      <c r="Y17" s="69">
        <f>MAX(0,X17-C17)</f>
        <v/>
      </c>
      <c r="Z17" s="75">
        <f>Y17*F17</f>
        <v/>
      </c>
      <c r="AA17" s="76">
        <f>IF(APORTE_MENSAL&gt;0,ROUNDUP(Z17/APORTE_MENSAL,0),0)</f>
        <v/>
      </c>
      <c r="AB17" s="68">
        <f>IF(Ativos!C17="","",Ativos!C17)</f>
        <v/>
      </c>
    </row>
    <row r="18">
      <c r="A18" s="77">
        <f>IF(Ativos!A18="","",Ativos!A18)</f>
        <v/>
      </c>
      <c r="B18" s="77">
        <f>IF(Ativos!B18="","",Ativos!B18)</f>
        <v/>
      </c>
      <c r="C18" s="78">
        <f>SUMIFS('Lançamentos'!$D$5:$D$5000,'Lançamentos'!$B$5:$B$5000,A18,'Lançamentos'!$C$5:$C$5000,"COMPRA")-SUMIFS('Lançamentos'!$D$5:$D$5000,'Lançamentos'!$B$5:$B$5000,A18,'Lançamentos'!$C$5:$C$5000,"VENDA")</f>
        <v/>
      </c>
      <c r="D18" s="79">
        <f>IFERROR(SUMIFS('Lançamentos'!$G$5:$G$5000,'Lançamentos'!$B$5:$B$5000,A18,'Lançamentos'!$C$5:$C$5000,"COMPRA")/SUMIFS('Lançamentos'!$D$5:$D$5000,'Lançamentos'!$B$5:$B$5000,A18,'Lançamentos'!$C$5:$C$5000,"COMPRA"),0)</f>
        <v/>
      </c>
      <c r="E18" s="79">
        <f>C18*D18</f>
        <v/>
      </c>
      <c r="F18" s="80">
        <f>N(Ativos!D18)</f>
        <v/>
      </c>
      <c r="G18" s="79">
        <f>C18*F18</f>
        <v/>
      </c>
      <c r="H18" s="79">
        <f>G18-E18</f>
        <v/>
      </c>
      <c r="I18" s="81">
        <f>IF(E18&gt;0,H18/E18,0)</f>
        <v/>
      </c>
      <c r="J18" s="79">
        <f>SUMIFS(Proventos!$F$5:$F$5000,Proventos!$B$5:$B$5000,A18)</f>
        <v/>
      </c>
      <c r="K18" s="79">
        <f>SUMIFS(Proventos!$F$5:$F$5000,Proventos!$B$5:$B$5000,A18,Proventos!$A$5:$A$5000,"&gt;="&amp;(TODAY()-365))</f>
        <v/>
      </c>
      <c r="L18" s="79">
        <f>H18+J18</f>
        <v/>
      </c>
      <c r="M18" s="81">
        <f>IF(E18&gt;0,L18/E18,0)</f>
        <v/>
      </c>
      <c r="N18" s="81">
        <f>IF(D18&gt;0,T18/D18,0)</f>
        <v/>
      </c>
      <c r="O18" s="81">
        <f>IF(F18&gt;0,T18/F18,0)</f>
        <v/>
      </c>
      <c r="P18" s="81">
        <f>IF($G$36&gt;0,G18/$G$36,0)</f>
        <v/>
      </c>
      <c r="Q18" s="82">
        <f>N(Ativos!F18)</f>
        <v/>
      </c>
      <c r="R18" s="81">
        <f>P18-Q18</f>
        <v/>
      </c>
      <c r="S18" s="79">
        <f>MAX(0,Q18*$G$36-G18)</f>
        <v/>
      </c>
      <c r="T18" s="80">
        <f>N(Ativos!E18)</f>
        <v/>
      </c>
      <c r="U18" s="83">
        <f>T18/12</f>
        <v/>
      </c>
      <c r="V18" s="79">
        <f>C18*U18</f>
        <v/>
      </c>
      <c r="W18" s="81">
        <f>IF(META_MENSAL&gt;0,MIN(1,V18/META_MENSAL),0)</f>
        <v/>
      </c>
      <c r="X18" s="78">
        <f>IF(U18&gt;0,ROUNDUP(META_MENSAL/U18,0),0)</f>
        <v/>
      </c>
      <c r="Y18" s="78">
        <f>MAX(0,X18-C18)</f>
        <v/>
      </c>
      <c r="Z18" s="84">
        <f>Y18*F18</f>
        <v/>
      </c>
      <c r="AA18" s="85">
        <f>IF(APORTE_MENSAL&gt;0,ROUNDUP(Z18/APORTE_MENSAL,0),0)</f>
        <v/>
      </c>
      <c r="AB18" s="77">
        <f>IF(Ativos!C18="","",Ativos!C18)</f>
        <v/>
      </c>
    </row>
    <row r="19">
      <c r="A19" s="68">
        <f>IF(Ativos!A19="","",Ativos!A19)</f>
        <v/>
      </c>
      <c r="B19" s="68">
        <f>IF(Ativos!B19="","",Ativos!B19)</f>
        <v/>
      </c>
      <c r="C19" s="69">
        <f>SUMIFS('Lançamentos'!$D$5:$D$5000,'Lançamentos'!$B$5:$B$5000,A19,'Lançamentos'!$C$5:$C$5000,"COMPRA")-SUMIFS('Lançamentos'!$D$5:$D$5000,'Lançamentos'!$B$5:$B$5000,A19,'Lançamentos'!$C$5:$C$5000,"VENDA")</f>
        <v/>
      </c>
      <c r="D19" s="70">
        <f>IFERROR(SUMIFS('Lançamentos'!$G$5:$G$5000,'Lançamentos'!$B$5:$B$5000,A19,'Lançamentos'!$C$5:$C$5000,"COMPRA")/SUMIFS('Lançamentos'!$D$5:$D$5000,'Lançamentos'!$B$5:$B$5000,A19,'Lançamentos'!$C$5:$C$5000,"COMPRA"),0)</f>
        <v/>
      </c>
      <c r="E19" s="70">
        <f>C19*D19</f>
        <v/>
      </c>
      <c r="F19" s="71">
        <f>N(Ativos!D19)</f>
        <v/>
      </c>
      <c r="G19" s="70">
        <f>C19*F19</f>
        <v/>
      </c>
      <c r="H19" s="70">
        <f>G19-E19</f>
        <v/>
      </c>
      <c r="I19" s="72">
        <f>IF(E19&gt;0,H19/E19,0)</f>
        <v/>
      </c>
      <c r="J19" s="70">
        <f>SUMIFS(Proventos!$F$5:$F$5000,Proventos!$B$5:$B$5000,A19)</f>
        <v/>
      </c>
      <c r="K19" s="70">
        <f>SUMIFS(Proventos!$F$5:$F$5000,Proventos!$B$5:$B$5000,A19,Proventos!$A$5:$A$5000,"&gt;="&amp;(TODAY()-365))</f>
        <v/>
      </c>
      <c r="L19" s="70">
        <f>H19+J19</f>
        <v/>
      </c>
      <c r="M19" s="72">
        <f>IF(E19&gt;0,L19/E19,0)</f>
        <v/>
      </c>
      <c r="N19" s="72">
        <f>IF(D19&gt;0,T19/D19,0)</f>
        <v/>
      </c>
      <c r="O19" s="72">
        <f>IF(F19&gt;0,T19/F19,0)</f>
        <v/>
      </c>
      <c r="P19" s="72">
        <f>IF($G$36&gt;0,G19/$G$36,0)</f>
        <v/>
      </c>
      <c r="Q19" s="73">
        <f>N(Ativos!F19)</f>
        <v/>
      </c>
      <c r="R19" s="72">
        <f>P19-Q19</f>
        <v/>
      </c>
      <c r="S19" s="70">
        <f>MAX(0,Q19*$G$36-G19)</f>
        <v/>
      </c>
      <c r="T19" s="71">
        <f>N(Ativos!E19)</f>
        <v/>
      </c>
      <c r="U19" s="74">
        <f>T19/12</f>
        <v/>
      </c>
      <c r="V19" s="70">
        <f>C19*U19</f>
        <v/>
      </c>
      <c r="W19" s="72">
        <f>IF(META_MENSAL&gt;0,MIN(1,V19/META_MENSAL),0)</f>
        <v/>
      </c>
      <c r="X19" s="69">
        <f>IF(U19&gt;0,ROUNDUP(META_MENSAL/U19,0),0)</f>
        <v/>
      </c>
      <c r="Y19" s="69">
        <f>MAX(0,X19-C19)</f>
        <v/>
      </c>
      <c r="Z19" s="75">
        <f>Y19*F19</f>
        <v/>
      </c>
      <c r="AA19" s="76">
        <f>IF(APORTE_MENSAL&gt;0,ROUNDUP(Z19/APORTE_MENSAL,0),0)</f>
        <v/>
      </c>
      <c r="AB19" s="68">
        <f>IF(Ativos!C19="","",Ativos!C19)</f>
        <v/>
      </c>
    </row>
    <row r="20">
      <c r="A20" s="77">
        <f>IF(Ativos!A20="","",Ativos!A20)</f>
        <v/>
      </c>
      <c r="B20" s="77">
        <f>IF(Ativos!B20="","",Ativos!B20)</f>
        <v/>
      </c>
      <c r="C20" s="78">
        <f>SUMIFS('Lançamentos'!$D$5:$D$5000,'Lançamentos'!$B$5:$B$5000,A20,'Lançamentos'!$C$5:$C$5000,"COMPRA")-SUMIFS('Lançamentos'!$D$5:$D$5000,'Lançamentos'!$B$5:$B$5000,A20,'Lançamentos'!$C$5:$C$5000,"VENDA")</f>
        <v/>
      </c>
      <c r="D20" s="79">
        <f>IFERROR(SUMIFS('Lançamentos'!$G$5:$G$5000,'Lançamentos'!$B$5:$B$5000,A20,'Lançamentos'!$C$5:$C$5000,"COMPRA")/SUMIFS('Lançamentos'!$D$5:$D$5000,'Lançamentos'!$B$5:$B$5000,A20,'Lançamentos'!$C$5:$C$5000,"COMPRA"),0)</f>
        <v/>
      </c>
      <c r="E20" s="79">
        <f>C20*D20</f>
        <v/>
      </c>
      <c r="F20" s="80">
        <f>N(Ativos!D20)</f>
        <v/>
      </c>
      <c r="G20" s="79">
        <f>C20*F20</f>
        <v/>
      </c>
      <c r="H20" s="79">
        <f>G20-E20</f>
        <v/>
      </c>
      <c r="I20" s="81">
        <f>IF(E20&gt;0,H20/E20,0)</f>
        <v/>
      </c>
      <c r="J20" s="79">
        <f>SUMIFS(Proventos!$F$5:$F$5000,Proventos!$B$5:$B$5000,A20)</f>
        <v/>
      </c>
      <c r="K20" s="79">
        <f>SUMIFS(Proventos!$F$5:$F$5000,Proventos!$B$5:$B$5000,A20,Proventos!$A$5:$A$5000,"&gt;="&amp;(TODAY()-365))</f>
        <v/>
      </c>
      <c r="L20" s="79">
        <f>H20+J20</f>
        <v/>
      </c>
      <c r="M20" s="81">
        <f>IF(E20&gt;0,L20/E20,0)</f>
        <v/>
      </c>
      <c r="N20" s="81">
        <f>IF(D20&gt;0,T20/D20,0)</f>
        <v/>
      </c>
      <c r="O20" s="81">
        <f>IF(F20&gt;0,T20/F20,0)</f>
        <v/>
      </c>
      <c r="P20" s="81">
        <f>IF($G$36&gt;0,G20/$G$36,0)</f>
        <v/>
      </c>
      <c r="Q20" s="82">
        <f>N(Ativos!F20)</f>
        <v/>
      </c>
      <c r="R20" s="81">
        <f>P20-Q20</f>
        <v/>
      </c>
      <c r="S20" s="79">
        <f>MAX(0,Q20*$G$36-G20)</f>
        <v/>
      </c>
      <c r="T20" s="80">
        <f>N(Ativos!E20)</f>
        <v/>
      </c>
      <c r="U20" s="83">
        <f>T20/12</f>
        <v/>
      </c>
      <c r="V20" s="79">
        <f>C20*U20</f>
        <v/>
      </c>
      <c r="W20" s="81">
        <f>IF(META_MENSAL&gt;0,MIN(1,V20/META_MENSAL),0)</f>
        <v/>
      </c>
      <c r="X20" s="78">
        <f>IF(U20&gt;0,ROUNDUP(META_MENSAL/U20,0),0)</f>
        <v/>
      </c>
      <c r="Y20" s="78">
        <f>MAX(0,X20-C20)</f>
        <v/>
      </c>
      <c r="Z20" s="84">
        <f>Y20*F20</f>
        <v/>
      </c>
      <c r="AA20" s="85">
        <f>IF(APORTE_MENSAL&gt;0,ROUNDUP(Z20/APORTE_MENSAL,0),0)</f>
        <v/>
      </c>
      <c r="AB20" s="77">
        <f>IF(Ativos!C20="","",Ativos!C20)</f>
        <v/>
      </c>
    </row>
    <row r="21">
      <c r="A21" s="68">
        <f>IF(Ativos!A21="","",Ativos!A21)</f>
        <v/>
      </c>
      <c r="B21" s="68">
        <f>IF(Ativos!B21="","",Ativos!B21)</f>
        <v/>
      </c>
      <c r="C21" s="69">
        <f>SUMIFS('Lançamentos'!$D$5:$D$5000,'Lançamentos'!$B$5:$B$5000,A21,'Lançamentos'!$C$5:$C$5000,"COMPRA")-SUMIFS('Lançamentos'!$D$5:$D$5000,'Lançamentos'!$B$5:$B$5000,A21,'Lançamentos'!$C$5:$C$5000,"VENDA")</f>
        <v/>
      </c>
      <c r="D21" s="70">
        <f>IFERROR(SUMIFS('Lançamentos'!$G$5:$G$5000,'Lançamentos'!$B$5:$B$5000,A21,'Lançamentos'!$C$5:$C$5000,"COMPRA")/SUMIFS('Lançamentos'!$D$5:$D$5000,'Lançamentos'!$B$5:$B$5000,A21,'Lançamentos'!$C$5:$C$5000,"COMPRA"),0)</f>
        <v/>
      </c>
      <c r="E21" s="70">
        <f>C21*D21</f>
        <v/>
      </c>
      <c r="F21" s="71">
        <f>N(Ativos!D21)</f>
        <v/>
      </c>
      <c r="G21" s="70">
        <f>C21*F21</f>
        <v/>
      </c>
      <c r="H21" s="70">
        <f>G21-E21</f>
        <v/>
      </c>
      <c r="I21" s="72">
        <f>IF(E21&gt;0,H21/E21,0)</f>
        <v/>
      </c>
      <c r="J21" s="70">
        <f>SUMIFS(Proventos!$F$5:$F$5000,Proventos!$B$5:$B$5000,A21)</f>
        <v/>
      </c>
      <c r="K21" s="70">
        <f>SUMIFS(Proventos!$F$5:$F$5000,Proventos!$B$5:$B$5000,A21,Proventos!$A$5:$A$5000,"&gt;="&amp;(TODAY()-365))</f>
        <v/>
      </c>
      <c r="L21" s="70">
        <f>H21+J21</f>
        <v/>
      </c>
      <c r="M21" s="72">
        <f>IF(E21&gt;0,L21/E21,0)</f>
        <v/>
      </c>
      <c r="N21" s="72">
        <f>IF(D21&gt;0,T21/D21,0)</f>
        <v/>
      </c>
      <c r="O21" s="72">
        <f>IF(F21&gt;0,T21/F21,0)</f>
        <v/>
      </c>
      <c r="P21" s="72">
        <f>IF($G$36&gt;0,G21/$G$36,0)</f>
        <v/>
      </c>
      <c r="Q21" s="73">
        <f>N(Ativos!F21)</f>
        <v/>
      </c>
      <c r="R21" s="72">
        <f>P21-Q21</f>
        <v/>
      </c>
      <c r="S21" s="70">
        <f>MAX(0,Q21*$G$36-G21)</f>
        <v/>
      </c>
      <c r="T21" s="71">
        <f>N(Ativos!E21)</f>
        <v/>
      </c>
      <c r="U21" s="74">
        <f>T21/12</f>
        <v/>
      </c>
      <c r="V21" s="70">
        <f>C21*U21</f>
        <v/>
      </c>
      <c r="W21" s="72">
        <f>IF(META_MENSAL&gt;0,MIN(1,V21/META_MENSAL),0)</f>
        <v/>
      </c>
      <c r="X21" s="69">
        <f>IF(U21&gt;0,ROUNDUP(META_MENSAL/U21,0),0)</f>
        <v/>
      </c>
      <c r="Y21" s="69">
        <f>MAX(0,X21-C21)</f>
        <v/>
      </c>
      <c r="Z21" s="75">
        <f>Y21*F21</f>
        <v/>
      </c>
      <c r="AA21" s="76">
        <f>IF(APORTE_MENSAL&gt;0,ROUNDUP(Z21/APORTE_MENSAL,0),0)</f>
        <v/>
      </c>
      <c r="AB21" s="68">
        <f>IF(Ativos!C21="","",Ativos!C21)</f>
        <v/>
      </c>
    </row>
    <row r="22">
      <c r="A22" s="77">
        <f>IF(Ativos!A22="","",Ativos!A22)</f>
        <v/>
      </c>
      <c r="B22" s="77">
        <f>IF(Ativos!B22="","",Ativos!B22)</f>
        <v/>
      </c>
      <c r="C22" s="78">
        <f>SUMIFS('Lançamentos'!$D$5:$D$5000,'Lançamentos'!$B$5:$B$5000,A22,'Lançamentos'!$C$5:$C$5000,"COMPRA")-SUMIFS('Lançamentos'!$D$5:$D$5000,'Lançamentos'!$B$5:$B$5000,A22,'Lançamentos'!$C$5:$C$5000,"VENDA")</f>
        <v/>
      </c>
      <c r="D22" s="79">
        <f>IFERROR(SUMIFS('Lançamentos'!$G$5:$G$5000,'Lançamentos'!$B$5:$B$5000,A22,'Lançamentos'!$C$5:$C$5000,"COMPRA")/SUMIFS('Lançamentos'!$D$5:$D$5000,'Lançamentos'!$B$5:$B$5000,A22,'Lançamentos'!$C$5:$C$5000,"COMPRA"),0)</f>
        <v/>
      </c>
      <c r="E22" s="79">
        <f>C22*D22</f>
        <v/>
      </c>
      <c r="F22" s="80">
        <f>N(Ativos!D22)</f>
        <v/>
      </c>
      <c r="G22" s="79">
        <f>C22*F22</f>
        <v/>
      </c>
      <c r="H22" s="79">
        <f>G22-E22</f>
        <v/>
      </c>
      <c r="I22" s="81">
        <f>IF(E22&gt;0,H22/E22,0)</f>
        <v/>
      </c>
      <c r="J22" s="79">
        <f>SUMIFS(Proventos!$F$5:$F$5000,Proventos!$B$5:$B$5000,A22)</f>
        <v/>
      </c>
      <c r="K22" s="79">
        <f>SUMIFS(Proventos!$F$5:$F$5000,Proventos!$B$5:$B$5000,A22,Proventos!$A$5:$A$5000,"&gt;="&amp;(TODAY()-365))</f>
        <v/>
      </c>
      <c r="L22" s="79">
        <f>H22+J22</f>
        <v/>
      </c>
      <c r="M22" s="81">
        <f>IF(E22&gt;0,L22/E22,0)</f>
        <v/>
      </c>
      <c r="N22" s="81">
        <f>IF(D22&gt;0,T22/D22,0)</f>
        <v/>
      </c>
      <c r="O22" s="81">
        <f>IF(F22&gt;0,T22/F22,0)</f>
        <v/>
      </c>
      <c r="P22" s="81">
        <f>IF($G$36&gt;0,G22/$G$36,0)</f>
        <v/>
      </c>
      <c r="Q22" s="82">
        <f>N(Ativos!F22)</f>
        <v/>
      </c>
      <c r="R22" s="81">
        <f>P22-Q22</f>
        <v/>
      </c>
      <c r="S22" s="79">
        <f>MAX(0,Q22*$G$36-G22)</f>
        <v/>
      </c>
      <c r="T22" s="80">
        <f>N(Ativos!E22)</f>
        <v/>
      </c>
      <c r="U22" s="83">
        <f>T22/12</f>
        <v/>
      </c>
      <c r="V22" s="79">
        <f>C22*U22</f>
        <v/>
      </c>
      <c r="W22" s="81">
        <f>IF(META_MENSAL&gt;0,MIN(1,V22/META_MENSAL),0)</f>
        <v/>
      </c>
      <c r="X22" s="78">
        <f>IF(U22&gt;0,ROUNDUP(META_MENSAL/U22,0),0)</f>
        <v/>
      </c>
      <c r="Y22" s="78">
        <f>MAX(0,X22-C22)</f>
        <v/>
      </c>
      <c r="Z22" s="84">
        <f>Y22*F22</f>
        <v/>
      </c>
      <c r="AA22" s="85">
        <f>IF(APORTE_MENSAL&gt;0,ROUNDUP(Z22/APORTE_MENSAL,0),0)</f>
        <v/>
      </c>
      <c r="AB22" s="77">
        <f>IF(Ativos!C22="","",Ativos!C22)</f>
        <v/>
      </c>
    </row>
    <row r="23">
      <c r="A23" s="68">
        <f>IF(Ativos!A23="","",Ativos!A23)</f>
        <v/>
      </c>
      <c r="B23" s="68">
        <f>IF(Ativos!B23="","",Ativos!B23)</f>
        <v/>
      </c>
      <c r="C23" s="69">
        <f>SUMIFS('Lançamentos'!$D$5:$D$5000,'Lançamentos'!$B$5:$B$5000,A23,'Lançamentos'!$C$5:$C$5000,"COMPRA")-SUMIFS('Lançamentos'!$D$5:$D$5000,'Lançamentos'!$B$5:$B$5000,A23,'Lançamentos'!$C$5:$C$5000,"VENDA")</f>
        <v/>
      </c>
      <c r="D23" s="70">
        <f>IFERROR(SUMIFS('Lançamentos'!$G$5:$G$5000,'Lançamentos'!$B$5:$B$5000,A23,'Lançamentos'!$C$5:$C$5000,"COMPRA")/SUMIFS('Lançamentos'!$D$5:$D$5000,'Lançamentos'!$B$5:$B$5000,A23,'Lançamentos'!$C$5:$C$5000,"COMPRA"),0)</f>
        <v/>
      </c>
      <c r="E23" s="70">
        <f>C23*D23</f>
        <v/>
      </c>
      <c r="F23" s="71">
        <f>N(Ativos!D23)</f>
        <v/>
      </c>
      <c r="G23" s="70">
        <f>C23*F23</f>
        <v/>
      </c>
      <c r="H23" s="70">
        <f>G23-E23</f>
        <v/>
      </c>
      <c r="I23" s="72">
        <f>IF(E23&gt;0,H23/E23,0)</f>
        <v/>
      </c>
      <c r="J23" s="70">
        <f>SUMIFS(Proventos!$F$5:$F$5000,Proventos!$B$5:$B$5000,A23)</f>
        <v/>
      </c>
      <c r="K23" s="70">
        <f>SUMIFS(Proventos!$F$5:$F$5000,Proventos!$B$5:$B$5000,A23,Proventos!$A$5:$A$5000,"&gt;="&amp;(TODAY()-365))</f>
        <v/>
      </c>
      <c r="L23" s="70">
        <f>H23+J23</f>
        <v/>
      </c>
      <c r="M23" s="72">
        <f>IF(E23&gt;0,L23/E23,0)</f>
        <v/>
      </c>
      <c r="N23" s="72">
        <f>IF(D23&gt;0,T23/D23,0)</f>
        <v/>
      </c>
      <c r="O23" s="72">
        <f>IF(F23&gt;0,T23/F23,0)</f>
        <v/>
      </c>
      <c r="P23" s="72">
        <f>IF($G$36&gt;0,G23/$G$36,0)</f>
        <v/>
      </c>
      <c r="Q23" s="73">
        <f>N(Ativos!F23)</f>
        <v/>
      </c>
      <c r="R23" s="72">
        <f>P23-Q23</f>
        <v/>
      </c>
      <c r="S23" s="70">
        <f>MAX(0,Q23*$G$36-G23)</f>
        <v/>
      </c>
      <c r="T23" s="71">
        <f>N(Ativos!E23)</f>
        <v/>
      </c>
      <c r="U23" s="74">
        <f>T23/12</f>
        <v/>
      </c>
      <c r="V23" s="70">
        <f>C23*U23</f>
        <v/>
      </c>
      <c r="W23" s="72">
        <f>IF(META_MENSAL&gt;0,MIN(1,V23/META_MENSAL),0)</f>
        <v/>
      </c>
      <c r="X23" s="69">
        <f>IF(U23&gt;0,ROUNDUP(META_MENSAL/U23,0),0)</f>
        <v/>
      </c>
      <c r="Y23" s="69">
        <f>MAX(0,X23-C23)</f>
        <v/>
      </c>
      <c r="Z23" s="75">
        <f>Y23*F23</f>
        <v/>
      </c>
      <c r="AA23" s="76">
        <f>IF(APORTE_MENSAL&gt;0,ROUNDUP(Z23/APORTE_MENSAL,0),0)</f>
        <v/>
      </c>
      <c r="AB23" s="68">
        <f>IF(Ativos!C23="","",Ativos!C23)</f>
        <v/>
      </c>
    </row>
    <row r="24">
      <c r="A24" s="77">
        <f>IF(Ativos!A24="","",Ativos!A24)</f>
        <v/>
      </c>
      <c r="B24" s="77">
        <f>IF(Ativos!B24="","",Ativos!B24)</f>
        <v/>
      </c>
      <c r="C24" s="78">
        <f>SUMIFS('Lançamentos'!$D$5:$D$5000,'Lançamentos'!$B$5:$B$5000,A24,'Lançamentos'!$C$5:$C$5000,"COMPRA")-SUMIFS('Lançamentos'!$D$5:$D$5000,'Lançamentos'!$B$5:$B$5000,A24,'Lançamentos'!$C$5:$C$5000,"VENDA")</f>
        <v/>
      </c>
      <c r="D24" s="79">
        <f>IFERROR(SUMIFS('Lançamentos'!$G$5:$G$5000,'Lançamentos'!$B$5:$B$5000,A24,'Lançamentos'!$C$5:$C$5000,"COMPRA")/SUMIFS('Lançamentos'!$D$5:$D$5000,'Lançamentos'!$B$5:$B$5000,A24,'Lançamentos'!$C$5:$C$5000,"COMPRA"),0)</f>
        <v/>
      </c>
      <c r="E24" s="79">
        <f>C24*D24</f>
        <v/>
      </c>
      <c r="F24" s="80">
        <f>N(Ativos!D24)</f>
        <v/>
      </c>
      <c r="G24" s="79">
        <f>C24*F24</f>
        <v/>
      </c>
      <c r="H24" s="79">
        <f>G24-E24</f>
        <v/>
      </c>
      <c r="I24" s="81">
        <f>IF(E24&gt;0,H24/E24,0)</f>
        <v/>
      </c>
      <c r="J24" s="79">
        <f>SUMIFS(Proventos!$F$5:$F$5000,Proventos!$B$5:$B$5000,A24)</f>
        <v/>
      </c>
      <c r="K24" s="79">
        <f>SUMIFS(Proventos!$F$5:$F$5000,Proventos!$B$5:$B$5000,A24,Proventos!$A$5:$A$5000,"&gt;="&amp;(TODAY()-365))</f>
        <v/>
      </c>
      <c r="L24" s="79">
        <f>H24+J24</f>
        <v/>
      </c>
      <c r="M24" s="81">
        <f>IF(E24&gt;0,L24/E24,0)</f>
        <v/>
      </c>
      <c r="N24" s="81">
        <f>IF(D24&gt;0,T24/D24,0)</f>
        <v/>
      </c>
      <c r="O24" s="81">
        <f>IF(F24&gt;0,T24/F24,0)</f>
        <v/>
      </c>
      <c r="P24" s="81">
        <f>IF($G$36&gt;0,G24/$G$36,0)</f>
        <v/>
      </c>
      <c r="Q24" s="82">
        <f>N(Ativos!F24)</f>
        <v/>
      </c>
      <c r="R24" s="81">
        <f>P24-Q24</f>
        <v/>
      </c>
      <c r="S24" s="79">
        <f>MAX(0,Q24*$G$36-G24)</f>
        <v/>
      </c>
      <c r="T24" s="80">
        <f>N(Ativos!E24)</f>
        <v/>
      </c>
      <c r="U24" s="83">
        <f>T24/12</f>
        <v/>
      </c>
      <c r="V24" s="79">
        <f>C24*U24</f>
        <v/>
      </c>
      <c r="W24" s="81">
        <f>IF(META_MENSAL&gt;0,MIN(1,V24/META_MENSAL),0)</f>
        <v/>
      </c>
      <c r="X24" s="78">
        <f>IF(U24&gt;0,ROUNDUP(META_MENSAL/U24,0),0)</f>
        <v/>
      </c>
      <c r="Y24" s="78">
        <f>MAX(0,X24-C24)</f>
        <v/>
      </c>
      <c r="Z24" s="84">
        <f>Y24*F24</f>
        <v/>
      </c>
      <c r="AA24" s="85">
        <f>IF(APORTE_MENSAL&gt;0,ROUNDUP(Z24/APORTE_MENSAL,0),0)</f>
        <v/>
      </c>
      <c r="AB24" s="77">
        <f>IF(Ativos!C24="","",Ativos!C24)</f>
        <v/>
      </c>
    </row>
    <row r="25">
      <c r="A25" s="68">
        <f>IF(Ativos!A25="","",Ativos!A25)</f>
        <v/>
      </c>
      <c r="B25" s="68">
        <f>IF(Ativos!B25="","",Ativos!B25)</f>
        <v/>
      </c>
      <c r="C25" s="69">
        <f>SUMIFS('Lançamentos'!$D$5:$D$5000,'Lançamentos'!$B$5:$B$5000,A25,'Lançamentos'!$C$5:$C$5000,"COMPRA")-SUMIFS('Lançamentos'!$D$5:$D$5000,'Lançamentos'!$B$5:$B$5000,A25,'Lançamentos'!$C$5:$C$5000,"VENDA")</f>
        <v/>
      </c>
      <c r="D25" s="70">
        <f>IFERROR(SUMIFS('Lançamentos'!$G$5:$G$5000,'Lançamentos'!$B$5:$B$5000,A25,'Lançamentos'!$C$5:$C$5000,"COMPRA")/SUMIFS('Lançamentos'!$D$5:$D$5000,'Lançamentos'!$B$5:$B$5000,A25,'Lançamentos'!$C$5:$C$5000,"COMPRA"),0)</f>
        <v/>
      </c>
      <c r="E25" s="70">
        <f>C25*D25</f>
        <v/>
      </c>
      <c r="F25" s="71">
        <f>N(Ativos!D25)</f>
        <v/>
      </c>
      <c r="G25" s="70">
        <f>C25*F25</f>
        <v/>
      </c>
      <c r="H25" s="70">
        <f>G25-E25</f>
        <v/>
      </c>
      <c r="I25" s="72">
        <f>IF(E25&gt;0,H25/E25,0)</f>
        <v/>
      </c>
      <c r="J25" s="70">
        <f>SUMIFS(Proventos!$F$5:$F$5000,Proventos!$B$5:$B$5000,A25)</f>
        <v/>
      </c>
      <c r="K25" s="70">
        <f>SUMIFS(Proventos!$F$5:$F$5000,Proventos!$B$5:$B$5000,A25,Proventos!$A$5:$A$5000,"&gt;="&amp;(TODAY()-365))</f>
        <v/>
      </c>
      <c r="L25" s="70">
        <f>H25+J25</f>
        <v/>
      </c>
      <c r="M25" s="72">
        <f>IF(E25&gt;0,L25/E25,0)</f>
        <v/>
      </c>
      <c r="N25" s="72">
        <f>IF(D25&gt;0,T25/D25,0)</f>
        <v/>
      </c>
      <c r="O25" s="72">
        <f>IF(F25&gt;0,T25/F25,0)</f>
        <v/>
      </c>
      <c r="P25" s="72">
        <f>IF($G$36&gt;0,G25/$G$36,0)</f>
        <v/>
      </c>
      <c r="Q25" s="73">
        <f>N(Ativos!F25)</f>
        <v/>
      </c>
      <c r="R25" s="72">
        <f>P25-Q25</f>
        <v/>
      </c>
      <c r="S25" s="70">
        <f>MAX(0,Q25*$G$36-G25)</f>
        <v/>
      </c>
      <c r="T25" s="71">
        <f>N(Ativos!E25)</f>
        <v/>
      </c>
      <c r="U25" s="74">
        <f>T25/12</f>
        <v/>
      </c>
      <c r="V25" s="70">
        <f>C25*U25</f>
        <v/>
      </c>
      <c r="W25" s="72">
        <f>IF(META_MENSAL&gt;0,MIN(1,V25/META_MENSAL),0)</f>
        <v/>
      </c>
      <c r="X25" s="69">
        <f>IF(U25&gt;0,ROUNDUP(META_MENSAL/U25,0),0)</f>
        <v/>
      </c>
      <c r="Y25" s="69">
        <f>MAX(0,X25-C25)</f>
        <v/>
      </c>
      <c r="Z25" s="75">
        <f>Y25*F25</f>
        <v/>
      </c>
      <c r="AA25" s="76">
        <f>IF(APORTE_MENSAL&gt;0,ROUNDUP(Z25/APORTE_MENSAL,0),0)</f>
        <v/>
      </c>
      <c r="AB25" s="68">
        <f>IF(Ativos!C25="","",Ativos!C25)</f>
        <v/>
      </c>
    </row>
    <row r="26">
      <c r="A26" s="77">
        <f>IF(Ativos!A26="","",Ativos!A26)</f>
        <v/>
      </c>
      <c r="B26" s="77">
        <f>IF(Ativos!B26="","",Ativos!B26)</f>
        <v/>
      </c>
      <c r="C26" s="78">
        <f>SUMIFS('Lançamentos'!$D$5:$D$5000,'Lançamentos'!$B$5:$B$5000,A26,'Lançamentos'!$C$5:$C$5000,"COMPRA")-SUMIFS('Lançamentos'!$D$5:$D$5000,'Lançamentos'!$B$5:$B$5000,A26,'Lançamentos'!$C$5:$C$5000,"VENDA")</f>
        <v/>
      </c>
      <c r="D26" s="79">
        <f>IFERROR(SUMIFS('Lançamentos'!$G$5:$G$5000,'Lançamentos'!$B$5:$B$5000,A26,'Lançamentos'!$C$5:$C$5000,"COMPRA")/SUMIFS('Lançamentos'!$D$5:$D$5000,'Lançamentos'!$B$5:$B$5000,A26,'Lançamentos'!$C$5:$C$5000,"COMPRA"),0)</f>
        <v/>
      </c>
      <c r="E26" s="79">
        <f>C26*D26</f>
        <v/>
      </c>
      <c r="F26" s="80">
        <f>N(Ativos!D26)</f>
        <v/>
      </c>
      <c r="G26" s="79">
        <f>C26*F26</f>
        <v/>
      </c>
      <c r="H26" s="79">
        <f>G26-E26</f>
        <v/>
      </c>
      <c r="I26" s="81">
        <f>IF(E26&gt;0,H26/E26,0)</f>
        <v/>
      </c>
      <c r="J26" s="79">
        <f>SUMIFS(Proventos!$F$5:$F$5000,Proventos!$B$5:$B$5000,A26)</f>
        <v/>
      </c>
      <c r="K26" s="79">
        <f>SUMIFS(Proventos!$F$5:$F$5000,Proventos!$B$5:$B$5000,A26,Proventos!$A$5:$A$5000,"&gt;="&amp;(TODAY()-365))</f>
        <v/>
      </c>
      <c r="L26" s="79">
        <f>H26+J26</f>
        <v/>
      </c>
      <c r="M26" s="81">
        <f>IF(E26&gt;0,L26/E26,0)</f>
        <v/>
      </c>
      <c r="N26" s="81">
        <f>IF(D26&gt;0,T26/D26,0)</f>
        <v/>
      </c>
      <c r="O26" s="81">
        <f>IF(F26&gt;0,T26/F26,0)</f>
        <v/>
      </c>
      <c r="P26" s="81">
        <f>IF($G$36&gt;0,G26/$G$36,0)</f>
        <v/>
      </c>
      <c r="Q26" s="82">
        <f>N(Ativos!F26)</f>
        <v/>
      </c>
      <c r="R26" s="81">
        <f>P26-Q26</f>
        <v/>
      </c>
      <c r="S26" s="79">
        <f>MAX(0,Q26*$G$36-G26)</f>
        <v/>
      </c>
      <c r="T26" s="80">
        <f>N(Ativos!E26)</f>
        <v/>
      </c>
      <c r="U26" s="83">
        <f>T26/12</f>
        <v/>
      </c>
      <c r="V26" s="79">
        <f>C26*U26</f>
        <v/>
      </c>
      <c r="W26" s="81">
        <f>IF(META_MENSAL&gt;0,MIN(1,V26/META_MENSAL),0)</f>
        <v/>
      </c>
      <c r="X26" s="78">
        <f>IF(U26&gt;0,ROUNDUP(META_MENSAL/U26,0),0)</f>
        <v/>
      </c>
      <c r="Y26" s="78">
        <f>MAX(0,X26-C26)</f>
        <v/>
      </c>
      <c r="Z26" s="84">
        <f>Y26*F26</f>
        <v/>
      </c>
      <c r="AA26" s="85">
        <f>IF(APORTE_MENSAL&gt;0,ROUNDUP(Z26/APORTE_MENSAL,0),0)</f>
        <v/>
      </c>
      <c r="AB26" s="77">
        <f>IF(Ativos!C26="","",Ativos!C26)</f>
        <v/>
      </c>
    </row>
    <row r="27">
      <c r="A27" s="68">
        <f>IF(Ativos!A27="","",Ativos!A27)</f>
        <v/>
      </c>
      <c r="B27" s="68">
        <f>IF(Ativos!B27="","",Ativos!B27)</f>
        <v/>
      </c>
      <c r="C27" s="69">
        <f>SUMIFS('Lançamentos'!$D$5:$D$5000,'Lançamentos'!$B$5:$B$5000,A27,'Lançamentos'!$C$5:$C$5000,"COMPRA")-SUMIFS('Lançamentos'!$D$5:$D$5000,'Lançamentos'!$B$5:$B$5000,A27,'Lançamentos'!$C$5:$C$5000,"VENDA")</f>
        <v/>
      </c>
      <c r="D27" s="70">
        <f>IFERROR(SUMIFS('Lançamentos'!$G$5:$G$5000,'Lançamentos'!$B$5:$B$5000,A27,'Lançamentos'!$C$5:$C$5000,"COMPRA")/SUMIFS('Lançamentos'!$D$5:$D$5000,'Lançamentos'!$B$5:$B$5000,A27,'Lançamentos'!$C$5:$C$5000,"COMPRA"),0)</f>
        <v/>
      </c>
      <c r="E27" s="70">
        <f>C27*D27</f>
        <v/>
      </c>
      <c r="F27" s="71">
        <f>N(Ativos!D27)</f>
        <v/>
      </c>
      <c r="G27" s="70">
        <f>C27*F27</f>
        <v/>
      </c>
      <c r="H27" s="70">
        <f>G27-E27</f>
        <v/>
      </c>
      <c r="I27" s="72">
        <f>IF(E27&gt;0,H27/E27,0)</f>
        <v/>
      </c>
      <c r="J27" s="70">
        <f>SUMIFS(Proventos!$F$5:$F$5000,Proventos!$B$5:$B$5000,A27)</f>
        <v/>
      </c>
      <c r="K27" s="70">
        <f>SUMIFS(Proventos!$F$5:$F$5000,Proventos!$B$5:$B$5000,A27,Proventos!$A$5:$A$5000,"&gt;="&amp;(TODAY()-365))</f>
        <v/>
      </c>
      <c r="L27" s="70">
        <f>H27+J27</f>
        <v/>
      </c>
      <c r="M27" s="72">
        <f>IF(E27&gt;0,L27/E27,0)</f>
        <v/>
      </c>
      <c r="N27" s="72">
        <f>IF(D27&gt;0,T27/D27,0)</f>
        <v/>
      </c>
      <c r="O27" s="72">
        <f>IF(F27&gt;0,T27/F27,0)</f>
        <v/>
      </c>
      <c r="P27" s="72">
        <f>IF($G$36&gt;0,G27/$G$36,0)</f>
        <v/>
      </c>
      <c r="Q27" s="73">
        <f>N(Ativos!F27)</f>
        <v/>
      </c>
      <c r="R27" s="72">
        <f>P27-Q27</f>
        <v/>
      </c>
      <c r="S27" s="70">
        <f>MAX(0,Q27*$G$36-G27)</f>
        <v/>
      </c>
      <c r="T27" s="71">
        <f>N(Ativos!E27)</f>
        <v/>
      </c>
      <c r="U27" s="74">
        <f>T27/12</f>
        <v/>
      </c>
      <c r="V27" s="70">
        <f>C27*U27</f>
        <v/>
      </c>
      <c r="W27" s="72">
        <f>IF(META_MENSAL&gt;0,MIN(1,V27/META_MENSAL),0)</f>
        <v/>
      </c>
      <c r="X27" s="69">
        <f>IF(U27&gt;0,ROUNDUP(META_MENSAL/U27,0),0)</f>
        <v/>
      </c>
      <c r="Y27" s="69">
        <f>MAX(0,X27-C27)</f>
        <v/>
      </c>
      <c r="Z27" s="75">
        <f>Y27*F27</f>
        <v/>
      </c>
      <c r="AA27" s="76">
        <f>IF(APORTE_MENSAL&gt;0,ROUNDUP(Z27/APORTE_MENSAL,0),0)</f>
        <v/>
      </c>
      <c r="AB27" s="68">
        <f>IF(Ativos!C27="","",Ativos!C27)</f>
        <v/>
      </c>
    </row>
    <row r="28">
      <c r="A28" s="77">
        <f>IF(Ativos!A28="","",Ativos!A28)</f>
        <v/>
      </c>
      <c r="B28" s="77">
        <f>IF(Ativos!B28="","",Ativos!B28)</f>
        <v/>
      </c>
      <c r="C28" s="78">
        <f>SUMIFS('Lançamentos'!$D$5:$D$5000,'Lançamentos'!$B$5:$B$5000,A28,'Lançamentos'!$C$5:$C$5000,"COMPRA")-SUMIFS('Lançamentos'!$D$5:$D$5000,'Lançamentos'!$B$5:$B$5000,A28,'Lançamentos'!$C$5:$C$5000,"VENDA")</f>
        <v/>
      </c>
      <c r="D28" s="79">
        <f>IFERROR(SUMIFS('Lançamentos'!$G$5:$G$5000,'Lançamentos'!$B$5:$B$5000,A28,'Lançamentos'!$C$5:$C$5000,"COMPRA")/SUMIFS('Lançamentos'!$D$5:$D$5000,'Lançamentos'!$B$5:$B$5000,A28,'Lançamentos'!$C$5:$C$5000,"COMPRA"),0)</f>
        <v/>
      </c>
      <c r="E28" s="79">
        <f>C28*D28</f>
        <v/>
      </c>
      <c r="F28" s="80">
        <f>N(Ativos!D28)</f>
        <v/>
      </c>
      <c r="G28" s="79">
        <f>C28*F28</f>
        <v/>
      </c>
      <c r="H28" s="79">
        <f>G28-E28</f>
        <v/>
      </c>
      <c r="I28" s="81">
        <f>IF(E28&gt;0,H28/E28,0)</f>
        <v/>
      </c>
      <c r="J28" s="79">
        <f>SUMIFS(Proventos!$F$5:$F$5000,Proventos!$B$5:$B$5000,A28)</f>
        <v/>
      </c>
      <c r="K28" s="79">
        <f>SUMIFS(Proventos!$F$5:$F$5000,Proventos!$B$5:$B$5000,A28,Proventos!$A$5:$A$5000,"&gt;="&amp;(TODAY()-365))</f>
        <v/>
      </c>
      <c r="L28" s="79">
        <f>H28+J28</f>
        <v/>
      </c>
      <c r="M28" s="81">
        <f>IF(E28&gt;0,L28/E28,0)</f>
        <v/>
      </c>
      <c r="N28" s="81">
        <f>IF(D28&gt;0,T28/D28,0)</f>
        <v/>
      </c>
      <c r="O28" s="81">
        <f>IF(F28&gt;0,T28/F28,0)</f>
        <v/>
      </c>
      <c r="P28" s="81">
        <f>IF($G$36&gt;0,G28/$G$36,0)</f>
        <v/>
      </c>
      <c r="Q28" s="82">
        <f>N(Ativos!F28)</f>
        <v/>
      </c>
      <c r="R28" s="81">
        <f>P28-Q28</f>
        <v/>
      </c>
      <c r="S28" s="79">
        <f>MAX(0,Q28*$G$36-G28)</f>
        <v/>
      </c>
      <c r="T28" s="80">
        <f>N(Ativos!E28)</f>
        <v/>
      </c>
      <c r="U28" s="83">
        <f>T28/12</f>
        <v/>
      </c>
      <c r="V28" s="79">
        <f>C28*U28</f>
        <v/>
      </c>
      <c r="W28" s="81">
        <f>IF(META_MENSAL&gt;0,MIN(1,V28/META_MENSAL),0)</f>
        <v/>
      </c>
      <c r="X28" s="78">
        <f>IF(U28&gt;0,ROUNDUP(META_MENSAL/U28,0),0)</f>
        <v/>
      </c>
      <c r="Y28" s="78">
        <f>MAX(0,X28-C28)</f>
        <v/>
      </c>
      <c r="Z28" s="84">
        <f>Y28*F28</f>
        <v/>
      </c>
      <c r="AA28" s="85">
        <f>IF(APORTE_MENSAL&gt;0,ROUNDUP(Z28/APORTE_MENSAL,0),0)</f>
        <v/>
      </c>
      <c r="AB28" s="77">
        <f>IF(Ativos!C28="","",Ativos!C28)</f>
        <v/>
      </c>
    </row>
    <row r="29">
      <c r="A29" s="68">
        <f>IF(Ativos!A29="","",Ativos!A29)</f>
        <v/>
      </c>
      <c r="B29" s="68">
        <f>IF(Ativos!B29="","",Ativos!B29)</f>
        <v/>
      </c>
      <c r="C29" s="69">
        <f>SUMIFS('Lançamentos'!$D$5:$D$5000,'Lançamentos'!$B$5:$B$5000,A29,'Lançamentos'!$C$5:$C$5000,"COMPRA")-SUMIFS('Lançamentos'!$D$5:$D$5000,'Lançamentos'!$B$5:$B$5000,A29,'Lançamentos'!$C$5:$C$5000,"VENDA")</f>
        <v/>
      </c>
      <c r="D29" s="70">
        <f>IFERROR(SUMIFS('Lançamentos'!$G$5:$G$5000,'Lançamentos'!$B$5:$B$5000,A29,'Lançamentos'!$C$5:$C$5000,"COMPRA")/SUMIFS('Lançamentos'!$D$5:$D$5000,'Lançamentos'!$B$5:$B$5000,A29,'Lançamentos'!$C$5:$C$5000,"COMPRA"),0)</f>
        <v/>
      </c>
      <c r="E29" s="70">
        <f>C29*D29</f>
        <v/>
      </c>
      <c r="F29" s="71">
        <f>N(Ativos!D29)</f>
        <v/>
      </c>
      <c r="G29" s="70">
        <f>C29*F29</f>
        <v/>
      </c>
      <c r="H29" s="70">
        <f>G29-E29</f>
        <v/>
      </c>
      <c r="I29" s="72">
        <f>IF(E29&gt;0,H29/E29,0)</f>
        <v/>
      </c>
      <c r="J29" s="70">
        <f>SUMIFS(Proventos!$F$5:$F$5000,Proventos!$B$5:$B$5000,A29)</f>
        <v/>
      </c>
      <c r="K29" s="70">
        <f>SUMIFS(Proventos!$F$5:$F$5000,Proventos!$B$5:$B$5000,A29,Proventos!$A$5:$A$5000,"&gt;="&amp;(TODAY()-365))</f>
        <v/>
      </c>
      <c r="L29" s="70">
        <f>H29+J29</f>
        <v/>
      </c>
      <c r="M29" s="72">
        <f>IF(E29&gt;0,L29/E29,0)</f>
        <v/>
      </c>
      <c r="N29" s="72">
        <f>IF(D29&gt;0,T29/D29,0)</f>
        <v/>
      </c>
      <c r="O29" s="72">
        <f>IF(F29&gt;0,T29/F29,0)</f>
        <v/>
      </c>
      <c r="P29" s="72">
        <f>IF($G$36&gt;0,G29/$G$36,0)</f>
        <v/>
      </c>
      <c r="Q29" s="73">
        <f>N(Ativos!F29)</f>
        <v/>
      </c>
      <c r="R29" s="72">
        <f>P29-Q29</f>
        <v/>
      </c>
      <c r="S29" s="70">
        <f>MAX(0,Q29*$G$36-G29)</f>
        <v/>
      </c>
      <c r="T29" s="71">
        <f>N(Ativos!E29)</f>
        <v/>
      </c>
      <c r="U29" s="74">
        <f>T29/12</f>
        <v/>
      </c>
      <c r="V29" s="70">
        <f>C29*U29</f>
        <v/>
      </c>
      <c r="W29" s="72">
        <f>IF(META_MENSAL&gt;0,MIN(1,V29/META_MENSAL),0)</f>
        <v/>
      </c>
      <c r="X29" s="69">
        <f>IF(U29&gt;0,ROUNDUP(META_MENSAL/U29,0),0)</f>
        <v/>
      </c>
      <c r="Y29" s="69">
        <f>MAX(0,X29-C29)</f>
        <v/>
      </c>
      <c r="Z29" s="75">
        <f>Y29*F29</f>
        <v/>
      </c>
      <c r="AA29" s="76">
        <f>IF(APORTE_MENSAL&gt;0,ROUNDUP(Z29/APORTE_MENSAL,0),0)</f>
        <v/>
      </c>
      <c r="AB29" s="68">
        <f>IF(Ativos!C29="","",Ativos!C29)</f>
        <v/>
      </c>
    </row>
    <row r="30">
      <c r="A30" s="77">
        <f>IF(Ativos!A30="","",Ativos!A30)</f>
        <v/>
      </c>
      <c r="B30" s="77">
        <f>IF(Ativos!B30="","",Ativos!B30)</f>
        <v/>
      </c>
      <c r="C30" s="78">
        <f>SUMIFS('Lançamentos'!$D$5:$D$5000,'Lançamentos'!$B$5:$B$5000,A30,'Lançamentos'!$C$5:$C$5000,"COMPRA")-SUMIFS('Lançamentos'!$D$5:$D$5000,'Lançamentos'!$B$5:$B$5000,A30,'Lançamentos'!$C$5:$C$5000,"VENDA")</f>
        <v/>
      </c>
      <c r="D30" s="79">
        <f>IFERROR(SUMIFS('Lançamentos'!$G$5:$G$5000,'Lançamentos'!$B$5:$B$5000,A30,'Lançamentos'!$C$5:$C$5000,"COMPRA")/SUMIFS('Lançamentos'!$D$5:$D$5000,'Lançamentos'!$B$5:$B$5000,A30,'Lançamentos'!$C$5:$C$5000,"COMPRA"),0)</f>
        <v/>
      </c>
      <c r="E30" s="79">
        <f>C30*D30</f>
        <v/>
      </c>
      <c r="F30" s="80">
        <f>N(Ativos!D30)</f>
        <v/>
      </c>
      <c r="G30" s="79">
        <f>C30*F30</f>
        <v/>
      </c>
      <c r="H30" s="79">
        <f>G30-E30</f>
        <v/>
      </c>
      <c r="I30" s="81">
        <f>IF(E30&gt;0,H30/E30,0)</f>
        <v/>
      </c>
      <c r="J30" s="79">
        <f>SUMIFS(Proventos!$F$5:$F$5000,Proventos!$B$5:$B$5000,A30)</f>
        <v/>
      </c>
      <c r="K30" s="79">
        <f>SUMIFS(Proventos!$F$5:$F$5000,Proventos!$B$5:$B$5000,A30,Proventos!$A$5:$A$5000,"&gt;="&amp;(TODAY()-365))</f>
        <v/>
      </c>
      <c r="L30" s="79">
        <f>H30+J30</f>
        <v/>
      </c>
      <c r="M30" s="81">
        <f>IF(E30&gt;0,L30/E30,0)</f>
        <v/>
      </c>
      <c r="N30" s="81">
        <f>IF(D30&gt;0,T30/D30,0)</f>
        <v/>
      </c>
      <c r="O30" s="81">
        <f>IF(F30&gt;0,T30/F30,0)</f>
        <v/>
      </c>
      <c r="P30" s="81">
        <f>IF($G$36&gt;0,G30/$G$36,0)</f>
        <v/>
      </c>
      <c r="Q30" s="82">
        <f>N(Ativos!F30)</f>
        <v/>
      </c>
      <c r="R30" s="81">
        <f>P30-Q30</f>
        <v/>
      </c>
      <c r="S30" s="79">
        <f>MAX(0,Q30*$G$36-G30)</f>
        <v/>
      </c>
      <c r="T30" s="80">
        <f>N(Ativos!E30)</f>
        <v/>
      </c>
      <c r="U30" s="83">
        <f>T30/12</f>
        <v/>
      </c>
      <c r="V30" s="79">
        <f>C30*U30</f>
        <v/>
      </c>
      <c r="W30" s="81">
        <f>IF(META_MENSAL&gt;0,MIN(1,V30/META_MENSAL),0)</f>
        <v/>
      </c>
      <c r="X30" s="78">
        <f>IF(U30&gt;0,ROUNDUP(META_MENSAL/U30,0),0)</f>
        <v/>
      </c>
      <c r="Y30" s="78">
        <f>MAX(0,X30-C30)</f>
        <v/>
      </c>
      <c r="Z30" s="84">
        <f>Y30*F30</f>
        <v/>
      </c>
      <c r="AA30" s="85">
        <f>IF(APORTE_MENSAL&gt;0,ROUNDUP(Z30/APORTE_MENSAL,0),0)</f>
        <v/>
      </c>
      <c r="AB30" s="77">
        <f>IF(Ativos!C30="","",Ativos!C30)</f>
        <v/>
      </c>
    </row>
    <row r="31">
      <c r="A31" s="68">
        <f>IF(Ativos!A31="","",Ativos!A31)</f>
        <v/>
      </c>
      <c r="B31" s="68">
        <f>IF(Ativos!B31="","",Ativos!B31)</f>
        <v/>
      </c>
      <c r="C31" s="69">
        <f>SUMIFS('Lançamentos'!$D$5:$D$5000,'Lançamentos'!$B$5:$B$5000,A31,'Lançamentos'!$C$5:$C$5000,"COMPRA")-SUMIFS('Lançamentos'!$D$5:$D$5000,'Lançamentos'!$B$5:$B$5000,A31,'Lançamentos'!$C$5:$C$5000,"VENDA")</f>
        <v/>
      </c>
      <c r="D31" s="70">
        <f>IFERROR(SUMIFS('Lançamentos'!$G$5:$G$5000,'Lançamentos'!$B$5:$B$5000,A31,'Lançamentos'!$C$5:$C$5000,"COMPRA")/SUMIFS('Lançamentos'!$D$5:$D$5000,'Lançamentos'!$B$5:$B$5000,A31,'Lançamentos'!$C$5:$C$5000,"COMPRA"),0)</f>
        <v/>
      </c>
      <c r="E31" s="70">
        <f>C31*D31</f>
        <v/>
      </c>
      <c r="F31" s="71">
        <f>N(Ativos!D31)</f>
        <v/>
      </c>
      <c r="G31" s="70">
        <f>C31*F31</f>
        <v/>
      </c>
      <c r="H31" s="70">
        <f>G31-E31</f>
        <v/>
      </c>
      <c r="I31" s="72">
        <f>IF(E31&gt;0,H31/E31,0)</f>
        <v/>
      </c>
      <c r="J31" s="70">
        <f>SUMIFS(Proventos!$F$5:$F$5000,Proventos!$B$5:$B$5000,A31)</f>
        <v/>
      </c>
      <c r="K31" s="70">
        <f>SUMIFS(Proventos!$F$5:$F$5000,Proventos!$B$5:$B$5000,A31,Proventos!$A$5:$A$5000,"&gt;="&amp;(TODAY()-365))</f>
        <v/>
      </c>
      <c r="L31" s="70">
        <f>H31+J31</f>
        <v/>
      </c>
      <c r="M31" s="72">
        <f>IF(E31&gt;0,L31/E31,0)</f>
        <v/>
      </c>
      <c r="N31" s="72">
        <f>IF(D31&gt;0,T31/D31,0)</f>
        <v/>
      </c>
      <c r="O31" s="72">
        <f>IF(F31&gt;0,T31/F31,0)</f>
        <v/>
      </c>
      <c r="P31" s="72">
        <f>IF($G$36&gt;0,G31/$G$36,0)</f>
        <v/>
      </c>
      <c r="Q31" s="73">
        <f>N(Ativos!F31)</f>
        <v/>
      </c>
      <c r="R31" s="72">
        <f>P31-Q31</f>
        <v/>
      </c>
      <c r="S31" s="70">
        <f>MAX(0,Q31*$G$36-G31)</f>
        <v/>
      </c>
      <c r="T31" s="71">
        <f>N(Ativos!E31)</f>
        <v/>
      </c>
      <c r="U31" s="74">
        <f>T31/12</f>
        <v/>
      </c>
      <c r="V31" s="70">
        <f>C31*U31</f>
        <v/>
      </c>
      <c r="W31" s="72">
        <f>IF(META_MENSAL&gt;0,MIN(1,V31/META_MENSAL),0)</f>
        <v/>
      </c>
      <c r="X31" s="69">
        <f>IF(U31&gt;0,ROUNDUP(META_MENSAL/U31,0),0)</f>
        <v/>
      </c>
      <c r="Y31" s="69">
        <f>MAX(0,X31-C31)</f>
        <v/>
      </c>
      <c r="Z31" s="75">
        <f>Y31*F31</f>
        <v/>
      </c>
      <c r="AA31" s="76">
        <f>IF(APORTE_MENSAL&gt;0,ROUNDUP(Z31/APORTE_MENSAL,0),0)</f>
        <v/>
      </c>
      <c r="AB31" s="68">
        <f>IF(Ativos!C31="","",Ativos!C31)</f>
        <v/>
      </c>
    </row>
    <row r="32">
      <c r="A32" s="77">
        <f>IF(Ativos!A32="","",Ativos!A32)</f>
        <v/>
      </c>
      <c r="B32" s="77">
        <f>IF(Ativos!B32="","",Ativos!B32)</f>
        <v/>
      </c>
      <c r="C32" s="78">
        <f>SUMIFS('Lançamentos'!$D$5:$D$5000,'Lançamentos'!$B$5:$B$5000,A32,'Lançamentos'!$C$5:$C$5000,"COMPRA")-SUMIFS('Lançamentos'!$D$5:$D$5000,'Lançamentos'!$B$5:$B$5000,A32,'Lançamentos'!$C$5:$C$5000,"VENDA")</f>
        <v/>
      </c>
      <c r="D32" s="79">
        <f>IFERROR(SUMIFS('Lançamentos'!$G$5:$G$5000,'Lançamentos'!$B$5:$B$5000,A32,'Lançamentos'!$C$5:$C$5000,"COMPRA")/SUMIFS('Lançamentos'!$D$5:$D$5000,'Lançamentos'!$B$5:$B$5000,A32,'Lançamentos'!$C$5:$C$5000,"COMPRA"),0)</f>
        <v/>
      </c>
      <c r="E32" s="79">
        <f>C32*D32</f>
        <v/>
      </c>
      <c r="F32" s="80">
        <f>N(Ativos!D32)</f>
        <v/>
      </c>
      <c r="G32" s="79">
        <f>C32*F32</f>
        <v/>
      </c>
      <c r="H32" s="79">
        <f>G32-E32</f>
        <v/>
      </c>
      <c r="I32" s="81">
        <f>IF(E32&gt;0,H32/E32,0)</f>
        <v/>
      </c>
      <c r="J32" s="79">
        <f>SUMIFS(Proventos!$F$5:$F$5000,Proventos!$B$5:$B$5000,A32)</f>
        <v/>
      </c>
      <c r="K32" s="79">
        <f>SUMIFS(Proventos!$F$5:$F$5000,Proventos!$B$5:$B$5000,A32,Proventos!$A$5:$A$5000,"&gt;="&amp;(TODAY()-365))</f>
        <v/>
      </c>
      <c r="L32" s="79">
        <f>H32+J32</f>
        <v/>
      </c>
      <c r="M32" s="81">
        <f>IF(E32&gt;0,L32/E32,0)</f>
        <v/>
      </c>
      <c r="N32" s="81">
        <f>IF(D32&gt;0,T32/D32,0)</f>
        <v/>
      </c>
      <c r="O32" s="81">
        <f>IF(F32&gt;0,T32/F32,0)</f>
        <v/>
      </c>
      <c r="P32" s="81">
        <f>IF($G$36&gt;0,G32/$G$36,0)</f>
        <v/>
      </c>
      <c r="Q32" s="82">
        <f>N(Ativos!F32)</f>
        <v/>
      </c>
      <c r="R32" s="81">
        <f>P32-Q32</f>
        <v/>
      </c>
      <c r="S32" s="79">
        <f>MAX(0,Q32*$G$36-G32)</f>
        <v/>
      </c>
      <c r="T32" s="80">
        <f>N(Ativos!E32)</f>
        <v/>
      </c>
      <c r="U32" s="83">
        <f>T32/12</f>
        <v/>
      </c>
      <c r="V32" s="79">
        <f>C32*U32</f>
        <v/>
      </c>
      <c r="W32" s="81">
        <f>IF(META_MENSAL&gt;0,MIN(1,V32/META_MENSAL),0)</f>
        <v/>
      </c>
      <c r="X32" s="78">
        <f>IF(U32&gt;0,ROUNDUP(META_MENSAL/U32,0),0)</f>
        <v/>
      </c>
      <c r="Y32" s="78">
        <f>MAX(0,X32-C32)</f>
        <v/>
      </c>
      <c r="Z32" s="84">
        <f>Y32*F32</f>
        <v/>
      </c>
      <c r="AA32" s="85">
        <f>IF(APORTE_MENSAL&gt;0,ROUNDUP(Z32/APORTE_MENSAL,0),0)</f>
        <v/>
      </c>
      <c r="AB32" s="77">
        <f>IF(Ativos!C32="","",Ativos!C32)</f>
        <v/>
      </c>
    </row>
    <row r="33">
      <c r="A33" s="68">
        <f>IF(Ativos!A33="","",Ativos!A33)</f>
        <v/>
      </c>
      <c r="B33" s="68">
        <f>IF(Ativos!B33="","",Ativos!B33)</f>
        <v/>
      </c>
      <c r="C33" s="69">
        <f>SUMIFS('Lançamentos'!$D$5:$D$5000,'Lançamentos'!$B$5:$B$5000,A33,'Lançamentos'!$C$5:$C$5000,"COMPRA")-SUMIFS('Lançamentos'!$D$5:$D$5000,'Lançamentos'!$B$5:$B$5000,A33,'Lançamentos'!$C$5:$C$5000,"VENDA")</f>
        <v/>
      </c>
      <c r="D33" s="70">
        <f>IFERROR(SUMIFS('Lançamentos'!$G$5:$G$5000,'Lançamentos'!$B$5:$B$5000,A33,'Lançamentos'!$C$5:$C$5000,"COMPRA")/SUMIFS('Lançamentos'!$D$5:$D$5000,'Lançamentos'!$B$5:$B$5000,A33,'Lançamentos'!$C$5:$C$5000,"COMPRA"),0)</f>
        <v/>
      </c>
      <c r="E33" s="70">
        <f>C33*D33</f>
        <v/>
      </c>
      <c r="F33" s="71">
        <f>N(Ativos!D33)</f>
        <v/>
      </c>
      <c r="G33" s="70">
        <f>C33*F33</f>
        <v/>
      </c>
      <c r="H33" s="70">
        <f>G33-E33</f>
        <v/>
      </c>
      <c r="I33" s="72">
        <f>IF(E33&gt;0,H33/E33,0)</f>
        <v/>
      </c>
      <c r="J33" s="70">
        <f>SUMIFS(Proventos!$F$5:$F$5000,Proventos!$B$5:$B$5000,A33)</f>
        <v/>
      </c>
      <c r="K33" s="70">
        <f>SUMIFS(Proventos!$F$5:$F$5000,Proventos!$B$5:$B$5000,A33,Proventos!$A$5:$A$5000,"&gt;="&amp;(TODAY()-365))</f>
        <v/>
      </c>
      <c r="L33" s="70">
        <f>H33+J33</f>
        <v/>
      </c>
      <c r="M33" s="72">
        <f>IF(E33&gt;0,L33/E33,0)</f>
        <v/>
      </c>
      <c r="N33" s="72">
        <f>IF(D33&gt;0,T33/D33,0)</f>
        <v/>
      </c>
      <c r="O33" s="72">
        <f>IF(F33&gt;0,T33/F33,0)</f>
        <v/>
      </c>
      <c r="P33" s="72">
        <f>IF($G$36&gt;0,G33/$G$36,0)</f>
        <v/>
      </c>
      <c r="Q33" s="73">
        <f>N(Ativos!F33)</f>
        <v/>
      </c>
      <c r="R33" s="72">
        <f>P33-Q33</f>
        <v/>
      </c>
      <c r="S33" s="70">
        <f>MAX(0,Q33*$G$36-G33)</f>
        <v/>
      </c>
      <c r="T33" s="71">
        <f>N(Ativos!E33)</f>
        <v/>
      </c>
      <c r="U33" s="74">
        <f>T33/12</f>
        <v/>
      </c>
      <c r="V33" s="70">
        <f>C33*U33</f>
        <v/>
      </c>
      <c r="W33" s="72">
        <f>IF(META_MENSAL&gt;0,MIN(1,V33/META_MENSAL),0)</f>
        <v/>
      </c>
      <c r="X33" s="69">
        <f>IF(U33&gt;0,ROUNDUP(META_MENSAL/U33,0),0)</f>
        <v/>
      </c>
      <c r="Y33" s="69">
        <f>MAX(0,X33-C33)</f>
        <v/>
      </c>
      <c r="Z33" s="75">
        <f>Y33*F33</f>
        <v/>
      </c>
      <c r="AA33" s="76">
        <f>IF(APORTE_MENSAL&gt;0,ROUNDUP(Z33/APORTE_MENSAL,0),0)</f>
        <v/>
      </c>
      <c r="AB33" s="68">
        <f>IF(Ativos!C33="","",Ativos!C33)</f>
        <v/>
      </c>
    </row>
    <row r="34">
      <c r="A34" s="77">
        <f>IF(Ativos!A34="","",Ativos!A34)</f>
        <v/>
      </c>
      <c r="B34" s="77">
        <f>IF(Ativos!B34="","",Ativos!B34)</f>
        <v/>
      </c>
      <c r="C34" s="78">
        <f>SUMIFS('Lançamentos'!$D$5:$D$5000,'Lançamentos'!$B$5:$B$5000,A34,'Lançamentos'!$C$5:$C$5000,"COMPRA")-SUMIFS('Lançamentos'!$D$5:$D$5000,'Lançamentos'!$B$5:$B$5000,A34,'Lançamentos'!$C$5:$C$5000,"VENDA")</f>
        <v/>
      </c>
      <c r="D34" s="79">
        <f>IFERROR(SUMIFS('Lançamentos'!$G$5:$G$5000,'Lançamentos'!$B$5:$B$5000,A34,'Lançamentos'!$C$5:$C$5000,"COMPRA")/SUMIFS('Lançamentos'!$D$5:$D$5000,'Lançamentos'!$B$5:$B$5000,A34,'Lançamentos'!$C$5:$C$5000,"COMPRA"),0)</f>
        <v/>
      </c>
      <c r="E34" s="79">
        <f>C34*D34</f>
        <v/>
      </c>
      <c r="F34" s="80">
        <f>N(Ativos!D34)</f>
        <v/>
      </c>
      <c r="G34" s="79">
        <f>C34*F34</f>
        <v/>
      </c>
      <c r="H34" s="79">
        <f>G34-E34</f>
        <v/>
      </c>
      <c r="I34" s="81">
        <f>IF(E34&gt;0,H34/E34,0)</f>
        <v/>
      </c>
      <c r="J34" s="79">
        <f>SUMIFS(Proventos!$F$5:$F$5000,Proventos!$B$5:$B$5000,A34)</f>
        <v/>
      </c>
      <c r="K34" s="79">
        <f>SUMIFS(Proventos!$F$5:$F$5000,Proventos!$B$5:$B$5000,A34,Proventos!$A$5:$A$5000,"&gt;="&amp;(TODAY()-365))</f>
        <v/>
      </c>
      <c r="L34" s="79">
        <f>H34+J34</f>
        <v/>
      </c>
      <c r="M34" s="81">
        <f>IF(E34&gt;0,L34/E34,0)</f>
        <v/>
      </c>
      <c r="N34" s="81">
        <f>IF(D34&gt;0,T34/D34,0)</f>
        <v/>
      </c>
      <c r="O34" s="81">
        <f>IF(F34&gt;0,T34/F34,0)</f>
        <v/>
      </c>
      <c r="P34" s="81">
        <f>IF($G$36&gt;0,G34/$G$36,0)</f>
        <v/>
      </c>
      <c r="Q34" s="82">
        <f>N(Ativos!F34)</f>
        <v/>
      </c>
      <c r="R34" s="81">
        <f>P34-Q34</f>
        <v/>
      </c>
      <c r="S34" s="79">
        <f>MAX(0,Q34*$G$36-G34)</f>
        <v/>
      </c>
      <c r="T34" s="80">
        <f>N(Ativos!E34)</f>
        <v/>
      </c>
      <c r="U34" s="83">
        <f>T34/12</f>
        <v/>
      </c>
      <c r="V34" s="79">
        <f>C34*U34</f>
        <v/>
      </c>
      <c r="W34" s="81">
        <f>IF(META_MENSAL&gt;0,MIN(1,V34/META_MENSAL),0)</f>
        <v/>
      </c>
      <c r="X34" s="78">
        <f>IF(U34&gt;0,ROUNDUP(META_MENSAL/U34,0),0)</f>
        <v/>
      </c>
      <c r="Y34" s="78">
        <f>MAX(0,X34-C34)</f>
        <v/>
      </c>
      <c r="Z34" s="84">
        <f>Y34*F34</f>
        <v/>
      </c>
      <c r="AA34" s="85">
        <f>IF(APORTE_MENSAL&gt;0,ROUNDUP(Z34/APORTE_MENSAL,0),0)</f>
        <v/>
      </c>
      <c r="AB34" s="77">
        <f>IF(Ativos!C34="","",Ativos!C34)</f>
        <v/>
      </c>
    </row>
    <row r="35">
      <c r="A35" s="68">
        <f>IF(Ativos!A35="","",Ativos!A35)</f>
        <v/>
      </c>
      <c r="B35" s="68">
        <f>IF(Ativos!B35="","",Ativos!B35)</f>
        <v/>
      </c>
      <c r="C35" s="69">
        <f>SUMIFS('Lançamentos'!$D$5:$D$5000,'Lançamentos'!$B$5:$B$5000,A35,'Lançamentos'!$C$5:$C$5000,"COMPRA")-SUMIFS('Lançamentos'!$D$5:$D$5000,'Lançamentos'!$B$5:$B$5000,A35,'Lançamentos'!$C$5:$C$5000,"VENDA")</f>
        <v/>
      </c>
      <c r="D35" s="70">
        <f>IFERROR(SUMIFS('Lançamentos'!$G$5:$G$5000,'Lançamentos'!$B$5:$B$5000,A35,'Lançamentos'!$C$5:$C$5000,"COMPRA")/SUMIFS('Lançamentos'!$D$5:$D$5000,'Lançamentos'!$B$5:$B$5000,A35,'Lançamentos'!$C$5:$C$5000,"COMPRA"),0)</f>
        <v/>
      </c>
      <c r="E35" s="70">
        <f>C35*D35</f>
        <v/>
      </c>
      <c r="F35" s="71">
        <f>N(Ativos!D35)</f>
        <v/>
      </c>
      <c r="G35" s="70">
        <f>C35*F35</f>
        <v/>
      </c>
      <c r="H35" s="70">
        <f>G35-E35</f>
        <v/>
      </c>
      <c r="I35" s="72">
        <f>IF(E35&gt;0,H35/E35,0)</f>
        <v/>
      </c>
      <c r="J35" s="70">
        <f>SUMIFS(Proventos!$F$5:$F$5000,Proventos!$B$5:$B$5000,A35)</f>
        <v/>
      </c>
      <c r="K35" s="70">
        <f>SUMIFS(Proventos!$F$5:$F$5000,Proventos!$B$5:$B$5000,A35,Proventos!$A$5:$A$5000,"&gt;="&amp;(TODAY()-365))</f>
        <v/>
      </c>
      <c r="L35" s="70">
        <f>H35+J35</f>
        <v/>
      </c>
      <c r="M35" s="72">
        <f>IF(E35&gt;0,L35/E35,0)</f>
        <v/>
      </c>
      <c r="N35" s="72">
        <f>IF(D35&gt;0,T35/D35,0)</f>
        <v/>
      </c>
      <c r="O35" s="72">
        <f>IF(F35&gt;0,T35/F35,0)</f>
        <v/>
      </c>
      <c r="P35" s="72">
        <f>IF($G$36&gt;0,G35/$G$36,0)</f>
        <v/>
      </c>
      <c r="Q35" s="73">
        <f>N(Ativos!F35)</f>
        <v/>
      </c>
      <c r="R35" s="72">
        <f>P35-Q35</f>
        <v/>
      </c>
      <c r="S35" s="70">
        <f>MAX(0,Q35*$G$36-G35)</f>
        <v/>
      </c>
      <c r="T35" s="71">
        <f>N(Ativos!E35)</f>
        <v/>
      </c>
      <c r="U35" s="74">
        <f>T35/12</f>
        <v/>
      </c>
      <c r="V35" s="70">
        <f>C35*U35</f>
        <v/>
      </c>
      <c r="W35" s="72">
        <f>IF(META_MENSAL&gt;0,MIN(1,V35/META_MENSAL),0)</f>
        <v/>
      </c>
      <c r="X35" s="69">
        <f>IF(U35&gt;0,ROUNDUP(META_MENSAL/U35,0),0)</f>
        <v/>
      </c>
      <c r="Y35" s="69">
        <f>MAX(0,X35-C35)</f>
        <v/>
      </c>
      <c r="Z35" s="75">
        <f>Y35*F35</f>
        <v/>
      </c>
      <c r="AA35" s="76">
        <f>IF(APORTE_MENSAL&gt;0,ROUNDUP(Z35/APORTE_MENSAL,0),0)</f>
        <v/>
      </c>
      <c r="AB35" s="68">
        <f>IF(Ativos!C35="","",Ativos!C35)</f>
        <v/>
      </c>
    </row>
    <row r="36">
      <c r="A36" s="86" t="inlineStr">
        <is>
          <t>TOTAL</t>
        </is>
      </c>
      <c r="B36" s="86" t="n"/>
      <c r="C36" s="86" t="n"/>
      <c r="D36" s="86" t="n"/>
      <c r="E36" s="87">
        <f>SUM(E5:E35)</f>
        <v/>
      </c>
      <c r="F36" s="86" t="n"/>
      <c r="G36" s="87">
        <f>SUM(G5:G35)</f>
        <v/>
      </c>
      <c r="H36" s="87">
        <f>SUM(H5:H35)</f>
        <v/>
      </c>
      <c r="I36" s="88">
        <f>IF(E36&gt;0,H36/E36,0)</f>
        <v/>
      </c>
      <c r="J36" s="87">
        <f>SUM(J5:J35)</f>
        <v/>
      </c>
      <c r="K36" s="87">
        <f>SUM(K5:K35)</f>
        <v/>
      </c>
      <c r="L36" s="87">
        <f>SUM(L5:L35)</f>
        <v/>
      </c>
      <c r="M36" s="88">
        <f>IF(E36&gt;0,L36/E36,0)</f>
        <v/>
      </c>
      <c r="N36" s="88">
        <f>IF(E36&gt;0,SUMPRODUCT(C5:C35,T5:T35)/E36,0)</f>
        <v/>
      </c>
      <c r="O36" s="88">
        <f>IF(G36&gt;0,SUMPRODUCT(C5:C35,T5:T35)/G36,0)</f>
        <v/>
      </c>
      <c r="P36" s="88">
        <f>SUM(P5:P35)</f>
        <v/>
      </c>
      <c r="Q36" s="88">
        <f>SUM(Q5:Q35)</f>
        <v/>
      </c>
      <c r="R36" s="86" t="n"/>
      <c r="S36" s="87">
        <f>SUM(S5:S35)</f>
        <v/>
      </c>
      <c r="T36" s="86" t="n"/>
      <c r="U36" s="86" t="n"/>
      <c r="V36" s="87">
        <f>SUM(V5:V35)</f>
        <v/>
      </c>
      <c r="W36" s="88">
        <f>IFERROR(AVERAGEIF(A5:A35,"?*",W5:W35),0)</f>
        <v/>
      </c>
      <c r="X36" s="86">
        <f>COUNTIF(W5:W35,"&gt;=1")&amp;" de "&amp;COUNTIF(A5:A35,"?*")&amp;" na meta"</f>
        <v/>
      </c>
      <c r="Y36" s="89">
        <f>SUM(Y5:Y35)</f>
        <v/>
      </c>
      <c r="Z36" s="87">
        <f>SUM(Z5:Z35)</f>
        <v/>
      </c>
      <c r="AA36" s="90">
        <f>IF(APORTE_MENSAL&gt;0,ROUNDUP(Z36/APORTE_MENSAL,0),0)</f>
        <v/>
      </c>
      <c r="AB36" s="86" t="n"/>
    </row>
    <row r="38">
      <c r="A38" s="91" t="inlineStr">
        <is>
          <t>Subtotal ações</t>
        </is>
      </c>
      <c r="E38" s="87">
        <f>SUMIFS(E5:E35,$B$5:$B$35,"AÇÃO")</f>
        <v/>
      </c>
      <c r="G38" s="87">
        <f>SUMIFS(G5:G35,$B$5:$B$35,"AÇÃO")</f>
        <v/>
      </c>
      <c r="H38" s="87">
        <f>SUMIFS(H5:H35,$B$5:$B$35,"AÇÃO")</f>
        <v/>
      </c>
      <c r="I38" s="88">
        <f>IF(E38&gt;0,H38/E38,0)</f>
        <v/>
      </c>
      <c r="J38" s="87">
        <f>SUMIFS(J5:J35,$B$5:$B$35,"AÇÃO")</f>
        <v/>
      </c>
      <c r="L38" s="87">
        <f>SUMIFS(L5:L35,$B$5:$B$35,"AÇÃO")</f>
        <v/>
      </c>
      <c r="P38" s="88">
        <f>SUMIFS(P5:P35,$B$5:$B$35,"AÇÃO")</f>
        <v/>
      </c>
      <c r="V38" s="87">
        <f>SUMIFS(V5:V35,$B$5:$B$35,"AÇÃO")</f>
        <v/>
      </c>
    </row>
    <row r="39">
      <c r="A39" s="91" t="inlineStr">
        <is>
          <t>Subtotal FIIs</t>
        </is>
      </c>
      <c r="E39" s="87">
        <f>SUMIFS(E5:E35,$B$5:$B$35,"FII")</f>
        <v/>
      </c>
      <c r="G39" s="87">
        <f>SUMIFS(G5:G35,$B$5:$B$35,"FII")</f>
        <v/>
      </c>
      <c r="H39" s="87">
        <f>SUMIFS(H5:H35,$B$5:$B$35,"FII")</f>
        <v/>
      </c>
      <c r="I39" s="88">
        <f>IF(E39&gt;0,H39/E39,0)</f>
        <v/>
      </c>
      <c r="J39" s="87">
        <f>SUMIFS(J5:J35,$B$5:$B$35,"FII")</f>
        <v/>
      </c>
      <c r="L39" s="87">
        <f>SUMIFS(L5:L35,$B$5:$B$35,"FII")</f>
        <v/>
      </c>
      <c r="P39" s="88">
        <f>SUMIFS(P5:P35,$B$5:$B$35,"FII")</f>
        <v/>
      </c>
      <c r="V39" s="87">
        <f>SUMIFS(V5:V35,$B$5:$B$35,"FII")</f>
        <v/>
      </c>
    </row>
    <row r="41">
      <c r="A41" s="91" t="inlineStr">
        <is>
          <t>Como ler</t>
        </is>
      </c>
    </row>
    <row r="42">
      <c r="A42" s="92" t="inlineStr">
        <is>
          <t>• Linhas em cinza: ativos do catálogo que você ainda não tem (a mesma lista serve de catálogo e de carteira).</t>
        </is>
      </c>
    </row>
    <row r="43">
      <c r="A43" s="92" t="inlineStr">
        <is>
          <t>• Meta de renda: cotas p/ meta = meta mensal ÷ provento mensal por cota; aporte = cotas faltantes × cotação.</t>
        </is>
      </c>
    </row>
    <row r="44">
      <c r="A44" s="92" t="inlineStr">
        <is>
          <t>• Tipo, segmento, cotação, provento 12m e peso ideal vêm de dados/ativos.csv (aba Ativos, oculta).</t>
        </is>
      </c>
    </row>
  </sheetData>
  <mergeCells count="1">
    <mergeCell ref="B1:AB1"/>
  </mergeCells>
  <conditionalFormatting sqref="H5:I35">
    <cfRule type="cellIs" priority="1" operator="lessThan" dxfId="4">
      <formula>0</formula>
    </cfRule>
    <cfRule type="cellIs" priority="2" operator="greaterThan" dxfId="5">
      <formula>0</formula>
    </cfRule>
  </conditionalFormatting>
  <conditionalFormatting sqref="L5:M35">
    <cfRule type="cellIs" priority="3" operator="lessThan" dxfId="4">
      <formula>0</formula>
    </cfRule>
    <cfRule type="cellIs" priority="4" operator="greaterThan" dxfId="5">
      <formula>0</formula>
    </cfRule>
  </conditionalFormatting>
  <conditionalFormatting sqref="R5:R35">
    <cfRule type="cellIs" priority="5" operator="lessThan" dxfId="4">
      <formula>0</formula>
    </cfRule>
    <cfRule type="cellIs" priority="6" operator="greaterThan" dxfId="5">
      <formula>0</formula>
    </cfRule>
  </conditionalFormatting>
  <conditionalFormatting sqref="P5:P35">
    <cfRule type="dataBar" priority="7">
      <dataBar>
        <cfvo type="num" val="0"/>
        <cfvo type="max"/>
        <color rgb="005B8DB8"/>
      </dataBar>
    </cfRule>
  </conditionalFormatting>
  <conditionalFormatting sqref="W5:W35">
    <cfRule type="dataBar" priority="8">
      <dataBar>
        <cfvo type="num" val="0"/>
        <cfvo type="num" val="1"/>
        <color rgb="000D9488"/>
      </dataBar>
    </cfRule>
  </conditionalFormatting>
  <conditionalFormatting sqref="A5:AB35">
    <cfRule type="expression" priority="9" dxfId="6">
      <formula>$C5=0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AN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3" customWidth="1" min="6" max="6"/>
    <col width="18" customWidth="1" min="7" max="7"/>
    <col width="14" customWidth="1" min="8" max="8"/>
    <col width="14" customWidth="1" min="9" max="9"/>
    <col width="14" customWidth="1" min="10" max="10"/>
    <col width="3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n"/>
      <c r="B1" s="2" t="inlineStr">
        <is>
          <t>◆ InvestERP        Painel     Carteira     Análises     ✚ Lançar     Lançamentos     Proventos     Premissas     Verificar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34" customHeight="1">
      <c r="A2" s="64" t="inlineStr">
        <is>
          <t>Análises Dinâmicas</t>
        </is>
      </c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  <c r="M2" s="65" t="n"/>
      <c r="N2" s="65" t="n"/>
      <c r="O2" s="65" t="n"/>
      <c r="P2" s="65" t="n"/>
    </row>
    <row r="3" ht="16" customHeight="1">
      <c r="A3" s="66" t="inlineStr">
        <is>
          <t>Consultas QUERY recalculadas automaticamente pelo Google Planilhas.</t>
        </is>
      </c>
    </row>
    <row r="5">
      <c r="A5" s="93" t="inlineStr">
        <is>
          <t>Carteira por tipo de ativo</t>
        </is>
      </c>
      <c r="G5" s="93" t="inlineStr">
        <is>
          <t>Posição por ativo</t>
        </is>
      </c>
    </row>
    <row r="7">
      <c r="A7">
        <f>IFERROR(QUERY(Carteira!A5:AB200,"select B, sum(E), sum(G), sum(H), sum(J) where C &gt; 0 group by B label B 'Tipo', sum(E) 'Investido', sum(G) 'Posição', sum(H) 'Lucro', sum(J) 'Proventos'",0),"Nenhuma ação ou FII na carteira ainda")</f>
        <v/>
      </c>
      <c r="G7">
        <f>IFERROR(QUERY(Carteira!A5:G200,"select A, G where C &gt; 0 order by G desc label A 'Ticker', G 'Posição'",0),"Sem posições")</f>
        <v/>
      </c>
    </row>
    <row r="20">
      <c r="A20" s="93" t="inlineStr">
        <is>
          <t>Proventos por ativo</t>
        </is>
      </c>
      <c r="G20" s="93" t="inlineStr">
        <is>
          <t>Lançamentos por ativo e operação</t>
        </is>
      </c>
    </row>
    <row r="22">
      <c r="A22">
        <f>IFERROR(QUERY(Proventos!A5:F5000,"select B, sum(F) where B is not null group by B order by sum(F) desc label B 'Ticker', sum(F) 'Proventos'",0),"Sem proventos registrados")</f>
        <v/>
      </c>
      <c r="G22">
        <f>IFERROR(QUERY('Lançamentos'!A5:G5000,"select B, sum(G) where B is not null group by B pivot C label B 'Ticker'",0),"Sem lançamentos")</f>
        <v/>
      </c>
    </row>
  </sheetData>
  <mergeCells count="1">
    <mergeCell ref="B1:Z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 fitToPage="1"/>
  </sheetPr>
  <dimension ref="A1:AN28"/>
  <sheetViews>
    <sheetView showGridLines="0" showRowColHeader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3" customWidth="1" min="4" max="4"/>
    <col width="30" customWidth="1" min="5" max="5"/>
    <col width="20" customWidth="1" min="6" max="6"/>
    <col width="3" customWidth="1" min="7" max="7"/>
    <col width="11" customWidth="1" min="8" max="8"/>
    <col width="10" customWidth="1" min="9" max="9"/>
    <col width="10" customWidth="1" min="10" max="10"/>
    <col width="9" customWidth="1" min="11" max="11"/>
    <col width="12" customWidth="1" min="12" max="12"/>
  </cols>
  <sheetData>
    <row r="1" ht="30" customHeight="1">
      <c r="A1" s="1" t="n"/>
      <c r="B1" s="2" t="inlineStr">
        <is>
          <t>◆ InvestERP        Painel     Carteira     Análises     ✚ Lançar     Lançamentos     Proventos     Premissas     Verificar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34" customHeight="1">
      <c r="A2" s="64" t="inlineStr">
        <is>
          <t>Novo Lançamento</t>
        </is>
      </c>
      <c r="B2" s="65" t="n"/>
      <c r="C2" s="65" t="n"/>
      <c r="D2" s="65" t="n"/>
      <c r="E2" s="65" t="n"/>
      <c r="F2" s="65" t="n"/>
      <c r="G2" s="65" t="n"/>
      <c r="H2" s="65" t="n"/>
      <c r="I2" s="65" t="n"/>
      <c r="J2" s="65" t="n"/>
      <c r="K2" s="65" t="n"/>
      <c r="L2" s="65" t="n"/>
    </row>
    <row r="3" ht="16" customHeight="1">
      <c r="A3" s="66" t="inlineStr">
        <is>
          <t>Escolha o ticker, informe a quantidade e clique em Registrar — o resto vem do cadastro do ativo.</t>
        </is>
      </c>
      <c r="L3" s="94" t="inlineStr">
        <is>
          <t>cadastro-formulario-v3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>
      <c r="A5" s="8" t="n"/>
      <c r="B5" s="95" t="inlineStr">
        <is>
          <t>Amarelo = você preenche   •   Cinza ⟲ = automático   •   Marque a caixa Registrar (ou menu InvestERP › Registrar)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 ht="30" customHeight="1">
      <c r="A7" s="8" t="n"/>
      <c r="B7" s="96" t="inlineStr">
        <is>
          <t>✚  Compra / venda de cotas</t>
        </is>
      </c>
      <c r="C7" s="97" t="n"/>
      <c r="D7" s="8" t="n"/>
      <c r="E7" s="98" t="inlineStr">
        <is>
          <t>◈  Provento recebido</t>
        </is>
      </c>
      <c r="F7" s="99" t="n"/>
      <c r="G7" s="8" t="n"/>
      <c r="H7" s="98" t="inlineStr">
        <is>
          <t>Últimos lançamentos</t>
        </is>
      </c>
      <c r="I7" s="99" t="n"/>
      <c r="J7" s="99" t="n"/>
      <c r="K7" s="99" t="n"/>
      <c r="L7" s="99" t="n"/>
      <c r="M7" s="8" t="n"/>
    </row>
    <row r="8" ht="24" customHeight="1">
      <c r="A8" s="8" t="n"/>
      <c r="B8" s="100" t="inlineStr">
        <is>
          <t>Data  (vazio = hoje)</t>
        </is>
      </c>
      <c r="C8" s="101" t="n"/>
      <c r="D8" s="8" t="n"/>
      <c r="E8" s="100" t="inlineStr">
        <is>
          <t>Data pagamento  (vazio = hoje)</t>
        </is>
      </c>
      <c r="F8" s="101" t="n"/>
      <c r="G8" s="8" t="n"/>
      <c r="H8" s="102" t="inlineStr">
        <is>
          <t>Data</t>
        </is>
      </c>
      <c r="I8" s="102" t="inlineStr">
        <is>
          <t>Ticker</t>
        </is>
      </c>
      <c r="J8" s="102" t="inlineStr">
        <is>
          <t>Operação</t>
        </is>
      </c>
      <c r="K8" s="102" t="inlineStr">
        <is>
          <t>Cotas</t>
        </is>
      </c>
      <c r="L8" s="102" t="inlineStr">
        <is>
          <t>Preço (R$)</t>
        </is>
      </c>
      <c r="M8" s="8" t="n"/>
    </row>
    <row r="9" ht="24" customHeight="1">
      <c r="A9" s="8" t="n"/>
      <c r="B9" s="100" t="inlineStr">
        <is>
          <t>Ticker</t>
        </is>
      </c>
      <c r="C9" s="103" t="n"/>
      <c r="D9" s="8" t="n"/>
      <c r="E9" s="100" t="inlineStr">
        <is>
          <t>Ticker</t>
        </is>
      </c>
      <c r="F9" s="103" t="n"/>
      <c r="G9" s="8" t="n"/>
      <c r="H9" s="104">
        <f>IF((COUNTA('Lançamentos'!$B:$B)+3-0)&lt;5,"",INDEX('Lançamentos'!$A:$A,(COUNTA('Lançamentos'!$B:$B)+3-0)))</f>
        <v/>
      </c>
      <c r="I9" s="105">
        <f>IF((COUNTA('Lançamentos'!$B:$B)+3-0)&lt;5,"",INDEX('Lançamentos'!$B:$B,(COUNTA('Lançamentos'!$B:$B)+3-0)))</f>
        <v/>
      </c>
      <c r="J9" s="106">
        <f>IF((COUNTA('Lançamentos'!$B:$B)+3-0)&lt;5,"",INDEX('Lançamentos'!$C:$C,(COUNTA('Lançamentos'!$B:$B)+3-0)))</f>
        <v/>
      </c>
      <c r="K9" s="107">
        <f>IF((COUNTA('Lançamentos'!$B:$B)+3-0)&lt;5,"",INDEX('Lançamentos'!$D:$D,(COUNTA('Lançamentos'!$B:$B)+3-0)))</f>
        <v/>
      </c>
      <c r="L9" s="108">
        <f>IF((COUNTA('Lançamentos'!$B:$B)+3-0)&lt;5,"",INDEX('Lançamentos'!$E:$E,(COUNTA('Lançamentos'!$B:$B)+3-0)))</f>
        <v/>
      </c>
      <c r="M9" s="8" t="n"/>
    </row>
    <row r="10" ht="24" customHeight="1">
      <c r="A10" s="8" t="n"/>
      <c r="B10" s="100" t="inlineStr">
        <is>
          <t>Operação  (vazio = compra)</t>
        </is>
      </c>
      <c r="C10" s="103" t="n"/>
      <c r="D10" s="8" t="n"/>
      <c r="E10" s="100" t="inlineStr">
        <is>
          <t>Tipo de provento</t>
        </is>
      </c>
      <c r="F10" s="103" t="n"/>
      <c r="G10" s="8" t="n"/>
      <c r="H10" s="104">
        <f>IF((COUNTA('Lançamentos'!$B:$B)+3-1)&lt;5,"",INDEX('Lançamentos'!$A:$A,(COUNTA('Lançamentos'!$B:$B)+3-1)))</f>
        <v/>
      </c>
      <c r="I10" s="105">
        <f>IF((COUNTA('Lançamentos'!$B:$B)+3-1)&lt;5,"",INDEX('Lançamentos'!$B:$B,(COUNTA('Lançamentos'!$B:$B)+3-1)))</f>
        <v/>
      </c>
      <c r="J10" s="106">
        <f>IF((COUNTA('Lançamentos'!$B:$B)+3-1)&lt;5,"",INDEX('Lançamentos'!$C:$C,(COUNTA('Lançamentos'!$B:$B)+3-1)))</f>
        <v/>
      </c>
      <c r="K10" s="107">
        <f>IF((COUNTA('Lançamentos'!$B:$B)+3-1)&lt;5,"",INDEX('Lançamentos'!$D:$D,(COUNTA('Lançamentos'!$B:$B)+3-1)))</f>
        <v/>
      </c>
      <c r="L10" s="108">
        <f>IF((COUNTA('Lançamentos'!$B:$B)+3-1)&lt;5,"",INDEX('Lançamentos'!$E:$E,(COUNTA('Lançamentos'!$B:$B)+3-1)))</f>
        <v/>
      </c>
      <c r="M10" s="8" t="n"/>
    </row>
    <row r="11" ht="24" customHeight="1">
      <c r="A11" s="8" t="n"/>
      <c r="B11" s="100" t="inlineStr">
        <is>
          <t>Quantidade de cotas</t>
        </is>
      </c>
      <c r="C11" s="109" t="n"/>
      <c r="D11" s="8" t="n"/>
      <c r="E11" s="100" t="inlineStr">
        <is>
          <t>Valor por cota (R$)</t>
        </is>
      </c>
      <c r="F11" s="110" t="n"/>
      <c r="G11" s="8" t="n"/>
      <c r="H11" s="104">
        <f>IF((COUNTA('Lançamentos'!$B:$B)+3-2)&lt;5,"",INDEX('Lançamentos'!$A:$A,(COUNTA('Lançamentos'!$B:$B)+3-2)))</f>
        <v/>
      </c>
      <c r="I11" s="105">
        <f>IF((COUNTA('Lançamentos'!$B:$B)+3-2)&lt;5,"",INDEX('Lançamentos'!$B:$B,(COUNTA('Lançamentos'!$B:$B)+3-2)))</f>
        <v/>
      </c>
      <c r="J11" s="106">
        <f>IF((COUNTA('Lançamentos'!$B:$B)+3-2)&lt;5,"",INDEX('Lançamentos'!$C:$C,(COUNTA('Lançamentos'!$B:$B)+3-2)))</f>
        <v/>
      </c>
      <c r="K11" s="107">
        <f>IF((COUNTA('Lançamentos'!$B:$B)+3-2)&lt;5,"",INDEX('Lançamentos'!$D:$D,(COUNTA('Lançamentos'!$B:$B)+3-2)))</f>
        <v/>
      </c>
      <c r="L11" s="108">
        <f>IF((COUNTA('Lançamentos'!$B:$B)+3-2)&lt;5,"",INDEX('Lançamentos'!$E:$E,(COUNTA('Lançamentos'!$B:$B)+3-2)))</f>
        <v/>
      </c>
      <c r="M11" s="8" t="n"/>
    </row>
    <row r="12" ht="24" customHeight="1">
      <c r="A12" s="8" t="n"/>
      <c r="B12" s="100" t="inlineStr">
        <is>
          <t>Preço por cota  (vazio = cotação)</t>
        </is>
      </c>
      <c r="C12" s="111" t="n"/>
      <c r="D12" s="8" t="n"/>
      <c r="E12" s="100" t="inlineStr">
        <is>
          <t>Qtd de cotas  (vazio = suas cotas)</t>
        </is>
      </c>
      <c r="F12" s="109" t="n"/>
      <c r="G12" s="8" t="n"/>
      <c r="H12" s="104">
        <f>IF((COUNTA('Lançamentos'!$B:$B)+3-3)&lt;5,"",INDEX('Lançamentos'!$A:$A,(COUNTA('Lançamentos'!$B:$B)+3-3)))</f>
        <v/>
      </c>
      <c r="I12" s="105">
        <f>IF((COUNTA('Lançamentos'!$B:$B)+3-3)&lt;5,"",INDEX('Lançamentos'!$B:$B,(COUNTA('Lançamentos'!$B:$B)+3-3)))</f>
        <v/>
      </c>
      <c r="J12" s="106">
        <f>IF((COUNTA('Lançamentos'!$B:$B)+3-3)&lt;5,"",INDEX('Lançamentos'!$C:$C,(COUNTA('Lançamentos'!$B:$B)+3-3)))</f>
        <v/>
      </c>
      <c r="K12" s="107">
        <f>IF((COUNTA('Lançamentos'!$B:$B)+3-3)&lt;5,"",INDEX('Lançamentos'!$D:$D,(COUNTA('Lançamentos'!$B:$B)+3-3)))</f>
        <v/>
      </c>
      <c r="L12" s="108">
        <f>IF((COUNTA('Lançamentos'!$B:$B)+3-3)&lt;5,"",INDEX('Lançamentos'!$E:$E,(COUNTA('Lançamentos'!$B:$B)+3-3)))</f>
        <v/>
      </c>
      <c r="M12" s="8" t="n"/>
    </row>
    <row r="13" ht="18" customHeight="1">
      <c r="A13" s="8" t="n"/>
      <c r="B13" s="100" t="inlineStr">
        <is>
          <t>Custos / taxas (R$)</t>
        </is>
      </c>
      <c r="C13" s="111" t="n"/>
      <c r="D13" s="8" t="n"/>
      <c r="E13" s="112" t="inlineStr">
        <is>
          <t>AUTOMÁTICO  ⟲</t>
        </is>
      </c>
      <c r="F13" s="17" t="n"/>
      <c r="G13" s="8" t="n"/>
      <c r="H13" s="104">
        <f>IF((COUNTA('Lançamentos'!$B:$B)+3-4)&lt;5,"",INDEX('Lançamentos'!$A:$A,(COUNTA('Lançamentos'!$B:$B)+3-4)))</f>
        <v/>
      </c>
      <c r="I13" s="105">
        <f>IF((COUNTA('Lançamentos'!$B:$B)+3-4)&lt;5,"",INDEX('Lançamentos'!$B:$B,(COUNTA('Lançamentos'!$B:$B)+3-4)))</f>
        <v/>
      </c>
      <c r="J13" s="106">
        <f>IF((COUNTA('Lançamentos'!$B:$B)+3-4)&lt;5,"",INDEX('Lançamentos'!$C:$C,(COUNTA('Lançamentos'!$B:$B)+3-4)))</f>
        <v/>
      </c>
      <c r="K13" s="107">
        <f>IF((COUNTA('Lançamentos'!$B:$B)+3-4)&lt;5,"",INDEX('Lançamentos'!$D:$D,(COUNTA('Lançamentos'!$B:$B)+3-4)))</f>
        <v/>
      </c>
      <c r="L13" s="108">
        <f>IF((COUNTA('Lançamentos'!$B:$B)+3-4)&lt;5,"",INDEX('Lançamentos'!$E:$E,(COUNTA('Lançamentos'!$B:$B)+3-4)))</f>
        <v/>
      </c>
      <c r="M13" s="8" t="n"/>
    </row>
    <row r="14" ht="21" customHeight="1">
      <c r="A14" s="8" t="n"/>
      <c r="B14" s="112" t="inlineStr">
        <is>
          <t>DADOS DO ATIVO  ⟲ automático</t>
        </is>
      </c>
      <c r="C14" s="17" t="n"/>
      <c r="D14" s="8" t="n"/>
      <c r="E14" s="100" t="inlineStr">
        <is>
          <t>Cotas que você tem</t>
        </is>
      </c>
      <c r="F14" s="113">
        <f>IF(pv_ticker="","",IFERROR(INDEX(Carteira!$C$5:$C$35,MATCH(pv_ticker,Carteira!$A$5:$A$35,0)),0))</f>
        <v/>
      </c>
      <c r="G14" s="8" t="n"/>
      <c r="H14" s="104">
        <f>IF((COUNTA('Lançamentos'!$B:$B)+3-5)&lt;5,"",INDEX('Lançamentos'!$A:$A,(COUNTA('Lançamentos'!$B:$B)+3-5)))</f>
        <v/>
      </c>
      <c r="I14" s="105">
        <f>IF((COUNTA('Lançamentos'!$B:$B)+3-5)&lt;5,"",INDEX('Lançamentos'!$B:$B,(COUNTA('Lançamentos'!$B:$B)+3-5)))</f>
        <v/>
      </c>
      <c r="J14" s="106">
        <f>IF((COUNTA('Lançamentos'!$B:$B)+3-5)&lt;5,"",INDEX('Lançamentos'!$C:$C,(COUNTA('Lançamentos'!$B:$B)+3-5)))</f>
        <v/>
      </c>
      <c r="K14" s="107">
        <f>IF((COUNTA('Lançamentos'!$B:$B)+3-5)&lt;5,"",INDEX('Lançamentos'!$D:$D,(COUNTA('Lançamentos'!$B:$B)+3-5)))</f>
        <v/>
      </c>
      <c r="L14" s="108">
        <f>IF((COUNTA('Lançamentos'!$B:$B)+3-5)&lt;5,"",INDEX('Lançamentos'!$E:$E,(COUNTA('Lançamentos'!$B:$B)+3-5)))</f>
        <v/>
      </c>
      <c r="M14" s="8" t="n"/>
    </row>
    <row r="15" ht="21" customHeight="1">
      <c r="A15" s="8" t="n"/>
      <c r="B15" s="100" t="inlineStr">
        <is>
          <t>Ativo</t>
        </is>
      </c>
      <c r="C15" s="114">
        <f>IF(lc_ticker="","",IFERROR(INDEX(Ativos!$B$5:$B$35,MATCH(lc_ticker,Ativos!$A$5:$A$35,0))&amp;"  •  "&amp;INDEX(Ativos!$C$5:$C$35,MATCH(lc_ticker,Ativos!$A$5:$A$35,0)),"Ticker novo — preencha Tipo e Segmento abaixo"))</f>
        <v/>
      </c>
      <c r="D15" s="8" t="n"/>
      <c r="E15" s="100" t="inlineStr">
        <is>
          <t>Total recebido</t>
        </is>
      </c>
      <c r="F15" s="115">
        <f>IF(pv_valor="","",pv_valor*IF(pv_qtd="",N(pv_tem),pv_qtd))</f>
        <v/>
      </c>
      <c r="G15" s="8" t="n"/>
      <c r="H15" s="104">
        <f>IF((COUNTA('Lançamentos'!$B:$B)+3-6)&lt;5,"",INDEX('Lançamentos'!$A:$A,(COUNTA('Lançamentos'!$B:$B)+3-6)))</f>
        <v/>
      </c>
      <c r="I15" s="105">
        <f>IF((COUNTA('Lançamentos'!$B:$B)+3-6)&lt;5,"",INDEX('Lançamentos'!$B:$B,(COUNTA('Lançamentos'!$B:$B)+3-6)))</f>
        <v/>
      </c>
      <c r="J15" s="106">
        <f>IF((COUNTA('Lançamentos'!$B:$B)+3-6)&lt;5,"",INDEX('Lançamentos'!$C:$C,(COUNTA('Lançamentos'!$B:$B)+3-6)))</f>
        <v/>
      </c>
      <c r="K15" s="107">
        <f>IF((COUNTA('Lançamentos'!$B:$B)+3-6)&lt;5,"",INDEX('Lançamentos'!$D:$D,(COUNTA('Lançamentos'!$B:$B)+3-6)))</f>
        <v/>
      </c>
      <c r="L15" s="108">
        <f>IF((COUNTA('Lançamentos'!$B:$B)+3-6)&lt;5,"",INDEX('Lançamentos'!$E:$E,(COUNTA('Lançamentos'!$B:$B)+3-6)))</f>
        <v/>
      </c>
      <c r="M15" s="8" t="n"/>
    </row>
    <row r="16" ht="30" customHeight="1">
      <c r="A16" s="8" t="n"/>
      <c r="B16" s="100" t="inlineStr">
        <is>
          <t>Cotação atual (R$)</t>
        </is>
      </c>
      <c r="C16" s="116">
        <f>IF(lc_ticker="","",IFERROR(INDEX(Ativos!$D$5:$D$35,MATCH(lc_ticker,Ativos!$A$5:$A$35,0)),""))</f>
        <v/>
      </c>
      <c r="D16" s="8" t="n"/>
      <c r="E16" s="117" t="n"/>
      <c r="F16" s="19" t="n"/>
      <c r="G16" s="8" t="n"/>
      <c r="H16" s="104">
        <f>IF((COUNTA('Lançamentos'!$B:$B)+3-7)&lt;5,"",INDEX('Lançamentos'!$A:$A,(COUNTA('Lançamentos'!$B:$B)+3-7)))</f>
        <v/>
      </c>
      <c r="I16" s="105">
        <f>IF((COUNTA('Lançamentos'!$B:$B)+3-7)&lt;5,"",INDEX('Lançamentos'!$B:$B,(COUNTA('Lançamentos'!$B:$B)+3-7)))</f>
        <v/>
      </c>
      <c r="J16" s="106">
        <f>IF((COUNTA('Lançamentos'!$B:$B)+3-7)&lt;5,"",INDEX('Lançamentos'!$C:$C,(COUNTA('Lançamentos'!$B:$B)+3-7)))</f>
        <v/>
      </c>
      <c r="K16" s="107">
        <f>IF((COUNTA('Lançamentos'!$B:$B)+3-7)&lt;5,"",INDEX('Lançamentos'!$D:$D,(COUNTA('Lançamentos'!$B:$B)+3-7)))</f>
        <v/>
      </c>
      <c r="L16" s="108">
        <f>IF((COUNTA('Lançamentos'!$B:$B)+3-7)&lt;5,"",INDEX('Lançamentos'!$E:$E,(COUNTA('Lançamentos'!$B:$B)+3-7)))</f>
        <v/>
      </c>
      <c r="M16" s="8" t="n"/>
    </row>
    <row r="17" ht="15" customHeight="1">
      <c r="A17" s="8" t="n"/>
      <c r="B17" s="100" t="inlineStr">
        <is>
          <t>Cotas que você tem</t>
        </is>
      </c>
      <c r="C17" s="113">
        <f>IF(lc_ticker="","",IFERROR(INDEX(Carteira!$C$5:$C$35,MATCH(lc_ticker,Carteira!$A$5:$A$35,0)),0))</f>
        <v/>
      </c>
      <c r="D17" s="8" t="n"/>
      <c r="E17" s="8" t="n"/>
      <c r="F17" s="8" t="n"/>
      <c r="G17" s="8" t="n"/>
      <c r="H17" s="104">
        <f>IF((COUNTA('Lançamentos'!$B:$B)+3-8)&lt;5,"",INDEX('Lançamentos'!$A:$A,(COUNTA('Lançamentos'!$B:$B)+3-8)))</f>
        <v/>
      </c>
      <c r="I17" s="105">
        <f>IF((COUNTA('Lançamentos'!$B:$B)+3-8)&lt;5,"",INDEX('Lançamentos'!$B:$B,(COUNTA('Lançamentos'!$B:$B)+3-8)))</f>
        <v/>
      </c>
      <c r="J17" s="106">
        <f>IF((COUNTA('Lançamentos'!$B:$B)+3-8)&lt;5,"",INDEX('Lançamentos'!$C:$C,(COUNTA('Lançamentos'!$B:$B)+3-8)))</f>
        <v/>
      </c>
      <c r="K17" s="107">
        <f>IF((COUNTA('Lançamentos'!$B:$B)+3-8)&lt;5,"",INDEX('Lançamentos'!$D:$D,(COUNTA('Lançamentos'!$B:$B)+3-8)))</f>
        <v/>
      </c>
      <c r="L17" s="108">
        <f>IF((COUNTA('Lançamentos'!$B:$B)+3-8)&lt;5,"",INDEX('Lançamentos'!$E:$E,(COUNTA('Lançamentos'!$B:$B)+3-8)))</f>
        <v/>
      </c>
      <c r="M17" s="8" t="n"/>
    </row>
    <row r="18" ht="32" customHeight="1">
      <c r="A18" s="8" t="n"/>
      <c r="B18" s="112" t="inlineStr">
        <is>
          <t>SÓ PARA TICKER NOVO</t>
        </is>
      </c>
      <c r="C18" s="17" t="n"/>
      <c r="D18" s="8" t="n"/>
      <c r="E18" s="118" t="inlineStr">
        <is>
          <t>✔  Registrar provento  →</t>
        </is>
      </c>
      <c r="F18" s="119" t="b">
        <v>0</v>
      </c>
      <c r="G18" s="8" t="n"/>
      <c r="H18" s="104">
        <f>IF((COUNTA('Lançamentos'!$B:$B)+3-9)&lt;5,"",INDEX('Lançamentos'!$A:$A,(COUNTA('Lançamentos'!$B:$B)+3-9)))</f>
        <v/>
      </c>
      <c r="I18" s="105">
        <f>IF((COUNTA('Lançamentos'!$B:$B)+3-9)&lt;5,"",INDEX('Lançamentos'!$B:$B,(COUNTA('Lançamentos'!$B:$B)+3-9)))</f>
        <v/>
      </c>
      <c r="J18" s="106">
        <f>IF((COUNTA('Lançamentos'!$B:$B)+3-9)&lt;5,"",INDEX('Lançamentos'!$C:$C,(COUNTA('Lançamentos'!$B:$B)+3-9)))</f>
        <v/>
      </c>
      <c r="K18" s="107">
        <f>IF((COUNTA('Lançamentos'!$B:$B)+3-9)&lt;5,"",INDEX('Lançamentos'!$D:$D,(COUNTA('Lançamentos'!$B:$B)+3-9)))</f>
        <v/>
      </c>
      <c r="L18" s="108">
        <f>IF((COUNTA('Lançamentos'!$B:$B)+3-9)&lt;5,"",INDEX('Lançamentos'!$E:$E,(COUNTA('Lançamentos'!$B:$B)+3-9)))</f>
        <v/>
      </c>
      <c r="M18" s="8" t="n"/>
    </row>
    <row r="19" ht="24" customHeight="1">
      <c r="A19" s="8" t="n"/>
      <c r="B19" s="100" t="inlineStr">
        <is>
          <t>Tipo do ativo (AÇÃO / FII)</t>
        </is>
      </c>
      <c r="C19" s="103" t="n"/>
      <c r="D19" s="8" t="n"/>
      <c r="E19" s="8" t="n"/>
      <c r="F19" s="8" t="n"/>
      <c r="G19" s="8" t="n"/>
      <c r="H19" s="104">
        <f>IF((COUNTA('Lançamentos'!$B:$B)+3-10)&lt;5,"",INDEX('Lançamentos'!$A:$A,(COUNTA('Lançamentos'!$B:$B)+3-10)))</f>
        <v/>
      </c>
      <c r="I19" s="105">
        <f>IF((COUNTA('Lançamentos'!$B:$B)+3-10)&lt;5,"",INDEX('Lançamentos'!$B:$B,(COUNTA('Lançamentos'!$B:$B)+3-10)))</f>
        <v/>
      </c>
      <c r="J19" s="106">
        <f>IF((COUNTA('Lançamentos'!$B:$B)+3-10)&lt;5,"",INDEX('Lançamentos'!$C:$C,(COUNTA('Lançamentos'!$B:$B)+3-10)))</f>
        <v/>
      </c>
      <c r="K19" s="107">
        <f>IF((COUNTA('Lançamentos'!$B:$B)+3-10)&lt;5,"",INDEX('Lançamentos'!$D:$D,(COUNTA('Lançamentos'!$B:$B)+3-10)))</f>
        <v/>
      </c>
      <c r="L19" s="108">
        <f>IF((COUNTA('Lançamentos'!$B:$B)+3-10)&lt;5,"",INDEX('Lançamentos'!$E:$E,(COUNTA('Lançamentos'!$B:$B)+3-10)))</f>
        <v/>
      </c>
      <c r="M19" s="8" t="n"/>
    </row>
    <row r="20" ht="24" customHeight="1">
      <c r="A20" s="8" t="n"/>
      <c r="B20" s="100" t="inlineStr">
        <is>
          <t>Segmento</t>
        </is>
      </c>
      <c r="C20" s="103" t="n"/>
      <c r="D20" s="8" t="n"/>
      <c r="E20" s="8" t="n"/>
      <c r="F20" s="8" t="n"/>
      <c r="G20" s="8" t="n"/>
      <c r="H20" s="104">
        <f>IF((COUNTA('Lançamentos'!$B:$B)+3-11)&lt;5,"",INDEX('Lançamentos'!$A:$A,(COUNTA('Lançamentos'!$B:$B)+3-11)))</f>
        <v/>
      </c>
      <c r="I20" s="105">
        <f>IF((COUNTA('Lançamentos'!$B:$B)+3-11)&lt;5,"",INDEX('Lançamentos'!$B:$B,(COUNTA('Lançamentos'!$B:$B)+3-11)))</f>
        <v/>
      </c>
      <c r="J20" s="106">
        <f>IF((COUNTA('Lançamentos'!$B:$B)+3-11)&lt;5,"",INDEX('Lançamentos'!$C:$C,(COUNTA('Lançamentos'!$B:$B)+3-11)))</f>
        <v/>
      </c>
      <c r="K20" s="107">
        <f>IF((COUNTA('Lançamentos'!$B:$B)+3-11)&lt;5,"",INDEX('Lançamentos'!$D:$D,(COUNTA('Lançamentos'!$B:$B)+3-11)))</f>
        <v/>
      </c>
      <c r="L20" s="108">
        <f>IF((COUNTA('Lançamentos'!$B:$B)+3-11)&lt;5,"",INDEX('Lançamentos'!$E:$E,(COUNTA('Lançamentos'!$B:$B)+3-11)))</f>
        <v/>
      </c>
      <c r="M20" s="8" t="n"/>
    </row>
    <row r="21" ht="18" customHeight="1">
      <c r="A21" s="8" t="n"/>
      <c r="B21" s="112" t="inlineStr">
        <is>
          <t>RESUMO</t>
        </is>
      </c>
      <c r="C21" s="17" t="n"/>
      <c r="D21" s="8" t="n"/>
      <c r="E21" s="8" t="n"/>
      <c r="F21" s="8" t="n"/>
      <c r="G21" s="8" t="n"/>
      <c r="H21" s="104">
        <f>IF((COUNTA('Lançamentos'!$B:$B)+3-12)&lt;5,"",INDEX('Lançamentos'!$A:$A,(COUNTA('Lançamentos'!$B:$B)+3-12)))</f>
        <v/>
      </c>
      <c r="I21" s="105">
        <f>IF((COUNTA('Lançamentos'!$B:$B)+3-12)&lt;5,"",INDEX('Lançamentos'!$B:$B,(COUNTA('Lançamentos'!$B:$B)+3-12)))</f>
        <v/>
      </c>
      <c r="J21" s="106">
        <f>IF((COUNTA('Lançamentos'!$B:$B)+3-12)&lt;5,"",INDEX('Lançamentos'!$C:$C,(COUNTA('Lançamentos'!$B:$B)+3-12)))</f>
        <v/>
      </c>
      <c r="K21" s="107">
        <f>IF((COUNTA('Lançamentos'!$B:$B)+3-12)&lt;5,"",INDEX('Lançamentos'!$D:$D,(COUNTA('Lançamentos'!$B:$B)+3-12)))</f>
        <v/>
      </c>
      <c r="L21" s="108">
        <f>IF((COUNTA('Lançamentos'!$B:$B)+3-12)&lt;5,"",INDEX('Lançamentos'!$E:$E,(COUNTA('Lançamentos'!$B:$B)+3-12)))</f>
        <v/>
      </c>
      <c r="M21" s="8" t="n"/>
    </row>
    <row r="22" ht="21" customHeight="1">
      <c r="A22" s="8" t="n"/>
      <c r="B22" s="100" t="inlineStr">
        <is>
          <t>Total do lançamento</t>
        </is>
      </c>
      <c r="C22" s="115">
        <f>IF(lc_qtd="","",lc_qtd*IF(lc_preco="",N(lc_cot),lc_preco)+N(lc_custos))</f>
        <v/>
      </c>
      <c r="D22" s="8" t="n"/>
      <c r="E22" s="8" t="n"/>
      <c r="F22" s="8" t="n"/>
      <c r="G22" s="8" t="n"/>
      <c r="H22" s="104">
        <f>IF((COUNTA('Lançamentos'!$B:$B)+3-13)&lt;5,"",INDEX('Lançamentos'!$A:$A,(COUNTA('Lançamentos'!$B:$B)+3-13)))</f>
        <v/>
      </c>
      <c r="I22" s="105">
        <f>IF((COUNTA('Lançamentos'!$B:$B)+3-13)&lt;5,"",INDEX('Lançamentos'!$B:$B,(COUNTA('Lançamentos'!$B:$B)+3-13)))</f>
        <v/>
      </c>
      <c r="J22" s="106">
        <f>IF((COUNTA('Lançamentos'!$B:$B)+3-13)&lt;5,"",INDEX('Lançamentos'!$C:$C,(COUNTA('Lançamentos'!$B:$B)+3-13)))</f>
        <v/>
      </c>
      <c r="K22" s="107">
        <f>IF((COUNTA('Lançamentos'!$B:$B)+3-13)&lt;5,"",INDEX('Lançamentos'!$D:$D,(COUNTA('Lançamentos'!$B:$B)+3-13)))</f>
        <v/>
      </c>
      <c r="L22" s="108">
        <f>IF((COUNTA('Lançamentos'!$B:$B)+3-13)&lt;5,"",INDEX('Lançamentos'!$E:$E,(COUNTA('Lançamentos'!$B:$B)+3-13)))</f>
        <v/>
      </c>
      <c r="M22" s="8" t="n"/>
    </row>
    <row r="23" ht="21" customHeight="1">
      <c r="A23" s="8" t="n"/>
      <c r="B23" s="100" t="inlineStr">
        <is>
          <t>Cotas após o lançamento</t>
        </is>
      </c>
      <c r="C23" s="113">
        <f>IF(lc_qtd="","",N(lc_tem)+IF(UPPER(lc_op)="VENDA",-1,1)*lc_qtd)</f>
        <v/>
      </c>
      <c r="D23" s="8" t="n"/>
      <c r="E23" s="8" t="n"/>
      <c r="F23" s="8" t="n"/>
      <c r="G23" s="8" t="n"/>
      <c r="H23" s="104">
        <f>IF((COUNTA('Lançamentos'!$B:$B)+3-14)&lt;5,"",INDEX('Lançamentos'!$A:$A,(COUNTA('Lançamentos'!$B:$B)+3-14)))</f>
        <v/>
      </c>
      <c r="I23" s="105">
        <f>IF((COUNTA('Lançamentos'!$B:$B)+3-14)&lt;5,"",INDEX('Lançamentos'!$B:$B,(COUNTA('Lançamentos'!$B:$B)+3-14)))</f>
        <v/>
      </c>
      <c r="J23" s="106">
        <f>IF((COUNTA('Lançamentos'!$B:$B)+3-14)&lt;5,"",INDEX('Lançamentos'!$C:$C,(COUNTA('Lançamentos'!$B:$B)+3-14)))</f>
        <v/>
      </c>
      <c r="K23" s="107">
        <f>IF((COUNTA('Lançamentos'!$B:$B)+3-14)&lt;5,"",INDEX('Lançamentos'!$D:$D,(COUNTA('Lançamentos'!$B:$B)+3-14)))</f>
        <v/>
      </c>
      <c r="L23" s="108">
        <f>IF((COUNTA('Lançamentos'!$B:$B)+3-14)&lt;5,"",INDEX('Lançamentos'!$E:$E,(COUNTA('Lançamentos'!$B:$B)+3-14)))</f>
        <v/>
      </c>
      <c r="M23" s="8" t="n"/>
    </row>
    <row r="24" ht="30" customHeight="1">
      <c r="A24" s="8" t="n"/>
      <c r="B24" s="117" t="n"/>
      <c r="C24" s="19" t="n"/>
      <c r="D24" s="8" t="n"/>
      <c r="E24" s="8" t="n"/>
      <c r="F24" s="8" t="n"/>
      <c r="G24" s="8" t="n"/>
      <c r="H24" s="95" t="inlineStr">
        <is>
          <t>Histórico completo na aba Lançamentos • posição de cada ativo na aba Carteira</t>
        </is>
      </c>
      <c r="I24" s="8" t="n"/>
      <c r="J24" s="8" t="n"/>
      <c r="K24" s="8" t="n"/>
      <c r="L24" s="8" t="n"/>
      <c r="M24" s="8" t="n"/>
    </row>
    <row r="25" ht="15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 ht="32" customHeight="1">
      <c r="A26" s="8" t="n"/>
      <c r="B26" s="120" t="inlineStr">
        <is>
          <t>✔  Registrar lançamento  →</t>
        </is>
      </c>
      <c r="C26" s="119" t="b">
        <v>0</v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</sheetData>
  <mergeCells count="10">
    <mergeCell ref="B21:C21"/>
    <mergeCell ref="B24:C24"/>
    <mergeCell ref="E16:F16"/>
    <mergeCell ref="B7:C7"/>
    <mergeCell ref="H7:L7"/>
    <mergeCell ref="E7:F7"/>
    <mergeCell ref="B1:Z1"/>
    <mergeCell ref="B14:C14"/>
    <mergeCell ref="E13:F13"/>
    <mergeCell ref="B18:C18"/>
  </mergeCells>
  <dataValidations count="5">
    <dataValidation sqref="C9" showDropDown="0" showInputMessage="0" showErrorMessage="0" allowBlank="1" type="list">
      <formula1>=Ativos!$A$5:$A$35</formula1>
    </dataValidation>
    <dataValidation sqref="C10" showDropDown="0" showInputMessage="0" showErrorMessage="0" allowBlank="1" type="list">
      <formula1>"COMPRA,VENDA"</formula1>
    </dataValidation>
    <dataValidation sqref="C19" showDropDown="0" showInputMessage="0" showErrorMessage="0" allowBlank="1" type="list">
      <formula1>"AÇÃO,FII"</formula1>
    </dataValidation>
    <dataValidation sqref="F9" showDropDown="0" showInputMessage="0" showErrorMessage="0" allowBlank="1" type="list">
      <formula1>=Ativos!$A$5:$A$35</formula1>
    </dataValidation>
    <dataValidation sqref="F10" showDropDown="0" showInputMessage="0" showErrorMessage="0" allowBlank="1" type="list">
      <formula1>"DIVIDENDO,JCP,RENDIMENTO,AMORTIZAÇÃO"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AN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6" customWidth="1" min="3" max="3"/>
    <col width="14" customWidth="1" min="4" max="4"/>
    <col width="16" customWidth="1" min="5" max="5"/>
    <col width="11" customWidth="1" min="6" max="6"/>
    <col width="14" customWidth="1" min="7" max="7"/>
    <col width="14" customWidth="1" min="8" max="8"/>
  </cols>
  <sheetData>
    <row r="1" ht="30" customHeight="1">
      <c r="A1" s="1" t="n"/>
      <c r="B1" s="2" t="inlineStr">
        <is>
          <t>◆ InvestERP        Painel     Carteira     Análises     ✚ Lançar     Lançamentos     Proventos     Premissas     Verificar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34" customHeight="1">
      <c r="A2" s="64" t="inlineStr">
        <is>
          <t>Cadastro de Ativos</t>
        </is>
      </c>
      <c r="B2" s="65" t="n"/>
      <c r="C2" s="65" t="n"/>
      <c r="D2" s="65" t="n"/>
      <c r="E2" s="65" t="n"/>
      <c r="F2" s="65" t="n"/>
      <c r="G2" s="65" t="n"/>
      <c r="H2" s="65" t="n"/>
    </row>
    <row r="3" ht="16" customHeight="1">
      <c r="A3" s="66" t="inlineStr">
        <is>
          <t>Gerado a partir de dados/ativos.csv — edite lá e rode gestao.py (ou atualizar.bat).</t>
        </is>
      </c>
    </row>
    <row r="4" ht="32" customHeight="1">
      <c r="A4" s="67" t="inlineStr">
        <is>
          <t>Ticker</t>
        </is>
      </c>
      <c r="B4" s="67" t="inlineStr">
        <is>
          <t>Tipo</t>
        </is>
      </c>
      <c r="C4" s="67" t="inlineStr">
        <is>
          <t>Segmento</t>
        </is>
      </c>
      <c r="D4" s="67" t="inlineStr">
        <is>
          <t>Cotação (R$)</t>
        </is>
      </c>
      <c r="E4" s="67" t="inlineStr">
        <is>
          <t>Provento 12m por cota (R$)</t>
        </is>
      </c>
      <c r="F4" s="67" t="inlineStr">
        <is>
          <t>Peso ideal</t>
        </is>
      </c>
      <c r="G4" s="67" t="inlineStr">
        <is>
          <t>Atualizado em</t>
        </is>
      </c>
      <c r="H4" s="67" t="inlineStr">
        <is>
          <t>Cotação base (R$)</t>
        </is>
      </c>
    </row>
    <row r="5">
      <c r="A5" s="121" t="inlineStr">
        <is>
          <t>VALE3</t>
        </is>
      </c>
      <c r="B5" s="121" t="inlineStr">
        <is>
          <t>AÇÃO</t>
        </is>
      </c>
      <c r="C5" s="121" t="inlineStr">
        <is>
          <t>Mineração</t>
        </is>
      </c>
      <c r="D5" s="122">
        <f>IF(A5="","",IFERROR(GOOGLEFINANCE("BVMF:"&amp;A5),H5))</f>
        <v/>
      </c>
      <c r="E5" s="122" t="n">
        <v>5.6125</v>
      </c>
      <c r="F5" s="123" t="n">
        <v>0.1</v>
      </c>
      <c r="G5" s="124" t="inlineStr">
        <is>
          <t>25/09/2026</t>
        </is>
      </c>
      <c r="H5" s="122" t="n">
        <v>70.77</v>
      </c>
    </row>
    <row r="6">
      <c r="A6" s="121" t="inlineStr">
        <is>
          <t>TAEE11</t>
        </is>
      </c>
      <c r="B6" s="121" t="inlineStr">
        <is>
          <t>AÇÃO</t>
        </is>
      </c>
      <c r="C6" s="121" t="inlineStr">
        <is>
          <t>Energia – Transmissão</t>
        </is>
      </c>
      <c r="D6" s="122">
        <f>IF(A6="","",IFERROR(GOOGLEFINANCE("BVMF:"&amp;A6),H6))</f>
        <v/>
      </c>
      <c r="E6" s="122" t="n">
        <v>3.0065</v>
      </c>
      <c r="F6" s="123" t="n">
        <v>0.05</v>
      </c>
      <c r="G6" s="124" t="inlineStr">
        <is>
          <t>25/09/2026</t>
        </is>
      </c>
      <c r="H6" s="122" t="n">
        <v>40.79</v>
      </c>
    </row>
    <row r="7">
      <c r="A7" s="121" t="inlineStr">
        <is>
          <t>PETR4</t>
        </is>
      </c>
      <c r="B7" s="121" t="inlineStr">
        <is>
          <t>AÇÃO</t>
        </is>
      </c>
      <c r="C7" s="121" t="inlineStr">
        <is>
          <t>Petróleo &amp; Gás</t>
        </is>
      </c>
      <c r="D7" s="122">
        <f>IF(A7="","",IFERROR(GOOGLEFINANCE("BVMF:"&amp;A7),H7))</f>
        <v/>
      </c>
      <c r="E7" s="122" t="n">
        <v>3.6643</v>
      </c>
      <c r="F7" s="123" t="n">
        <v>0.07000000000000001</v>
      </c>
      <c r="G7" s="124" t="inlineStr">
        <is>
          <t>25/09/2026</t>
        </is>
      </c>
      <c r="H7" s="122" t="n">
        <v>48.07</v>
      </c>
    </row>
    <row r="8">
      <c r="A8" s="121" t="inlineStr">
        <is>
          <t>BBAS3</t>
        </is>
      </c>
      <c r="B8" s="121" t="inlineStr">
        <is>
          <t>AÇÃO</t>
        </is>
      </c>
      <c r="C8" s="121" t="inlineStr">
        <is>
          <t>Bancos</t>
        </is>
      </c>
      <c r="D8" s="122">
        <f>IF(A8="","",IFERROR(GOOGLEFINANCE("BVMF:"&amp;A8),H8))</f>
        <v/>
      </c>
      <c r="E8" s="122" t="n">
        <v>0.655</v>
      </c>
      <c r="F8" s="123" t="n">
        <v>0.06</v>
      </c>
      <c r="G8" s="124" t="inlineStr">
        <is>
          <t>25/09/2026</t>
        </is>
      </c>
      <c r="H8" s="122" t="n">
        <v>21.59</v>
      </c>
    </row>
    <row r="9">
      <c r="A9" s="121" t="inlineStr">
        <is>
          <t>BRBI11</t>
        </is>
      </c>
      <c r="B9" s="121" t="inlineStr">
        <is>
          <t>AÇÃO</t>
        </is>
      </c>
      <c r="C9" s="121" t="inlineStr">
        <is>
          <t>Banco de investimento</t>
        </is>
      </c>
      <c r="D9" s="122">
        <f>IF(A9="","",IFERROR(GOOGLEFINANCE("BVMF:"&amp;A9),H9))</f>
        <v/>
      </c>
      <c r="E9" s="122" t="n">
        <v>1.38</v>
      </c>
      <c r="F9" s="123" t="n">
        <v>0.05</v>
      </c>
      <c r="G9" s="124" t="inlineStr">
        <is>
          <t>25/09/2026</t>
        </is>
      </c>
      <c r="H9" s="122" t="n">
        <v>14.83</v>
      </c>
    </row>
    <row r="10">
      <c r="A10" s="121" t="inlineStr">
        <is>
          <t>BBDC4</t>
        </is>
      </c>
      <c r="B10" s="121" t="inlineStr">
        <is>
          <t>AÇÃO</t>
        </is>
      </c>
      <c r="C10" s="121" t="inlineStr">
        <is>
          <t>Bancos</t>
        </is>
      </c>
      <c r="D10" s="122">
        <f>IF(A10="","",IFERROR(GOOGLEFINANCE("BVMF:"&amp;A10),H10))</f>
        <v/>
      </c>
      <c r="E10" s="122" t="n">
        <v>1.5528</v>
      </c>
      <c r="F10" s="123" t="n">
        <v>0.05</v>
      </c>
      <c r="G10" s="124" t="inlineStr">
        <is>
          <t>25/09/2026</t>
        </is>
      </c>
      <c r="H10" s="122" t="n">
        <v>17.88</v>
      </c>
    </row>
    <row r="11">
      <c r="A11" s="121" t="inlineStr">
        <is>
          <t>ITSA4</t>
        </is>
      </c>
      <c r="B11" s="121" t="inlineStr">
        <is>
          <t>AÇÃO</t>
        </is>
      </c>
      <c r="C11" s="121" t="inlineStr">
        <is>
          <t>Holding – Bancos</t>
        </is>
      </c>
      <c r="D11" s="122">
        <f>IF(A11="","",IFERROR(GOOGLEFINANCE("BVMF:"&amp;A11),H11))</f>
        <v/>
      </c>
      <c r="E11" s="122" t="n">
        <v>1.1278</v>
      </c>
      <c r="F11" s="123" t="n">
        <v>0.1</v>
      </c>
      <c r="G11" s="124" t="inlineStr">
        <is>
          <t>25/09/2026</t>
        </is>
      </c>
      <c r="H11" s="122" t="n">
        <v>13.99</v>
      </c>
    </row>
    <row r="12">
      <c r="A12" s="121" t="inlineStr">
        <is>
          <t>CMIG4</t>
        </is>
      </c>
      <c r="B12" s="121" t="inlineStr">
        <is>
          <t>AÇÃO</t>
        </is>
      </c>
      <c r="C12" s="121" t="inlineStr">
        <is>
          <t>Energia – Utilities</t>
        </is>
      </c>
      <c r="D12" s="122">
        <f>IF(A12="","",IFERROR(GOOGLEFINANCE("BVMF:"&amp;A12),H12))</f>
        <v/>
      </c>
      <c r="E12" s="122" t="n">
        <v>1.3507</v>
      </c>
      <c r="F12" s="123" t="n">
        <v>0.1</v>
      </c>
      <c r="G12" s="124" t="inlineStr">
        <is>
          <t>25/09/2026</t>
        </is>
      </c>
      <c r="H12" s="122" t="n">
        <v>10.89</v>
      </c>
    </row>
    <row r="13">
      <c r="A13" s="121" t="inlineStr">
        <is>
          <t>FIQE3</t>
        </is>
      </c>
      <c r="B13" s="121" t="inlineStr">
        <is>
          <t>AÇÃO</t>
        </is>
      </c>
      <c r="C13" s="121" t="inlineStr">
        <is>
          <t>Telecom / Tecnologia</t>
        </is>
      </c>
      <c r="D13" s="122">
        <f>IF(A13="","",IFERROR(GOOGLEFINANCE("BVMF:"&amp;A13),H13))</f>
        <v/>
      </c>
      <c r="E13" s="122" t="n">
        <v>0.6820000000000001</v>
      </c>
      <c r="F13" s="123" t="n">
        <v>0.05</v>
      </c>
      <c r="G13" s="124" t="inlineStr">
        <is>
          <t>25/09/2026</t>
        </is>
      </c>
      <c r="H13" s="122" t="n">
        <v>5.07</v>
      </c>
    </row>
    <row r="14">
      <c r="A14" s="121" t="inlineStr">
        <is>
          <t>KLBN11</t>
        </is>
      </c>
      <c r="B14" s="121" t="inlineStr">
        <is>
          <t>AÇÃO</t>
        </is>
      </c>
      <c r="C14" s="121" t="inlineStr">
        <is>
          <t>Papel &amp; Celulose</t>
        </is>
      </c>
      <c r="D14" s="122">
        <f>IF(A14="","",IFERROR(GOOGLEFINANCE("BVMF:"&amp;A14),H14))</f>
        <v/>
      </c>
      <c r="E14" s="122" t="n">
        <v>1.1611</v>
      </c>
      <c r="F14" s="123" t="n">
        <v>0.07000000000000001</v>
      </c>
      <c r="G14" s="124" t="inlineStr">
        <is>
          <t>25/09/2026</t>
        </is>
      </c>
      <c r="H14" s="122" t="n">
        <v>18.15</v>
      </c>
    </row>
    <row r="15">
      <c r="A15" s="121" t="inlineStr">
        <is>
          <t>MXRF11</t>
        </is>
      </c>
      <c r="B15" s="121" t="inlineStr">
        <is>
          <t>FII</t>
        </is>
      </c>
      <c r="C15" s="121" t="inlineStr">
        <is>
          <t>Papel (recebíveis)</t>
        </is>
      </c>
      <c r="D15" s="122">
        <f>IF(A15="","",IFERROR(GOOGLEFINANCE("BVMF:"&amp;A15),H15))</f>
        <v/>
      </c>
      <c r="E15" s="122" t="n">
        <v>1.1943</v>
      </c>
      <c r="F15" s="123" t="n">
        <v>0.05</v>
      </c>
      <c r="G15" s="124" t="inlineStr">
        <is>
          <t>25/09/2026</t>
        </is>
      </c>
      <c r="H15" s="122" t="n">
        <v>9.1</v>
      </c>
    </row>
    <row r="16">
      <c r="A16" s="121" t="inlineStr">
        <is>
          <t>BRCR11</t>
        </is>
      </c>
      <c r="B16" s="121" t="inlineStr">
        <is>
          <t>FII</t>
        </is>
      </c>
      <c r="C16" s="121" t="inlineStr">
        <is>
          <t>Lajes corporativas</t>
        </is>
      </c>
      <c r="D16" s="122">
        <f>IF(A16="","",IFERROR(GOOGLEFINANCE("BVMF:"&amp;A16),H16))</f>
        <v/>
      </c>
      <c r="E16" s="122" t="n">
        <v>4.92</v>
      </c>
      <c r="F16" s="123" t="n">
        <v>0.04</v>
      </c>
      <c r="G16" s="124" t="inlineStr">
        <is>
          <t>25/09/2026</t>
        </is>
      </c>
      <c r="H16" s="122" t="n">
        <v>41.16</v>
      </c>
    </row>
    <row r="17">
      <c r="A17" s="121" t="inlineStr">
        <is>
          <t>XPLG11</t>
        </is>
      </c>
      <c r="B17" s="121" t="inlineStr">
        <is>
          <t>FII</t>
        </is>
      </c>
      <c r="C17" s="121" t="inlineStr">
        <is>
          <t>Logística</t>
        </is>
      </c>
      <c r="D17" s="122">
        <f>IF(A17="","",IFERROR(GOOGLEFINANCE("BVMF:"&amp;A17),H17))</f>
        <v/>
      </c>
      <c r="E17" s="122" t="n">
        <v>9.84</v>
      </c>
      <c r="F17" s="123" t="n">
        <v>0.06</v>
      </c>
      <c r="G17" s="124" t="inlineStr">
        <is>
          <t>25/09/2026</t>
        </is>
      </c>
      <c r="H17" s="122" t="n">
        <v>92.39</v>
      </c>
    </row>
    <row r="18">
      <c r="A18" s="121" t="inlineStr">
        <is>
          <t>XPML11</t>
        </is>
      </c>
      <c r="B18" s="121" t="inlineStr">
        <is>
          <t>FII</t>
        </is>
      </c>
      <c r="C18" s="121" t="inlineStr">
        <is>
          <t>Shopping</t>
        </is>
      </c>
      <c r="D18" s="122">
        <f>IF(A18="","",IFERROR(GOOGLEFINANCE("BVMF:"&amp;A18),H18))</f>
        <v/>
      </c>
      <c r="E18" s="122" t="n">
        <v>11.0694</v>
      </c>
      <c r="F18" s="123" t="n">
        <v>0.05</v>
      </c>
      <c r="G18" s="124" t="inlineStr">
        <is>
          <t>25/09/2026</t>
        </is>
      </c>
      <c r="H18" s="122" t="n">
        <v>98.68000000000001</v>
      </c>
    </row>
    <row r="19">
      <c r="A19" s="121" t="inlineStr">
        <is>
          <t>SNAG11</t>
        </is>
      </c>
      <c r="B19" s="121" t="inlineStr">
        <is>
          <t>FII</t>
        </is>
      </c>
      <c r="C19" s="121" t="inlineStr">
        <is>
          <t>Fiagro</t>
        </is>
      </c>
      <c r="D19" s="122">
        <f>IF(A19="","",IFERROR(GOOGLEFINANCE("BVMF:"&amp;A19),H19))</f>
        <v/>
      </c>
      <c r="E19" s="122" t="n">
        <v>1.58</v>
      </c>
      <c r="F19" s="123" t="n">
        <v>0.06</v>
      </c>
      <c r="G19" s="124" t="inlineStr">
        <is>
          <t>25/09/2026</t>
        </is>
      </c>
      <c r="H19" s="122" t="n">
        <v>9.82</v>
      </c>
    </row>
    <row r="20">
      <c r="A20" s="121" t="inlineStr">
        <is>
          <t>CPTS11</t>
        </is>
      </c>
      <c r="B20" s="121" t="inlineStr">
        <is>
          <t>FII</t>
        </is>
      </c>
      <c r="C20" s="121" t="inlineStr">
        <is>
          <t>Híbrido (papel)</t>
        </is>
      </c>
      <c r="D20" s="122">
        <f>IF(A20="","",IFERROR(GOOGLEFINANCE("BVMF:"&amp;A20),H20))</f>
        <v/>
      </c>
      <c r="E20" s="122" t="n">
        <v>1.08</v>
      </c>
      <c r="F20" s="123" t="n">
        <v>0.04</v>
      </c>
      <c r="G20" s="124" t="inlineStr">
        <is>
          <t>25/09/2026</t>
        </is>
      </c>
      <c r="H20" s="122" t="n">
        <v>7.45</v>
      </c>
    </row>
    <row r="21">
      <c r="A21" s="121" t="n"/>
      <c r="B21" s="121" t="n"/>
      <c r="C21" s="121" t="n"/>
      <c r="D21" s="122">
        <f>IF(A21="","",IFERROR(GOOGLEFINANCE("BVMF:"&amp;A21),H21))</f>
        <v/>
      </c>
      <c r="E21" s="122" t="n"/>
      <c r="F21" s="123" t="n"/>
      <c r="G21" s="124" t="n"/>
      <c r="H21" s="122" t="n"/>
    </row>
    <row r="22">
      <c r="A22" s="121" t="n"/>
      <c r="B22" s="121" t="n"/>
      <c r="C22" s="121" t="n"/>
      <c r="D22" s="122">
        <f>IF(A22="","",IFERROR(GOOGLEFINANCE("BVMF:"&amp;A22),H22))</f>
        <v/>
      </c>
      <c r="E22" s="122" t="n"/>
      <c r="F22" s="123" t="n"/>
      <c r="G22" s="124" t="n"/>
      <c r="H22" s="122" t="n"/>
    </row>
    <row r="23">
      <c r="A23" s="121" t="n"/>
      <c r="B23" s="121" t="n"/>
      <c r="C23" s="121" t="n"/>
      <c r="D23" s="122">
        <f>IF(A23="","",IFERROR(GOOGLEFINANCE("BVMF:"&amp;A23),H23))</f>
        <v/>
      </c>
      <c r="E23" s="122" t="n"/>
      <c r="F23" s="123" t="n"/>
      <c r="G23" s="124" t="n"/>
      <c r="H23" s="122" t="n"/>
    </row>
    <row r="24">
      <c r="A24" s="121" t="n"/>
      <c r="B24" s="121" t="n"/>
      <c r="C24" s="121" t="n"/>
      <c r="D24" s="122">
        <f>IF(A24="","",IFERROR(GOOGLEFINANCE("BVMF:"&amp;A24),H24))</f>
        <v/>
      </c>
      <c r="E24" s="122" t="n"/>
      <c r="F24" s="123" t="n"/>
      <c r="G24" s="124" t="n"/>
      <c r="H24" s="122" t="n"/>
    </row>
    <row r="25">
      <c r="A25" s="121" t="n"/>
      <c r="B25" s="121" t="n"/>
      <c r="C25" s="121" t="n"/>
      <c r="D25" s="122">
        <f>IF(A25="","",IFERROR(GOOGLEFINANCE("BVMF:"&amp;A25),H25))</f>
        <v/>
      </c>
      <c r="E25" s="122" t="n"/>
      <c r="F25" s="123" t="n"/>
      <c r="G25" s="124" t="n"/>
      <c r="H25" s="122" t="n"/>
    </row>
    <row r="26">
      <c r="A26" s="121" t="n"/>
      <c r="B26" s="121" t="n"/>
      <c r="C26" s="121" t="n"/>
      <c r="D26" s="122">
        <f>IF(A26="","",IFERROR(GOOGLEFINANCE("BVMF:"&amp;A26),H26))</f>
        <v/>
      </c>
      <c r="E26" s="122" t="n"/>
      <c r="F26" s="123" t="n"/>
      <c r="G26" s="124" t="n"/>
      <c r="H26" s="122" t="n"/>
    </row>
    <row r="27">
      <c r="A27" s="121" t="n"/>
      <c r="B27" s="121" t="n"/>
      <c r="C27" s="121" t="n"/>
      <c r="D27" s="122">
        <f>IF(A27="","",IFERROR(GOOGLEFINANCE("BVMF:"&amp;A27),H27))</f>
        <v/>
      </c>
      <c r="E27" s="122" t="n"/>
      <c r="F27" s="123" t="n"/>
      <c r="G27" s="124" t="n"/>
      <c r="H27" s="122" t="n"/>
    </row>
    <row r="28">
      <c r="A28" s="121" t="n"/>
      <c r="B28" s="121" t="n"/>
      <c r="C28" s="121" t="n"/>
      <c r="D28" s="122">
        <f>IF(A28="","",IFERROR(GOOGLEFINANCE("BVMF:"&amp;A28),H28))</f>
        <v/>
      </c>
      <c r="E28" s="122" t="n"/>
      <c r="F28" s="123" t="n"/>
      <c r="G28" s="124" t="n"/>
      <c r="H28" s="122" t="n"/>
    </row>
    <row r="29">
      <c r="A29" s="121" t="n"/>
      <c r="B29" s="121" t="n"/>
      <c r="C29" s="121" t="n"/>
      <c r="D29" s="122">
        <f>IF(A29="","",IFERROR(GOOGLEFINANCE("BVMF:"&amp;A29),H29))</f>
        <v/>
      </c>
      <c r="E29" s="122" t="n"/>
      <c r="F29" s="123" t="n"/>
      <c r="G29" s="124" t="n"/>
      <c r="H29" s="122" t="n"/>
    </row>
    <row r="30">
      <c r="A30" s="121" t="n"/>
      <c r="B30" s="121" t="n"/>
      <c r="C30" s="121" t="n"/>
      <c r="D30" s="122">
        <f>IF(A30="","",IFERROR(GOOGLEFINANCE("BVMF:"&amp;A30),H30))</f>
        <v/>
      </c>
      <c r="E30" s="122" t="n"/>
      <c r="F30" s="123" t="n"/>
      <c r="G30" s="124" t="n"/>
      <c r="H30" s="122" t="n"/>
    </row>
    <row r="31">
      <c r="A31" s="121" t="n"/>
      <c r="B31" s="121" t="n"/>
      <c r="C31" s="121" t="n"/>
      <c r="D31" s="122">
        <f>IF(A31="","",IFERROR(GOOGLEFINANCE("BVMF:"&amp;A31),H31))</f>
        <v/>
      </c>
      <c r="E31" s="122" t="n"/>
      <c r="F31" s="123" t="n"/>
      <c r="G31" s="124" t="n"/>
      <c r="H31" s="122" t="n"/>
    </row>
    <row r="32">
      <c r="A32" s="121" t="n"/>
      <c r="B32" s="121" t="n"/>
      <c r="C32" s="121" t="n"/>
      <c r="D32" s="122">
        <f>IF(A32="","",IFERROR(GOOGLEFINANCE("BVMF:"&amp;A32),H32))</f>
        <v/>
      </c>
      <c r="E32" s="122" t="n"/>
      <c r="F32" s="123" t="n"/>
      <c r="G32" s="124" t="n"/>
      <c r="H32" s="122" t="n"/>
    </row>
    <row r="33">
      <c r="A33" s="121" t="n"/>
      <c r="B33" s="121" t="n"/>
      <c r="C33" s="121" t="n"/>
      <c r="D33" s="122">
        <f>IF(A33="","",IFERROR(GOOGLEFINANCE("BVMF:"&amp;A33),H33))</f>
        <v/>
      </c>
      <c r="E33" s="122" t="n"/>
      <c r="F33" s="123" t="n"/>
      <c r="G33" s="124" t="n"/>
      <c r="H33" s="122" t="n"/>
    </row>
    <row r="34">
      <c r="A34" s="121" t="n"/>
      <c r="B34" s="121" t="n"/>
      <c r="C34" s="121" t="n"/>
      <c r="D34" s="122">
        <f>IF(A34="","",IFERROR(GOOGLEFINANCE("BVMF:"&amp;A34),H34))</f>
        <v/>
      </c>
      <c r="E34" s="122" t="n"/>
      <c r="F34" s="123" t="n"/>
      <c r="G34" s="124" t="n"/>
      <c r="H34" s="122" t="n"/>
    </row>
    <row r="35">
      <c r="A35" s="121" t="n"/>
      <c r="B35" s="121" t="n"/>
      <c r="C35" s="121" t="n"/>
      <c r="D35" s="122">
        <f>IF(A35="","",IFERROR(GOOGLEFINANCE("BVMF:"&amp;A35),H35))</f>
        <v/>
      </c>
      <c r="E35" s="122" t="n"/>
      <c r="F35" s="123" t="n"/>
      <c r="G35" s="124" t="n"/>
      <c r="H35" s="122" t="n"/>
    </row>
    <row r="36">
      <c r="A36" s="86" t="inlineStr">
        <is>
          <t>TOTAL</t>
        </is>
      </c>
      <c r="B36" s="86" t="n"/>
      <c r="C36" s="86" t="n"/>
      <c r="D36" s="86" t="n"/>
      <c r="E36" s="86" t="n"/>
      <c r="F36" s="88">
        <f>SUM(F5:F35)</f>
        <v/>
      </c>
      <c r="G36" s="86" t="n"/>
      <c r="H36" s="86" t="n"/>
    </row>
    <row r="38">
      <c r="A38" s="91" t="inlineStr">
        <is>
          <t>Observações</t>
        </is>
      </c>
    </row>
    <row r="39">
      <c r="A39" s="92" t="inlineStr">
        <is>
          <t>• Cotação, provento 12m e 'Atualizado em' são preenchidos pelo Yahoo Finance a cada execução; 'manual' = não atualizado online.</t>
        </is>
      </c>
    </row>
    <row r="40">
      <c r="A40" s="92" t="inlineStr">
        <is>
          <t>• Peso ideal: participação desejada de cada ativo dentro da renda variável — deve somar 100%.</t>
        </is>
      </c>
    </row>
  </sheetData>
  <mergeCells count="1">
    <mergeCell ref="B1:Z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AN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2" customWidth="1" min="4" max="4"/>
    <col width="12" customWidth="1" min="5" max="5"/>
    <col width="11" customWidth="1" min="6" max="6"/>
    <col width="15" customWidth="1" min="7" max="7"/>
  </cols>
  <sheetData>
    <row r="1" ht="30" customHeight="1">
      <c r="A1" s="1" t="n"/>
      <c r="B1" s="2" t="inlineStr">
        <is>
          <t>◆ InvestERP        Painel     Carteira     Análises     ✚ Lançar     Lançamentos     Proventos     Premissas     Verificar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34" customHeight="1">
      <c r="A2" s="64" t="inlineStr">
        <is>
          <t>Lançamentos de Compra e Venda</t>
        </is>
      </c>
      <c r="B2" s="65" t="n"/>
      <c r="C2" s="65" t="n"/>
      <c r="D2" s="65" t="n"/>
      <c r="E2" s="65" t="n"/>
      <c r="F2" s="65" t="n"/>
      <c r="G2" s="65" t="n"/>
    </row>
    <row r="3" ht="16" customHeight="1">
      <c r="A3" s="66" t="inlineStr">
        <is>
          <t>Gerado a partir de dados/lancamentos.csv — edite lá e rode gestao.py (ou atualizar.bat).</t>
        </is>
      </c>
    </row>
    <row r="4" ht="32" customHeight="1">
      <c r="A4" s="67" t="inlineStr">
        <is>
          <t>Data</t>
        </is>
      </c>
      <c r="B4" s="67" t="inlineStr">
        <is>
          <t>Ticker</t>
        </is>
      </c>
      <c r="C4" s="67" t="inlineStr">
        <is>
          <t>Operação</t>
        </is>
      </c>
      <c r="D4" s="67" t="inlineStr">
        <is>
          <t>Quantidade</t>
        </is>
      </c>
      <c r="E4" s="67" t="inlineStr">
        <is>
          <t>Preço (R$)</t>
        </is>
      </c>
      <c r="F4" s="67" t="inlineStr">
        <is>
          <t>Custos (R$)</t>
        </is>
      </c>
      <c r="G4" s="67" t="inlineStr">
        <is>
          <t>Total (R$)</t>
        </is>
      </c>
    </row>
  </sheetData>
  <mergeCells count="1">
    <mergeCell ref="B1:Z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AN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6" customWidth="1" min="4" max="4"/>
    <col width="13" customWidth="1" min="5" max="5"/>
    <col width="15" customWidth="1" min="6" max="6"/>
  </cols>
  <sheetData>
    <row r="1" ht="30" customHeight="1">
      <c r="A1" s="1" t="n"/>
      <c r="B1" s="2" t="inlineStr">
        <is>
          <t>◆ InvestERP        Painel     Carteira     Análises     ✚ Lançar     Lançamentos     Proventos     Premissas     Verificar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34" customHeight="1">
      <c r="A2" s="64" t="inlineStr">
        <is>
          <t>Proventos Recebidos</t>
        </is>
      </c>
      <c r="B2" s="65" t="n"/>
      <c r="C2" s="65" t="n"/>
      <c r="D2" s="65" t="n"/>
      <c r="E2" s="65" t="n"/>
      <c r="F2" s="65" t="n"/>
    </row>
    <row r="3" ht="16" customHeight="1">
      <c r="A3" s="66" t="inlineStr">
        <is>
          <t>Gerado a partir de dados/proventos.csv — edite lá e rode gestao.py (ou atualizar.bat).</t>
        </is>
      </c>
    </row>
    <row r="4" ht="32" customHeight="1">
      <c r="A4" s="67" t="inlineStr">
        <is>
          <t>Data pagamento</t>
        </is>
      </c>
      <c r="B4" s="67" t="inlineStr">
        <is>
          <t>Ticker</t>
        </is>
      </c>
      <c r="C4" s="67" t="inlineStr">
        <is>
          <t>Tipo</t>
        </is>
      </c>
      <c r="D4" s="67" t="inlineStr">
        <is>
          <t>Valor por cota (R$)</t>
        </is>
      </c>
      <c r="E4" s="67" t="inlineStr">
        <is>
          <t>Qtd de cotas</t>
        </is>
      </c>
      <c r="F4" s="67" t="inlineStr">
        <is>
          <t>Total (R$)</t>
        </is>
      </c>
    </row>
  </sheetData>
  <mergeCells count="1">
    <mergeCell ref="B1:Z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AN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 ht="30" customHeight="1">
      <c r="A1" s="1" t="n"/>
      <c r="B1" s="2" t="inlineStr">
        <is>
          <t>◆ InvestERP        Painel     Carteira     Análises     ✚ Lançar     Lançamentos     Proventos     Premissas     Verificar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34" customHeight="1">
      <c r="A2" s="64" t="inlineStr">
        <is>
          <t>Premissas</t>
        </is>
      </c>
      <c r="B2" s="65" t="n"/>
      <c r="C2" s="65" t="n"/>
    </row>
    <row r="3" ht="16" customHeight="1">
      <c r="A3" s="66" t="inlineStr">
        <is>
          <t>Gerado a partir de dados/config.json — edite lá e rode gestao.py (ou atualizar.bat).</t>
        </is>
      </c>
    </row>
    <row r="4" ht="32" customHeight="1">
      <c r="A4" s="67" t="inlineStr">
        <is>
          <t>Parâmetro</t>
        </is>
      </c>
      <c r="B4" s="67" t="inlineStr">
        <is>
          <t>Valor</t>
        </is>
      </c>
      <c r="C4" s="67" t="inlineStr">
        <is>
          <t>Uso</t>
        </is>
      </c>
    </row>
    <row r="5">
      <c r="A5" s="125" t="inlineStr">
        <is>
          <t>Meta mensal por ativo</t>
        </is>
      </c>
      <c r="B5" s="126" t="n">
        <v>1000</v>
      </c>
      <c r="C5" s="124" t="inlineStr">
        <is>
          <t>Renda que cada ativo deve pagar por mês</t>
        </is>
      </c>
    </row>
    <row r="6">
      <c r="A6" s="125" t="inlineStr">
        <is>
          <t>Aporte mensal</t>
        </is>
      </c>
      <c r="B6" s="126" t="n">
        <v>3000</v>
      </c>
      <c r="C6" s="124" t="inlineStr">
        <is>
          <t>Quanto você investe por mês (tempo até a meta)</t>
        </is>
      </c>
    </row>
    <row r="7">
      <c r="A7" s="125" t="inlineStr">
        <is>
          <t>Peso ideal da renda variável</t>
        </is>
      </c>
      <c r="B7" s="123" t="n">
        <v>0.32</v>
      </c>
      <c r="C7" s="124" t="inlineStr">
        <is>
          <t>Ações + FIIs no patrimônio total</t>
        </is>
      </c>
    </row>
    <row r="10" ht="32" customHeight="1">
      <c r="A10" s="67" t="inlineStr">
        <is>
          <t>Outras classes</t>
        </is>
      </c>
      <c r="B10" s="67" t="inlineStr">
        <is>
          <t>Valor (R$)</t>
        </is>
      </c>
      <c r="C10" s="67" t="inlineStr">
        <is>
          <t>Peso ideal no patrimônio</t>
        </is>
      </c>
    </row>
    <row r="11">
      <c r="A11" s="125" t="inlineStr">
        <is>
          <t>Renda fixa (CDB Nubank)</t>
        </is>
      </c>
      <c r="B11" s="126" t="n">
        <v>1000</v>
      </c>
      <c r="C11" s="123" t="n">
        <v>0.5</v>
      </c>
    </row>
    <row r="12">
      <c r="A12" s="125" t="inlineStr">
        <is>
          <t>Internacional</t>
        </is>
      </c>
      <c r="B12" s="126" t="n">
        <v>0</v>
      </c>
      <c r="C12" s="123" t="n">
        <v>0.15</v>
      </c>
    </row>
    <row r="13">
      <c r="A13" s="125" t="inlineStr">
        <is>
          <t>Cripto</t>
        </is>
      </c>
      <c r="B13" s="126" t="n">
        <v>0</v>
      </c>
      <c r="C13" s="123" t="n">
        <v>0.03</v>
      </c>
    </row>
  </sheetData>
  <mergeCells count="1">
    <mergeCell ref="B1:Z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DC2626"/>
    <outlinePr summaryBelow="1" summaryRight="1"/>
    <pageSetUpPr fitToPage="1"/>
  </sheetPr>
  <dimension ref="A1:AN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0" customWidth="1" min="3" max="3"/>
  </cols>
  <sheetData>
    <row r="1" ht="30" customHeight="1">
      <c r="A1" s="1" t="n"/>
      <c r="B1" s="2" t="inlineStr">
        <is>
          <t>◆ InvestERP        Painel     Carteira     Análises     ✚ Lançar     Lançamentos     Proventos     Premissas     Verificar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</row>
    <row r="2" ht="34" customHeight="1">
      <c r="A2" s="64" t="inlineStr">
        <is>
          <t>Pontos a Conferir</t>
        </is>
      </c>
      <c r="B2" s="65" t="n"/>
      <c r="C2" s="65" t="n"/>
    </row>
    <row r="3" ht="16" customHeight="1">
      <c r="A3" s="66" t="inlineStr">
        <is>
          <t>Checagens automáticas feitas a cada geração — corrija em dados/.</t>
        </is>
      </c>
    </row>
    <row r="4" ht="32" customHeight="1">
      <c r="A4" s="67" t="inlineStr">
        <is>
          <t>Gravidade</t>
        </is>
      </c>
      <c r="B4" s="67" t="inlineStr">
        <is>
          <t>Ativo</t>
        </is>
      </c>
      <c r="C4" s="67" t="inlineStr">
        <is>
          <t>O que foi encontrado</t>
        </is>
      </c>
    </row>
    <row r="5">
      <c r="A5" s="91" t="inlineStr">
        <is>
          <t>Nenhuma inconsistência encontrada.</t>
        </is>
      </c>
    </row>
  </sheetData>
  <mergeCells count="1">
    <mergeCell ref="B1:Z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Proventos</t>
        </is>
      </c>
    </row>
    <row r="2">
      <c r="A2" s="127">
        <f>DATE(YEAR(TODAY()),MONTH(TODAY())-11,1)</f>
        <v/>
      </c>
      <c r="B2" s="128">
        <f>SUMIFS(Proventos!$F:$F,Proventos!$A:$A,"&gt;="&amp;A2,Proventos!$A:$A,"&lt;"&amp;DATE(YEAR(A2),MONTH(A2)+1,1))</f>
        <v/>
      </c>
    </row>
    <row r="3">
      <c r="A3" s="127">
        <f>DATE(YEAR(TODAY()),MONTH(TODAY())-10,1)</f>
        <v/>
      </c>
      <c r="B3" s="128">
        <f>SUMIFS(Proventos!$F:$F,Proventos!$A:$A,"&gt;="&amp;A3,Proventos!$A:$A,"&lt;"&amp;DATE(YEAR(A3),MONTH(A3)+1,1))</f>
        <v/>
      </c>
    </row>
    <row r="4">
      <c r="A4" s="127">
        <f>DATE(YEAR(TODAY()),MONTH(TODAY())-9,1)</f>
        <v/>
      </c>
      <c r="B4" s="128">
        <f>SUMIFS(Proventos!$F:$F,Proventos!$A:$A,"&gt;="&amp;A4,Proventos!$A:$A,"&lt;"&amp;DATE(YEAR(A4),MONTH(A4)+1,1))</f>
        <v/>
      </c>
      <c r="D4" t="inlineStr">
        <is>
          <t>Ticker</t>
        </is>
      </c>
      <c r="G4" t="inlineStr">
        <is>
          <t>Ticker</t>
        </is>
      </c>
      <c r="H4" t="inlineStr">
        <is>
          <t>Posição</t>
        </is>
      </c>
      <c r="K4" t="inlineStr">
        <is>
          <t>Ticker</t>
        </is>
      </c>
      <c r="L4" t="inlineStr">
        <is>
          <t>Valorização</t>
        </is>
      </c>
      <c r="M4" t="inlineStr">
        <is>
          <t>Lucro</t>
        </is>
      </c>
      <c r="P4" t="inlineStr">
        <is>
          <t>Ticker</t>
        </is>
      </c>
      <c r="Q4" t="inlineStr">
        <is>
          <t>Valorização</t>
        </is>
      </c>
      <c r="R4" t="inlineStr">
        <is>
          <t>Lucro</t>
        </is>
      </c>
      <c r="U4" t="inlineStr">
        <is>
          <t>Ticker</t>
        </is>
      </c>
      <c r="V4" t="inlineStr">
        <is>
          <t>Lucro / prejuízo</t>
        </is>
      </c>
      <c r="Y4" t="inlineStr">
        <is>
          <t>Ticker</t>
        </is>
      </c>
      <c r="Z4" t="inlineStr">
        <is>
          <t>% da meta</t>
        </is>
      </c>
      <c r="AC4" t="inlineStr">
        <is>
          <t>Ticker</t>
        </is>
      </c>
      <c r="AD4" t="inlineStr">
        <is>
          <t>Aporte necessário</t>
        </is>
      </c>
      <c r="AG4" t="inlineStr">
        <is>
          <t>Ticker</t>
        </is>
      </c>
      <c r="AH4" t="inlineStr">
        <is>
          <t>Proventos</t>
        </is>
      </c>
      <c r="AJ4" t="inlineStr">
        <is>
          <t>Participação</t>
        </is>
      </c>
    </row>
    <row r="5">
      <c r="A5" s="127">
        <f>DATE(YEAR(TODAY()),MONTH(TODAY())-8,1)</f>
        <v/>
      </c>
      <c r="B5" s="128">
        <f>SUMIFS(Proventos!$F:$F,Proventos!$A:$A,"&gt;="&amp;A5,Proventos!$A:$A,"&lt;"&amp;DATE(YEAR(A5),MONTH(A5)+1,1))</f>
        <v/>
      </c>
      <c r="D5">
        <f>Carteira!A5</f>
        <v/>
      </c>
      <c r="F5">
        <f>IF(OR(Carteira!C5&gt;0,AND(SUM(Carteira!$C$5:$C$35)=0,Carteira!A5&lt;&gt;"")),N(Carteira!G5)+ROW()/1E9,"")</f>
        <v/>
      </c>
      <c r="G5">
        <f>IFERROR(INDEX($D$5:$D$35,MATCH(LARGE($F$5:$F$35,1),$F$5:$F$35,0)),"")</f>
        <v/>
      </c>
      <c r="H5" s="129">
        <f>IFERROR(INDEX(Carteira!$G$5:$G$35,MATCH(G5,Carteira!$A$5:$A$35,0)),"")</f>
        <v/>
      </c>
      <c r="J5">
        <f>IF(OR(Carteira!C5&gt;0,AND(SUM(Carteira!$C$5:$C$35)=0,Carteira!A5&lt;&gt;"")),N(Carteira!I5)+ROW()/1E9,"")</f>
        <v/>
      </c>
      <c r="K5">
        <f>IFERROR(INDEX($D$5:$D$35,MATCH(LARGE($J$5:$J$35,1),$J$5:$J$35,0)),"")</f>
        <v/>
      </c>
      <c r="L5" s="130">
        <f>IFERROR(INDEX(Carteira!$I$5:$I$35,MATCH(K5,Carteira!$A$5:$A$35,0)),"")</f>
        <v/>
      </c>
      <c r="M5" s="129">
        <f>IFERROR(INDEX(Carteira!$H$5:$H$35,MATCH(K5,Carteira!$A$5:$A$35,0)),"")</f>
        <v/>
      </c>
      <c r="O5">
        <f>IF(OR(Carteira!C5&gt;0,AND(SUM(Carteira!$C$5:$C$35)=0,Carteira!A5&lt;&gt;"")),N(Carteira!I5)+ROW()/1E9,"")</f>
        <v/>
      </c>
      <c r="P5">
        <f>IFERROR(INDEX($D$5:$D$35,MATCH(SMALL($O$5:$O$35,1),$O$5:$O$35,0)),"")</f>
        <v/>
      </c>
      <c r="Q5" s="130">
        <f>IFERROR(INDEX(Carteira!$I$5:$I$35,MATCH(P5,Carteira!$A$5:$A$35,0)),"")</f>
        <v/>
      </c>
      <c r="R5" s="129">
        <f>IFERROR(INDEX(Carteira!$H$5:$H$35,MATCH(P5,Carteira!$A$5:$A$35,0)),"")</f>
        <v/>
      </c>
      <c r="T5">
        <f>IF(OR(Carteira!C5&gt;0,AND(SUM(Carteira!$C$5:$C$35)=0,Carteira!A5&lt;&gt;"")),N(Carteira!H5)+ROW()/1E9,"")</f>
        <v/>
      </c>
      <c r="U5">
        <f>IFERROR(INDEX($D$5:$D$35,MATCH(LARGE($T$5:$T$35,1),$T$5:$T$35,0)),"")</f>
        <v/>
      </c>
      <c r="V5" s="128">
        <f>IFERROR(INDEX(Carteira!$H$5:$H$35,MATCH(U5,Carteira!$A$5:$A$35,0)),"")</f>
        <v/>
      </c>
      <c r="X5">
        <f>IF(OR(Carteira!C5&gt;0,AND(SUM(Carteira!$C$5:$C$35)=0,Carteira!A5&lt;&gt;"")),N(Carteira!W5)+ROW()/1E9,"")</f>
        <v/>
      </c>
      <c r="Y5">
        <f>IFERROR(INDEX($D$5:$D$35,MATCH(LARGE($X$5:$X$35,1),$X$5:$X$35,0)),"")</f>
        <v/>
      </c>
      <c r="Z5" s="131">
        <f>IFERROR(INDEX(Carteira!$W$5:$W$35,MATCH(Y5,Carteira!$A$5:$A$35,0)),"")</f>
        <v/>
      </c>
      <c r="AB5">
        <f>IF(OR(Carteira!C5&gt;0,AND(SUM(Carteira!$C$5:$C$35)=0,Carteira!A5&lt;&gt;"")),N(Carteira!Z5)+ROW()/1E9,"")</f>
        <v/>
      </c>
      <c r="AC5">
        <f>IFERROR(INDEX($D$5:$D$35,MATCH(LARGE($AB$5:$AB$35,1),$AB$5:$AB$35,0)),"")</f>
        <v/>
      </c>
      <c r="AD5" s="128">
        <f>IFERROR(INDEX(Carteira!$Z$5:$Z$35,MATCH(AC5,Carteira!$A$5:$A$35,0)),"")</f>
        <v/>
      </c>
      <c r="AF5">
        <f>IF(OR(Carteira!C5&gt;0,AND(SUM(Carteira!$C$5:$C$35)=0,Carteira!A5&lt;&gt;"")),N(Carteira!J5)+ROW()/1E9,"")</f>
        <v/>
      </c>
      <c r="AG5">
        <f>IFERROR(INDEX($D$5:$D$35,MATCH(LARGE($AF$5:$AF$35,1),$AF$5:$AF$35,0)),"")</f>
        <v/>
      </c>
      <c r="AH5" s="128">
        <f>IFERROR(INDEX(Carteira!$J$5:$J$35,MATCH(AG5,Carteira!$A$5:$A$35,0)),"")</f>
        <v/>
      </c>
      <c r="AJ5" s="130">
        <f>IF(ISNUMBER(H5),IF(Carteira!$G$36&gt;0,H5/Carteira!$G$36,0),"")</f>
        <v/>
      </c>
    </row>
    <row r="6">
      <c r="A6" s="127">
        <f>DATE(YEAR(TODAY()),MONTH(TODAY())-7,1)</f>
        <v/>
      </c>
      <c r="B6" s="128">
        <f>SUMIFS(Proventos!$F:$F,Proventos!$A:$A,"&gt;="&amp;A6,Proventos!$A:$A,"&lt;"&amp;DATE(YEAR(A6),MONTH(A6)+1,1))</f>
        <v/>
      </c>
      <c r="D6">
        <f>Carteira!A6</f>
        <v/>
      </c>
      <c r="F6">
        <f>IF(OR(Carteira!C6&gt;0,AND(SUM(Carteira!$C$5:$C$35)=0,Carteira!A6&lt;&gt;"")),N(Carteira!G6)+ROW()/1E9,"")</f>
        <v/>
      </c>
      <c r="G6">
        <f>IFERROR(INDEX($D$5:$D$35,MATCH(LARGE($F$5:$F$35,2),$F$5:$F$35,0)),"")</f>
        <v/>
      </c>
      <c r="H6" s="129">
        <f>IFERROR(INDEX(Carteira!$G$5:$G$35,MATCH(G6,Carteira!$A$5:$A$35,0)),"")</f>
        <v/>
      </c>
      <c r="J6">
        <f>IF(OR(Carteira!C6&gt;0,AND(SUM(Carteira!$C$5:$C$35)=0,Carteira!A6&lt;&gt;"")),N(Carteira!I6)+ROW()/1E9,"")</f>
        <v/>
      </c>
      <c r="K6">
        <f>IFERROR(INDEX($D$5:$D$35,MATCH(LARGE($J$5:$J$35,2),$J$5:$J$35,0)),"")</f>
        <v/>
      </c>
      <c r="L6" s="130">
        <f>IFERROR(INDEX(Carteira!$I$5:$I$35,MATCH(K6,Carteira!$A$5:$A$35,0)),"")</f>
        <v/>
      </c>
      <c r="M6" s="129">
        <f>IFERROR(INDEX(Carteira!$H$5:$H$35,MATCH(K6,Carteira!$A$5:$A$35,0)),"")</f>
        <v/>
      </c>
      <c r="O6">
        <f>IF(OR(Carteira!C6&gt;0,AND(SUM(Carteira!$C$5:$C$35)=0,Carteira!A6&lt;&gt;"")),N(Carteira!I6)+ROW()/1E9,"")</f>
        <v/>
      </c>
      <c r="P6">
        <f>IFERROR(INDEX($D$5:$D$35,MATCH(SMALL($O$5:$O$35,2),$O$5:$O$35,0)),"")</f>
        <v/>
      </c>
      <c r="Q6" s="130">
        <f>IFERROR(INDEX(Carteira!$I$5:$I$35,MATCH(P6,Carteira!$A$5:$A$35,0)),"")</f>
        <v/>
      </c>
      <c r="R6" s="129">
        <f>IFERROR(INDEX(Carteira!$H$5:$H$35,MATCH(P6,Carteira!$A$5:$A$35,0)),"")</f>
        <v/>
      </c>
      <c r="T6">
        <f>IF(OR(Carteira!C6&gt;0,AND(SUM(Carteira!$C$5:$C$35)=0,Carteira!A6&lt;&gt;"")),N(Carteira!H6)+ROW()/1E9,"")</f>
        <v/>
      </c>
      <c r="U6">
        <f>IFERROR(INDEX($D$5:$D$35,MATCH(LARGE($T$5:$T$35,2),$T$5:$T$35,0)),"")</f>
        <v/>
      </c>
      <c r="V6" s="128">
        <f>IFERROR(INDEX(Carteira!$H$5:$H$35,MATCH(U6,Carteira!$A$5:$A$35,0)),"")</f>
        <v/>
      </c>
      <c r="X6">
        <f>IF(OR(Carteira!C6&gt;0,AND(SUM(Carteira!$C$5:$C$35)=0,Carteira!A6&lt;&gt;"")),N(Carteira!W6)+ROW()/1E9,"")</f>
        <v/>
      </c>
      <c r="Y6">
        <f>IFERROR(INDEX($D$5:$D$35,MATCH(LARGE($X$5:$X$35,2),$X$5:$X$35,0)),"")</f>
        <v/>
      </c>
      <c r="Z6" s="131">
        <f>IFERROR(INDEX(Carteira!$W$5:$W$35,MATCH(Y6,Carteira!$A$5:$A$35,0)),"")</f>
        <v/>
      </c>
      <c r="AB6">
        <f>IF(OR(Carteira!C6&gt;0,AND(SUM(Carteira!$C$5:$C$35)=0,Carteira!A6&lt;&gt;"")),N(Carteira!Z6)+ROW()/1E9,"")</f>
        <v/>
      </c>
      <c r="AC6">
        <f>IFERROR(INDEX($D$5:$D$35,MATCH(LARGE($AB$5:$AB$35,2),$AB$5:$AB$35,0)),"")</f>
        <v/>
      </c>
      <c r="AD6" s="128">
        <f>IFERROR(INDEX(Carteira!$Z$5:$Z$35,MATCH(AC6,Carteira!$A$5:$A$35,0)),"")</f>
        <v/>
      </c>
      <c r="AF6">
        <f>IF(OR(Carteira!C6&gt;0,AND(SUM(Carteira!$C$5:$C$35)=0,Carteira!A6&lt;&gt;"")),N(Carteira!J6)+ROW()/1E9,"")</f>
        <v/>
      </c>
      <c r="AG6">
        <f>IFERROR(INDEX($D$5:$D$35,MATCH(LARGE($AF$5:$AF$35,2),$AF$5:$AF$35,0)),"")</f>
        <v/>
      </c>
      <c r="AH6" s="128">
        <f>IFERROR(INDEX(Carteira!$J$5:$J$35,MATCH(AG6,Carteira!$A$5:$A$35,0)),"")</f>
        <v/>
      </c>
      <c r="AJ6" s="130">
        <f>IF(ISNUMBER(H6),IF(Carteira!$G$36&gt;0,H6/Carteira!$G$36,0),"")</f>
        <v/>
      </c>
    </row>
    <row r="7">
      <c r="A7" s="127">
        <f>DATE(YEAR(TODAY()),MONTH(TODAY())-6,1)</f>
        <v/>
      </c>
      <c r="B7" s="128">
        <f>SUMIFS(Proventos!$F:$F,Proventos!$A:$A,"&gt;="&amp;A7,Proventos!$A:$A,"&lt;"&amp;DATE(YEAR(A7),MONTH(A7)+1,1))</f>
        <v/>
      </c>
      <c r="D7">
        <f>Carteira!A7</f>
        <v/>
      </c>
      <c r="F7">
        <f>IF(OR(Carteira!C7&gt;0,AND(SUM(Carteira!$C$5:$C$35)=0,Carteira!A7&lt;&gt;"")),N(Carteira!G7)+ROW()/1E9,"")</f>
        <v/>
      </c>
      <c r="G7">
        <f>IFERROR(INDEX($D$5:$D$35,MATCH(LARGE($F$5:$F$35,3),$F$5:$F$35,0)),"")</f>
        <v/>
      </c>
      <c r="H7" s="129">
        <f>IFERROR(INDEX(Carteira!$G$5:$G$35,MATCH(G7,Carteira!$A$5:$A$35,0)),"")</f>
        <v/>
      </c>
      <c r="J7">
        <f>IF(OR(Carteira!C7&gt;0,AND(SUM(Carteira!$C$5:$C$35)=0,Carteira!A7&lt;&gt;"")),N(Carteira!I7)+ROW()/1E9,"")</f>
        <v/>
      </c>
      <c r="K7">
        <f>IFERROR(INDEX($D$5:$D$35,MATCH(LARGE($J$5:$J$35,3),$J$5:$J$35,0)),"")</f>
        <v/>
      </c>
      <c r="L7" s="130">
        <f>IFERROR(INDEX(Carteira!$I$5:$I$35,MATCH(K7,Carteira!$A$5:$A$35,0)),"")</f>
        <v/>
      </c>
      <c r="M7" s="129">
        <f>IFERROR(INDEX(Carteira!$H$5:$H$35,MATCH(K7,Carteira!$A$5:$A$35,0)),"")</f>
        <v/>
      </c>
      <c r="O7">
        <f>IF(OR(Carteira!C7&gt;0,AND(SUM(Carteira!$C$5:$C$35)=0,Carteira!A7&lt;&gt;"")),N(Carteira!I7)+ROW()/1E9,"")</f>
        <v/>
      </c>
      <c r="P7">
        <f>IFERROR(INDEX($D$5:$D$35,MATCH(SMALL($O$5:$O$35,3),$O$5:$O$35,0)),"")</f>
        <v/>
      </c>
      <c r="Q7" s="130">
        <f>IFERROR(INDEX(Carteira!$I$5:$I$35,MATCH(P7,Carteira!$A$5:$A$35,0)),"")</f>
        <v/>
      </c>
      <c r="R7" s="129">
        <f>IFERROR(INDEX(Carteira!$H$5:$H$35,MATCH(P7,Carteira!$A$5:$A$35,0)),"")</f>
        <v/>
      </c>
      <c r="T7">
        <f>IF(OR(Carteira!C7&gt;0,AND(SUM(Carteira!$C$5:$C$35)=0,Carteira!A7&lt;&gt;"")),N(Carteira!H7)+ROW()/1E9,"")</f>
        <v/>
      </c>
      <c r="U7">
        <f>IFERROR(INDEX($D$5:$D$35,MATCH(LARGE($T$5:$T$35,3),$T$5:$T$35,0)),"")</f>
        <v/>
      </c>
      <c r="V7" s="128">
        <f>IFERROR(INDEX(Carteira!$H$5:$H$35,MATCH(U7,Carteira!$A$5:$A$35,0)),"")</f>
        <v/>
      </c>
      <c r="X7">
        <f>IF(OR(Carteira!C7&gt;0,AND(SUM(Carteira!$C$5:$C$35)=0,Carteira!A7&lt;&gt;"")),N(Carteira!W7)+ROW()/1E9,"")</f>
        <v/>
      </c>
      <c r="Y7">
        <f>IFERROR(INDEX($D$5:$D$35,MATCH(LARGE($X$5:$X$35,3),$X$5:$X$35,0)),"")</f>
        <v/>
      </c>
      <c r="Z7" s="131">
        <f>IFERROR(INDEX(Carteira!$W$5:$W$35,MATCH(Y7,Carteira!$A$5:$A$35,0)),"")</f>
        <v/>
      </c>
      <c r="AB7">
        <f>IF(OR(Carteira!C7&gt;0,AND(SUM(Carteira!$C$5:$C$35)=0,Carteira!A7&lt;&gt;"")),N(Carteira!Z7)+ROW()/1E9,"")</f>
        <v/>
      </c>
      <c r="AC7">
        <f>IFERROR(INDEX($D$5:$D$35,MATCH(LARGE($AB$5:$AB$35,3),$AB$5:$AB$35,0)),"")</f>
        <v/>
      </c>
      <c r="AD7" s="128">
        <f>IFERROR(INDEX(Carteira!$Z$5:$Z$35,MATCH(AC7,Carteira!$A$5:$A$35,0)),"")</f>
        <v/>
      </c>
      <c r="AF7">
        <f>IF(OR(Carteira!C7&gt;0,AND(SUM(Carteira!$C$5:$C$35)=0,Carteira!A7&lt;&gt;"")),N(Carteira!J7)+ROW()/1E9,"")</f>
        <v/>
      </c>
      <c r="AG7">
        <f>IFERROR(INDEX($D$5:$D$35,MATCH(LARGE($AF$5:$AF$35,3),$AF$5:$AF$35,0)),"")</f>
        <v/>
      </c>
      <c r="AH7" s="128">
        <f>IFERROR(INDEX(Carteira!$J$5:$J$35,MATCH(AG7,Carteira!$A$5:$A$35,0)),"")</f>
        <v/>
      </c>
      <c r="AJ7" s="130">
        <f>IF(ISNUMBER(H7),IF(Carteira!$G$36&gt;0,H7/Carteira!$G$36,0),"")</f>
        <v/>
      </c>
    </row>
    <row r="8">
      <c r="A8" s="127">
        <f>DATE(YEAR(TODAY()),MONTH(TODAY())-5,1)</f>
        <v/>
      </c>
      <c r="B8" s="128">
        <f>SUMIFS(Proventos!$F:$F,Proventos!$A:$A,"&gt;="&amp;A8,Proventos!$A:$A,"&lt;"&amp;DATE(YEAR(A8),MONTH(A8)+1,1))</f>
        <v/>
      </c>
      <c r="D8">
        <f>Carteira!A8</f>
        <v/>
      </c>
      <c r="F8">
        <f>IF(OR(Carteira!C8&gt;0,AND(SUM(Carteira!$C$5:$C$35)=0,Carteira!A8&lt;&gt;"")),N(Carteira!G8)+ROW()/1E9,"")</f>
        <v/>
      </c>
      <c r="G8">
        <f>IFERROR(INDEX($D$5:$D$35,MATCH(LARGE($F$5:$F$35,4),$F$5:$F$35,0)),"")</f>
        <v/>
      </c>
      <c r="H8" s="129">
        <f>IFERROR(INDEX(Carteira!$G$5:$G$35,MATCH(G8,Carteira!$A$5:$A$35,0)),"")</f>
        <v/>
      </c>
      <c r="J8">
        <f>IF(OR(Carteira!C8&gt;0,AND(SUM(Carteira!$C$5:$C$35)=0,Carteira!A8&lt;&gt;"")),N(Carteira!I8)+ROW()/1E9,"")</f>
        <v/>
      </c>
      <c r="K8">
        <f>IFERROR(INDEX($D$5:$D$35,MATCH(LARGE($J$5:$J$35,4),$J$5:$J$35,0)),"")</f>
        <v/>
      </c>
      <c r="L8" s="130">
        <f>IFERROR(INDEX(Carteira!$I$5:$I$35,MATCH(K8,Carteira!$A$5:$A$35,0)),"")</f>
        <v/>
      </c>
      <c r="M8" s="129">
        <f>IFERROR(INDEX(Carteira!$H$5:$H$35,MATCH(K8,Carteira!$A$5:$A$35,0)),"")</f>
        <v/>
      </c>
      <c r="O8">
        <f>IF(OR(Carteira!C8&gt;0,AND(SUM(Carteira!$C$5:$C$35)=0,Carteira!A8&lt;&gt;"")),N(Carteira!I8)+ROW()/1E9,"")</f>
        <v/>
      </c>
      <c r="P8">
        <f>IFERROR(INDEX($D$5:$D$35,MATCH(SMALL($O$5:$O$35,4),$O$5:$O$35,0)),"")</f>
        <v/>
      </c>
      <c r="Q8" s="130">
        <f>IFERROR(INDEX(Carteira!$I$5:$I$35,MATCH(P8,Carteira!$A$5:$A$35,0)),"")</f>
        <v/>
      </c>
      <c r="R8" s="129">
        <f>IFERROR(INDEX(Carteira!$H$5:$H$35,MATCH(P8,Carteira!$A$5:$A$35,0)),"")</f>
        <v/>
      </c>
      <c r="T8">
        <f>IF(OR(Carteira!C8&gt;0,AND(SUM(Carteira!$C$5:$C$35)=0,Carteira!A8&lt;&gt;"")),N(Carteira!H8)+ROW()/1E9,"")</f>
        <v/>
      </c>
      <c r="U8">
        <f>IFERROR(INDEX($D$5:$D$35,MATCH(LARGE($T$5:$T$35,4),$T$5:$T$35,0)),"")</f>
        <v/>
      </c>
      <c r="V8" s="128">
        <f>IFERROR(INDEX(Carteira!$H$5:$H$35,MATCH(U8,Carteira!$A$5:$A$35,0)),"")</f>
        <v/>
      </c>
      <c r="X8">
        <f>IF(OR(Carteira!C8&gt;0,AND(SUM(Carteira!$C$5:$C$35)=0,Carteira!A8&lt;&gt;"")),N(Carteira!W8)+ROW()/1E9,"")</f>
        <v/>
      </c>
      <c r="Y8">
        <f>IFERROR(INDEX($D$5:$D$35,MATCH(LARGE($X$5:$X$35,4),$X$5:$X$35,0)),"")</f>
        <v/>
      </c>
      <c r="Z8" s="131">
        <f>IFERROR(INDEX(Carteira!$W$5:$W$35,MATCH(Y8,Carteira!$A$5:$A$35,0)),"")</f>
        <v/>
      </c>
      <c r="AB8">
        <f>IF(OR(Carteira!C8&gt;0,AND(SUM(Carteira!$C$5:$C$35)=0,Carteira!A8&lt;&gt;"")),N(Carteira!Z8)+ROW()/1E9,"")</f>
        <v/>
      </c>
      <c r="AC8">
        <f>IFERROR(INDEX($D$5:$D$35,MATCH(LARGE($AB$5:$AB$35,4),$AB$5:$AB$35,0)),"")</f>
        <v/>
      </c>
      <c r="AD8" s="128">
        <f>IFERROR(INDEX(Carteira!$Z$5:$Z$35,MATCH(AC8,Carteira!$A$5:$A$35,0)),"")</f>
        <v/>
      </c>
      <c r="AF8">
        <f>IF(OR(Carteira!C8&gt;0,AND(SUM(Carteira!$C$5:$C$35)=0,Carteira!A8&lt;&gt;"")),N(Carteira!J8)+ROW()/1E9,"")</f>
        <v/>
      </c>
      <c r="AG8">
        <f>IFERROR(INDEX($D$5:$D$35,MATCH(LARGE($AF$5:$AF$35,4),$AF$5:$AF$35,0)),"")</f>
        <v/>
      </c>
      <c r="AH8" s="128">
        <f>IFERROR(INDEX(Carteira!$J$5:$J$35,MATCH(AG8,Carteira!$A$5:$A$35,0)),"")</f>
        <v/>
      </c>
      <c r="AJ8" s="130">
        <f>IF(ISNUMBER(H8),IF(Carteira!$G$36&gt;0,H8/Carteira!$G$36,0),"")</f>
        <v/>
      </c>
    </row>
    <row r="9">
      <c r="A9" s="127">
        <f>DATE(YEAR(TODAY()),MONTH(TODAY())-4,1)</f>
        <v/>
      </c>
      <c r="B9" s="128">
        <f>SUMIFS(Proventos!$F:$F,Proventos!$A:$A,"&gt;="&amp;A9,Proventos!$A:$A,"&lt;"&amp;DATE(YEAR(A9),MONTH(A9)+1,1))</f>
        <v/>
      </c>
      <c r="D9">
        <f>Carteira!A9</f>
        <v/>
      </c>
      <c r="F9">
        <f>IF(OR(Carteira!C9&gt;0,AND(SUM(Carteira!$C$5:$C$35)=0,Carteira!A9&lt;&gt;"")),N(Carteira!G9)+ROW()/1E9,"")</f>
        <v/>
      </c>
      <c r="G9">
        <f>IFERROR(INDEX($D$5:$D$35,MATCH(LARGE($F$5:$F$35,5),$F$5:$F$35,0)),"")</f>
        <v/>
      </c>
      <c r="H9" s="129">
        <f>IFERROR(INDEX(Carteira!$G$5:$G$35,MATCH(G9,Carteira!$A$5:$A$35,0)),"")</f>
        <v/>
      </c>
      <c r="J9">
        <f>IF(OR(Carteira!C9&gt;0,AND(SUM(Carteira!$C$5:$C$35)=0,Carteira!A9&lt;&gt;"")),N(Carteira!I9)+ROW()/1E9,"")</f>
        <v/>
      </c>
      <c r="K9">
        <f>IFERROR(INDEX($D$5:$D$35,MATCH(LARGE($J$5:$J$35,5),$J$5:$J$35,0)),"")</f>
        <v/>
      </c>
      <c r="L9" s="130">
        <f>IFERROR(INDEX(Carteira!$I$5:$I$35,MATCH(K9,Carteira!$A$5:$A$35,0)),"")</f>
        <v/>
      </c>
      <c r="M9" s="129">
        <f>IFERROR(INDEX(Carteira!$H$5:$H$35,MATCH(K9,Carteira!$A$5:$A$35,0)),"")</f>
        <v/>
      </c>
      <c r="O9">
        <f>IF(OR(Carteira!C9&gt;0,AND(SUM(Carteira!$C$5:$C$35)=0,Carteira!A9&lt;&gt;"")),N(Carteira!I9)+ROW()/1E9,"")</f>
        <v/>
      </c>
      <c r="P9">
        <f>IFERROR(INDEX($D$5:$D$35,MATCH(SMALL($O$5:$O$35,5),$O$5:$O$35,0)),"")</f>
        <v/>
      </c>
      <c r="Q9" s="130">
        <f>IFERROR(INDEX(Carteira!$I$5:$I$35,MATCH(P9,Carteira!$A$5:$A$35,0)),"")</f>
        <v/>
      </c>
      <c r="R9" s="129">
        <f>IFERROR(INDEX(Carteira!$H$5:$H$35,MATCH(P9,Carteira!$A$5:$A$35,0)),"")</f>
        <v/>
      </c>
      <c r="T9">
        <f>IF(OR(Carteira!C9&gt;0,AND(SUM(Carteira!$C$5:$C$35)=0,Carteira!A9&lt;&gt;"")),N(Carteira!H9)+ROW()/1E9,"")</f>
        <v/>
      </c>
      <c r="U9">
        <f>IFERROR(INDEX($D$5:$D$35,MATCH(LARGE($T$5:$T$35,5),$T$5:$T$35,0)),"")</f>
        <v/>
      </c>
      <c r="V9" s="128">
        <f>IFERROR(INDEX(Carteira!$H$5:$H$35,MATCH(U9,Carteira!$A$5:$A$35,0)),"")</f>
        <v/>
      </c>
      <c r="X9">
        <f>IF(OR(Carteira!C9&gt;0,AND(SUM(Carteira!$C$5:$C$35)=0,Carteira!A9&lt;&gt;"")),N(Carteira!W9)+ROW()/1E9,"")</f>
        <v/>
      </c>
      <c r="Y9">
        <f>IFERROR(INDEX($D$5:$D$35,MATCH(LARGE($X$5:$X$35,5),$X$5:$X$35,0)),"")</f>
        <v/>
      </c>
      <c r="Z9" s="131">
        <f>IFERROR(INDEX(Carteira!$W$5:$W$35,MATCH(Y9,Carteira!$A$5:$A$35,0)),"")</f>
        <v/>
      </c>
      <c r="AB9">
        <f>IF(OR(Carteira!C9&gt;0,AND(SUM(Carteira!$C$5:$C$35)=0,Carteira!A9&lt;&gt;"")),N(Carteira!Z9)+ROW()/1E9,"")</f>
        <v/>
      </c>
      <c r="AC9">
        <f>IFERROR(INDEX($D$5:$D$35,MATCH(LARGE($AB$5:$AB$35,5),$AB$5:$AB$35,0)),"")</f>
        <v/>
      </c>
      <c r="AD9" s="128">
        <f>IFERROR(INDEX(Carteira!$Z$5:$Z$35,MATCH(AC9,Carteira!$A$5:$A$35,0)),"")</f>
        <v/>
      </c>
      <c r="AF9">
        <f>IF(OR(Carteira!C9&gt;0,AND(SUM(Carteira!$C$5:$C$35)=0,Carteira!A9&lt;&gt;"")),N(Carteira!J9)+ROW()/1E9,"")</f>
        <v/>
      </c>
      <c r="AG9">
        <f>IFERROR(INDEX($D$5:$D$35,MATCH(LARGE($AF$5:$AF$35,5),$AF$5:$AF$35,0)),"")</f>
        <v/>
      </c>
      <c r="AH9" s="128">
        <f>IFERROR(INDEX(Carteira!$J$5:$J$35,MATCH(AG9,Carteira!$A$5:$A$35,0)),"")</f>
        <v/>
      </c>
      <c r="AJ9" s="130">
        <f>IF(ISNUMBER(H9),IF(Carteira!$G$36&gt;0,H9/Carteira!$G$36,0),"")</f>
        <v/>
      </c>
    </row>
    <row r="10">
      <c r="A10" s="127">
        <f>DATE(YEAR(TODAY()),MONTH(TODAY())-3,1)</f>
        <v/>
      </c>
      <c r="B10" s="128">
        <f>SUMIFS(Proventos!$F:$F,Proventos!$A:$A,"&gt;="&amp;A10,Proventos!$A:$A,"&lt;"&amp;DATE(YEAR(A10),MONTH(A10)+1,1))</f>
        <v/>
      </c>
      <c r="D10">
        <f>Carteira!A10</f>
        <v/>
      </c>
      <c r="F10">
        <f>IF(OR(Carteira!C10&gt;0,AND(SUM(Carteira!$C$5:$C$35)=0,Carteira!A10&lt;&gt;"")),N(Carteira!G10)+ROW()/1E9,"")</f>
        <v/>
      </c>
      <c r="G10">
        <f>IFERROR(INDEX($D$5:$D$35,MATCH(LARGE($F$5:$F$35,6),$F$5:$F$35,0)),"")</f>
        <v/>
      </c>
      <c r="H10" s="129">
        <f>IFERROR(INDEX(Carteira!$G$5:$G$35,MATCH(G10,Carteira!$A$5:$A$35,0)),"")</f>
        <v/>
      </c>
      <c r="J10">
        <f>IF(OR(Carteira!C10&gt;0,AND(SUM(Carteira!$C$5:$C$35)=0,Carteira!A10&lt;&gt;"")),N(Carteira!I10)+ROW()/1E9,"")</f>
        <v/>
      </c>
      <c r="K10">
        <f>IFERROR(INDEX($D$5:$D$35,MATCH(LARGE($J$5:$J$35,6),$J$5:$J$35,0)),"")</f>
        <v/>
      </c>
      <c r="L10" s="130">
        <f>IFERROR(INDEX(Carteira!$I$5:$I$35,MATCH(K10,Carteira!$A$5:$A$35,0)),"")</f>
        <v/>
      </c>
      <c r="M10" s="129">
        <f>IFERROR(INDEX(Carteira!$H$5:$H$35,MATCH(K10,Carteira!$A$5:$A$35,0)),"")</f>
        <v/>
      </c>
      <c r="O10">
        <f>IF(OR(Carteira!C10&gt;0,AND(SUM(Carteira!$C$5:$C$35)=0,Carteira!A10&lt;&gt;"")),N(Carteira!I10)+ROW()/1E9,"")</f>
        <v/>
      </c>
      <c r="P10">
        <f>IFERROR(INDEX($D$5:$D$35,MATCH(SMALL($O$5:$O$35,6),$O$5:$O$35,0)),"")</f>
        <v/>
      </c>
      <c r="Q10" s="130">
        <f>IFERROR(INDEX(Carteira!$I$5:$I$35,MATCH(P10,Carteira!$A$5:$A$35,0)),"")</f>
        <v/>
      </c>
      <c r="R10" s="129">
        <f>IFERROR(INDEX(Carteira!$H$5:$H$35,MATCH(P10,Carteira!$A$5:$A$35,0)),"")</f>
        <v/>
      </c>
      <c r="T10">
        <f>IF(OR(Carteira!C10&gt;0,AND(SUM(Carteira!$C$5:$C$35)=0,Carteira!A10&lt;&gt;"")),N(Carteira!H10)+ROW()/1E9,"")</f>
        <v/>
      </c>
      <c r="U10">
        <f>IFERROR(INDEX($D$5:$D$35,MATCH(LARGE($T$5:$T$35,6),$T$5:$T$35,0)),"")</f>
        <v/>
      </c>
      <c r="V10" s="128">
        <f>IFERROR(INDEX(Carteira!$H$5:$H$35,MATCH(U10,Carteira!$A$5:$A$35,0)),"")</f>
        <v/>
      </c>
      <c r="X10">
        <f>IF(OR(Carteira!C10&gt;0,AND(SUM(Carteira!$C$5:$C$35)=0,Carteira!A10&lt;&gt;"")),N(Carteira!W10)+ROW()/1E9,"")</f>
        <v/>
      </c>
      <c r="Y10">
        <f>IFERROR(INDEX($D$5:$D$35,MATCH(LARGE($X$5:$X$35,6),$X$5:$X$35,0)),"")</f>
        <v/>
      </c>
      <c r="Z10" s="131">
        <f>IFERROR(INDEX(Carteira!$W$5:$W$35,MATCH(Y10,Carteira!$A$5:$A$35,0)),"")</f>
        <v/>
      </c>
      <c r="AB10">
        <f>IF(OR(Carteira!C10&gt;0,AND(SUM(Carteira!$C$5:$C$35)=0,Carteira!A10&lt;&gt;"")),N(Carteira!Z10)+ROW()/1E9,"")</f>
        <v/>
      </c>
      <c r="AC10">
        <f>IFERROR(INDEX($D$5:$D$35,MATCH(LARGE($AB$5:$AB$35,6),$AB$5:$AB$35,0)),"")</f>
        <v/>
      </c>
      <c r="AD10" s="128">
        <f>IFERROR(INDEX(Carteira!$Z$5:$Z$35,MATCH(AC10,Carteira!$A$5:$A$35,0)),"")</f>
        <v/>
      </c>
      <c r="AF10">
        <f>IF(OR(Carteira!C10&gt;0,AND(SUM(Carteira!$C$5:$C$35)=0,Carteira!A10&lt;&gt;"")),N(Carteira!J10)+ROW()/1E9,"")</f>
        <v/>
      </c>
      <c r="AG10">
        <f>IFERROR(INDEX($D$5:$D$35,MATCH(LARGE($AF$5:$AF$35,6),$AF$5:$AF$35,0)),"")</f>
        <v/>
      </c>
      <c r="AH10" s="128">
        <f>IFERROR(INDEX(Carteira!$J$5:$J$35,MATCH(AG10,Carteira!$A$5:$A$35,0)),"")</f>
        <v/>
      </c>
      <c r="AJ10" s="130">
        <f>IF(ISNUMBER(H10),IF(Carteira!$G$36&gt;0,H10/Carteira!$G$36,0),"")</f>
        <v/>
      </c>
    </row>
    <row r="11">
      <c r="A11" s="127">
        <f>DATE(YEAR(TODAY()),MONTH(TODAY())-2,1)</f>
        <v/>
      </c>
      <c r="B11" s="128">
        <f>SUMIFS(Proventos!$F:$F,Proventos!$A:$A,"&gt;="&amp;A11,Proventos!$A:$A,"&lt;"&amp;DATE(YEAR(A11),MONTH(A11)+1,1))</f>
        <v/>
      </c>
      <c r="D11">
        <f>Carteira!A11</f>
        <v/>
      </c>
      <c r="F11">
        <f>IF(OR(Carteira!C11&gt;0,AND(SUM(Carteira!$C$5:$C$35)=0,Carteira!A11&lt;&gt;"")),N(Carteira!G11)+ROW()/1E9,"")</f>
        <v/>
      </c>
      <c r="G11">
        <f>IFERROR(INDEX($D$5:$D$35,MATCH(LARGE($F$5:$F$35,7),$F$5:$F$35,0)),"")</f>
        <v/>
      </c>
      <c r="H11" s="129">
        <f>IFERROR(INDEX(Carteira!$G$5:$G$35,MATCH(G11,Carteira!$A$5:$A$35,0)),"")</f>
        <v/>
      </c>
      <c r="J11">
        <f>IF(OR(Carteira!C11&gt;0,AND(SUM(Carteira!$C$5:$C$35)=0,Carteira!A11&lt;&gt;"")),N(Carteira!I11)+ROW()/1E9,"")</f>
        <v/>
      </c>
      <c r="K11">
        <f>IFERROR(INDEX($D$5:$D$35,MATCH(LARGE($J$5:$J$35,7),$J$5:$J$35,0)),"")</f>
        <v/>
      </c>
      <c r="L11" s="130">
        <f>IFERROR(INDEX(Carteira!$I$5:$I$35,MATCH(K11,Carteira!$A$5:$A$35,0)),"")</f>
        <v/>
      </c>
      <c r="M11" s="129">
        <f>IFERROR(INDEX(Carteira!$H$5:$H$35,MATCH(K11,Carteira!$A$5:$A$35,0)),"")</f>
        <v/>
      </c>
      <c r="O11">
        <f>IF(OR(Carteira!C11&gt;0,AND(SUM(Carteira!$C$5:$C$35)=0,Carteira!A11&lt;&gt;"")),N(Carteira!I11)+ROW()/1E9,"")</f>
        <v/>
      </c>
      <c r="P11">
        <f>IFERROR(INDEX($D$5:$D$35,MATCH(SMALL($O$5:$O$35,7),$O$5:$O$35,0)),"")</f>
        <v/>
      </c>
      <c r="Q11" s="130">
        <f>IFERROR(INDEX(Carteira!$I$5:$I$35,MATCH(P11,Carteira!$A$5:$A$35,0)),"")</f>
        <v/>
      </c>
      <c r="R11" s="129">
        <f>IFERROR(INDEX(Carteira!$H$5:$H$35,MATCH(P11,Carteira!$A$5:$A$35,0)),"")</f>
        <v/>
      </c>
      <c r="T11">
        <f>IF(OR(Carteira!C11&gt;0,AND(SUM(Carteira!$C$5:$C$35)=0,Carteira!A11&lt;&gt;"")),N(Carteira!H11)+ROW()/1E9,"")</f>
        <v/>
      </c>
      <c r="U11">
        <f>IFERROR(INDEX($D$5:$D$35,MATCH(LARGE($T$5:$T$35,7),$T$5:$T$35,0)),"")</f>
        <v/>
      </c>
      <c r="V11" s="128">
        <f>IFERROR(INDEX(Carteira!$H$5:$H$35,MATCH(U11,Carteira!$A$5:$A$35,0)),"")</f>
        <v/>
      </c>
      <c r="X11">
        <f>IF(OR(Carteira!C11&gt;0,AND(SUM(Carteira!$C$5:$C$35)=0,Carteira!A11&lt;&gt;"")),N(Carteira!W11)+ROW()/1E9,"")</f>
        <v/>
      </c>
      <c r="Y11">
        <f>IFERROR(INDEX($D$5:$D$35,MATCH(LARGE($X$5:$X$35,7),$X$5:$X$35,0)),"")</f>
        <v/>
      </c>
      <c r="Z11" s="131">
        <f>IFERROR(INDEX(Carteira!$W$5:$W$35,MATCH(Y11,Carteira!$A$5:$A$35,0)),"")</f>
        <v/>
      </c>
      <c r="AB11">
        <f>IF(OR(Carteira!C11&gt;0,AND(SUM(Carteira!$C$5:$C$35)=0,Carteira!A11&lt;&gt;"")),N(Carteira!Z11)+ROW()/1E9,"")</f>
        <v/>
      </c>
      <c r="AC11">
        <f>IFERROR(INDEX($D$5:$D$35,MATCH(LARGE($AB$5:$AB$35,7),$AB$5:$AB$35,0)),"")</f>
        <v/>
      </c>
      <c r="AD11" s="128">
        <f>IFERROR(INDEX(Carteira!$Z$5:$Z$35,MATCH(AC11,Carteira!$A$5:$A$35,0)),"")</f>
        <v/>
      </c>
      <c r="AF11">
        <f>IF(OR(Carteira!C11&gt;0,AND(SUM(Carteira!$C$5:$C$35)=0,Carteira!A11&lt;&gt;"")),N(Carteira!J11)+ROW()/1E9,"")</f>
        <v/>
      </c>
      <c r="AG11">
        <f>IFERROR(INDEX($D$5:$D$35,MATCH(LARGE($AF$5:$AF$35,7),$AF$5:$AF$35,0)),"")</f>
        <v/>
      </c>
      <c r="AH11" s="128">
        <f>IFERROR(INDEX(Carteira!$J$5:$J$35,MATCH(AG11,Carteira!$A$5:$A$35,0)),"")</f>
        <v/>
      </c>
      <c r="AJ11" s="130">
        <f>IF(ISNUMBER(H11),IF(Carteira!$G$36&gt;0,H11/Carteira!$G$36,0),"")</f>
        <v/>
      </c>
    </row>
    <row r="12">
      <c r="A12" s="127">
        <f>DATE(YEAR(TODAY()),MONTH(TODAY())-1,1)</f>
        <v/>
      </c>
      <c r="B12" s="128">
        <f>SUMIFS(Proventos!$F:$F,Proventos!$A:$A,"&gt;="&amp;A12,Proventos!$A:$A,"&lt;"&amp;DATE(YEAR(A12),MONTH(A12)+1,1))</f>
        <v/>
      </c>
      <c r="D12">
        <f>Carteira!A12</f>
        <v/>
      </c>
      <c r="F12">
        <f>IF(OR(Carteira!C12&gt;0,AND(SUM(Carteira!$C$5:$C$35)=0,Carteira!A12&lt;&gt;"")),N(Carteira!G12)+ROW()/1E9,"")</f>
        <v/>
      </c>
      <c r="G12">
        <f>IFERROR(INDEX($D$5:$D$35,MATCH(LARGE($F$5:$F$35,8),$F$5:$F$35,0)),"")</f>
        <v/>
      </c>
      <c r="H12" s="129">
        <f>IFERROR(INDEX(Carteira!$G$5:$G$35,MATCH(G12,Carteira!$A$5:$A$35,0)),"")</f>
        <v/>
      </c>
      <c r="J12">
        <f>IF(OR(Carteira!C12&gt;0,AND(SUM(Carteira!$C$5:$C$35)=0,Carteira!A12&lt;&gt;"")),N(Carteira!I12)+ROW()/1E9,"")</f>
        <v/>
      </c>
      <c r="K12">
        <f>IFERROR(INDEX($D$5:$D$35,MATCH(LARGE($J$5:$J$35,8),$J$5:$J$35,0)),"")</f>
        <v/>
      </c>
      <c r="L12" s="130">
        <f>IFERROR(INDEX(Carteira!$I$5:$I$35,MATCH(K12,Carteira!$A$5:$A$35,0)),"")</f>
        <v/>
      </c>
      <c r="M12" s="129">
        <f>IFERROR(INDEX(Carteira!$H$5:$H$35,MATCH(K12,Carteira!$A$5:$A$35,0)),"")</f>
        <v/>
      </c>
      <c r="O12">
        <f>IF(OR(Carteira!C12&gt;0,AND(SUM(Carteira!$C$5:$C$35)=0,Carteira!A12&lt;&gt;"")),N(Carteira!I12)+ROW()/1E9,"")</f>
        <v/>
      </c>
      <c r="P12">
        <f>IFERROR(INDEX($D$5:$D$35,MATCH(SMALL($O$5:$O$35,8),$O$5:$O$35,0)),"")</f>
        <v/>
      </c>
      <c r="Q12" s="130">
        <f>IFERROR(INDEX(Carteira!$I$5:$I$35,MATCH(P12,Carteira!$A$5:$A$35,0)),"")</f>
        <v/>
      </c>
      <c r="R12" s="129">
        <f>IFERROR(INDEX(Carteira!$H$5:$H$35,MATCH(P12,Carteira!$A$5:$A$35,0)),"")</f>
        <v/>
      </c>
      <c r="T12">
        <f>IF(OR(Carteira!C12&gt;0,AND(SUM(Carteira!$C$5:$C$35)=0,Carteira!A12&lt;&gt;"")),N(Carteira!H12)+ROW()/1E9,"")</f>
        <v/>
      </c>
      <c r="U12">
        <f>IFERROR(INDEX($D$5:$D$35,MATCH(LARGE($T$5:$T$35,8),$T$5:$T$35,0)),"")</f>
        <v/>
      </c>
      <c r="V12" s="128">
        <f>IFERROR(INDEX(Carteira!$H$5:$H$35,MATCH(U12,Carteira!$A$5:$A$35,0)),"")</f>
        <v/>
      </c>
      <c r="X12">
        <f>IF(OR(Carteira!C12&gt;0,AND(SUM(Carteira!$C$5:$C$35)=0,Carteira!A12&lt;&gt;"")),N(Carteira!W12)+ROW()/1E9,"")</f>
        <v/>
      </c>
      <c r="Y12">
        <f>IFERROR(INDEX($D$5:$D$35,MATCH(LARGE($X$5:$X$35,8),$X$5:$X$35,0)),"")</f>
        <v/>
      </c>
      <c r="Z12" s="131">
        <f>IFERROR(INDEX(Carteira!$W$5:$W$35,MATCH(Y12,Carteira!$A$5:$A$35,0)),"")</f>
        <v/>
      </c>
      <c r="AB12">
        <f>IF(OR(Carteira!C12&gt;0,AND(SUM(Carteira!$C$5:$C$35)=0,Carteira!A12&lt;&gt;"")),N(Carteira!Z12)+ROW()/1E9,"")</f>
        <v/>
      </c>
      <c r="AC12">
        <f>IFERROR(INDEX($D$5:$D$35,MATCH(LARGE($AB$5:$AB$35,8),$AB$5:$AB$35,0)),"")</f>
        <v/>
      </c>
      <c r="AD12" s="128">
        <f>IFERROR(INDEX(Carteira!$Z$5:$Z$35,MATCH(AC12,Carteira!$A$5:$A$35,0)),"")</f>
        <v/>
      </c>
      <c r="AF12">
        <f>IF(OR(Carteira!C12&gt;0,AND(SUM(Carteira!$C$5:$C$35)=0,Carteira!A12&lt;&gt;"")),N(Carteira!J12)+ROW()/1E9,"")</f>
        <v/>
      </c>
      <c r="AG12">
        <f>IFERROR(INDEX($D$5:$D$35,MATCH(LARGE($AF$5:$AF$35,8),$AF$5:$AF$35,0)),"")</f>
        <v/>
      </c>
      <c r="AH12" s="128">
        <f>IFERROR(INDEX(Carteira!$J$5:$J$35,MATCH(AG12,Carteira!$A$5:$A$35,0)),"")</f>
        <v/>
      </c>
      <c r="AJ12" s="130">
        <f>IF(ISNUMBER(H12),IF(Carteira!$G$36&gt;0,H12/Carteira!$G$36,0),"")</f>
        <v/>
      </c>
    </row>
    <row r="13">
      <c r="A13" s="127">
        <f>DATE(YEAR(TODAY()),MONTH(TODAY())-0,1)</f>
        <v/>
      </c>
      <c r="B13" s="128">
        <f>SUMIFS(Proventos!$F:$F,Proventos!$A:$A,"&gt;="&amp;A13,Proventos!$A:$A,"&lt;"&amp;DATE(YEAR(A13),MONTH(A13)+1,1))</f>
        <v/>
      </c>
      <c r="D13">
        <f>Carteira!A13</f>
        <v/>
      </c>
      <c r="F13">
        <f>IF(OR(Carteira!C13&gt;0,AND(SUM(Carteira!$C$5:$C$35)=0,Carteira!A13&lt;&gt;"")),N(Carteira!G13)+ROW()/1E9,"")</f>
        <v/>
      </c>
      <c r="G13">
        <f>IFERROR(INDEX($D$5:$D$35,MATCH(LARGE($F$5:$F$35,9),$F$5:$F$35,0)),"")</f>
        <v/>
      </c>
      <c r="H13" s="129">
        <f>IFERROR(INDEX(Carteira!$G$5:$G$35,MATCH(G13,Carteira!$A$5:$A$35,0)),"")</f>
        <v/>
      </c>
      <c r="J13">
        <f>IF(OR(Carteira!C13&gt;0,AND(SUM(Carteira!$C$5:$C$35)=0,Carteira!A13&lt;&gt;"")),N(Carteira!I13)+ROW()/1E9,"")</f>
        <v/>
      </c>
      <c r="K13">
        <f>IFERROR(INDEX($D$5:$D$35,MATCH(LARGE($J$5:$J$35,9),$J$5:$J$35,0)),"")</f>
        <v/>
      </c>
      <c r="L13" s="130">
        <f>IFERROR(INDEX(Carteira!$I$5:$I$35,MATCH(K13,Carteira!$A$5:$A$35,0)),"")</f>
        <v/>
      </c>
      <c r="M13" s="129">
        <f>IFERROR(INDEX(Carteira!$H$5:$H$35,MATCH(K13,Carteira!$A$5:$A$35,0)),"")</f>
        <v/>
      </c>
      <c r="O13">
        <f>IF(OR(Carteira!C13&gt;0,AND(SUM(Carteira!$C$5:$C$35)=0,Carteira!A13&lt;&gt;"")),N(Carteira!I13)+ROW()/1E9,"")</f>
        <v/>
      </c>
      <c r="P13">
        <f>IFERROR(INDEX($D$5:$D$35,MATCH(SMALL($O$5:$O$35,9),$O$5:$O$35,0)),"")</f>
        <v/>
      </c>
      <c r="Q13" s="130">
        <f>IFERROR(INDEX(Carteira!$I$5:$I$35,MATCH(P13,Carteira!$A$5:$A$35,0)),"")</f>
        <v/>
      </c>
      <c r="R13" s="129">
        <f>IFERROR(INDEX(Carteira!$H$5:$H$35,MATCH(P13,Carteira!$A$5:$A$35,0)),"")</f>
        <v/>
      </c>
      <c r="T13">
        <f>IF(OR(Carteira!C13&gt;0,AND(SUM(Carteira!$C$5:$C$35)=0,Carteira!A13&lt;&gt;"")),N(Carteira!H13)+ROW()/1E9,"")</f>
        <v/>
      </c>
      <c r="U13">
        <f>IFERROR(INDEX($D$5:$D$35,MATCH(LARGE($T$5:$T$35,9),$T$5:$T$35,0)),"")</f>
        <v/>
      </c>
      <c r="V13" s="128">
        <f>IFERROR(INDEX(Carteira!$H$5:$H$35,MATCH(U13,Carteira!$A$5:$A$35,0)),"")</f>
        <v/>
      </c>
      <c r="X13">
        <f>IF(OR(Carteira!C13&gt;0,AND(SUM(Carteira!$C$5:$C$35)=0,Carteira!A13&lt;&gt;"")),N(Carteira!W13)+ROW()/1E9,"")</f>
        <v/>
      </c>
      <c r="Y13">
        <f>IFERROR(INDEX($D$5:$D$35,MATCH(LARGE($X$5:$X$35,9),$X$5:$X$35,0)),"")</f>
        <v/>
      </c>
      <c r="Z13" s="131">
        <f>IFERROR(INDEX(Carteira!$W$5:$W$35,MATCH(Y13,Carteira!$A$5:$A$35,0)),"")</f>
        <v/>
      </c>
      <c r="AB13">
        <f>IF(OR(Carteira!C13&gt;0,AND(SUM(Carteira!$C$5:$C$35)=0,Carteira!A13&lt;&gt;"")),N(Carteira!Z13)+ROW()/1E9,"")</f>
        <v/>
      </c>
      <c r="AC13">
        <f>IFERROR(INDEX($D$5:$D$35,MATCH(LARGE($AB$5:$AB$35,9),$AB$5:$AB$35,0)),"")</f>
        <v/>
      </c>
      <c r="AD13" s="128">
        <f>IFERROR(INDEX(Carteira!$Z$5:$Z$35,MATCH(AC13,Carteira!$A$5:$A$35,0)),"")</f>
        <v/>
      </c>
      <c r="AF13">
        <f>IF(OR(Carteira!C13&gt;0,AND(SUM(Carteira!$C$5:$C$35)=0,Carteira!A13&lt;&gt;"")),N(Carteira!J13)+ROW()/1E9,"")</f>
        <v/>
      </c>
      <c r="AG13">
        <f>IFERROR(INDEX($D$5:$D$35,MATCH(LARGE($AF$5:$AF$35,9),$AF$5:$AF$35,0)),"")</f>
        <v/>
      </c>
      <c r="AH13" s="128">
        <f>IFERROR(INDEX(Carteira!$J$5:$J$35,MATCH(AG13,Carteira!$A$5:$A$35,0)),"")</f>
        <v/>
      </c>
      <c r="AJ13" s="130">
        <f>IF(ISNUMBER(H13),IF(Carteira!$G$36&gt;0,H13/Carteira!$G$36,0),"")</f>
        <v/>
      </c>
    </row>
    <row r="14">
      <c r="D14">
        <f>Carteira!A14</f>
        <v/>
      </c>
      <c r="F14">
        <f>IF(OR(Carteira!C14&gt;0,AND(SUM(Carteira!$C$5:$C$35)=0,Carteira!A14&lt;&gt;"")),N(Carteira!G14)+ROW()/1E9,"")</f>
        <v/>
      </c>
      <c r="G14">
        <f>IFERROR(INDEX($D$5:$D$35,MATCH(LARGE($F$5:$F$35,10),$F$5:$F$35,0)),"")</f>
        <v/>
      </c>
      <c r="H14" s="129">
        <f>IFERROR(INDEX(Carteira!$G$5:$G$35,MATCH(G14,Carteira!$A$5:$A$35,0)),"")</f>
        <v/>
      </c>
      <c r="J14">
        <f>IF(OR(Carteira!C14&gt;0,AND(SUM(Carteira!$C$5:$C$35)=0,Carteira!A14&lt;&gt;"")),N(Carteira!I14)+ROW()/1E9,"")</f>
        <v/>
      </c>
      <c r="K14">
        <f>IFERROR(INDEX($D$5:$D$35,MATCH(LARGE($J$5:$J$35,10),$J$5:$J$35,0)),"")</f>
        <v/>
      </c>
      <c r="L14" s="130">
        <f>IFERROR(INDEX(Carteira!$I$5:$I$35,MATCH(K14,Carteira!$A$5:$A$35,0)),"")</f>
        <v/>
      </c>
      <c r="M14" s="129">
        <f>IFERROR(INDEX(Carteira!$H$5:$H$35,MATCH(K14,Carteira!$A$5:$A$35,0)),"")</f>
        <v/>
      </c>
      <c r="O14">
        <f>IF(OR(Carteira!C14&gt;0,AND(SUM(Carteira!$C$5:$C$35)=0,Carteira!A14&lt;&gt;"")),N(Carteira!I14)+ROW()/1E9,"")</f>
        <v/>
      </c>
      <c r="P14">
        <f>IFERROR(INDEX($D$5:$D$35,MATCH(SMALL($O$5:$O$35,10),$O$5:$O$35,0)),"")</f>
        <v/>
      </c>
      <c r="Q14" s="130">
        <f>IFERROR(INDEX(Carteira!$I$5:$I$35,MATCH(P14,Carteira!$A$5:$A$35,0)),"")</f>
        <v/>
      </c>
      <c r="R14" s="129">
        <f>IFERROR(INDEX(Carteira!$H$5:$H$35,MATCH(P14,Carteira!$A$5:$A$35,0)),"")</f>
        <v/>
      </c>
      <c r="T14">
        <f>IF(OR(Carteira!C14&gt;0,AND(SUM(Carteira!$C$5:$C$35)=0,Carteira!A14&lt;&gt;"")),N(Carteira!H14)+ROW()/1E9,"")</f>
        <v/>
      </c>
      <c r="U14">
        <f>IFERROR(INDEX($D$5:$D$35,MATCH(LARGE($T$5:$T$35,10),$T$5:$T$35,0)),"")</f>
        <v/>
      </c>
      <c r="V14" s="128">
        <f>IFERROR(INDEX(Carteira!$H$5:$H$35,MATCH(U14,Carteira!$A$5:$A$35,0)),"")</f>
        <v/>
      </c>
      <c r="X14">
        <f>IF(OR(Carteira!C14&gt;0,AND(SUM(Carteira!$C$5:$C$35)=0,Carteira!A14&lt;&gt;"")),N(Carteira!W14)+ROW()/1E9,"")</f>
        <v/>
      </c>
      <c r="Y14">
        <f>IFERROR(INDEX($D$5:$D$35,MATCH(LARGE($X$5:$X$35,10),$X$5:$X$35,0)),"")</f>
        <v/>
      </c>
      <c r="Z14" s="131">
        <f>IFERROR(INDEX(Carteira!$W$5:$W$35,MATCH(Y14,Carteira!$A$5:$A$35,0)),"")</f>
        <v/>
      </c>
      <c r="AB14">
        <f>IF(OR(Carteira!C14&gt;0,AND(SUM(Carteira!$C$5:$C$35)=0,Carteira!A14&lt;&gt;"")),N(Carteira!Z14)+ROW()/1E9,"")</f>
        <v/>
      </c>
      <c r="AC14">
        <f>IFERROR(INDEX($D$5:$D$35,MATCH(LARGE($AB$5:$AB$35,10),$AB$5:$AB$35,0)),"")</f>
        <v/>
      </c>
      <c r="AD14" s="128">
        <f>IFERROR(INDEX(Carteira!$Z$5:$Z$35,MATCH(AC14,Carteira!$A$5:$A$35,0)),"")</f>
        <v/>
      </c>
      <c r="AF14">
        <f>IF(OR(Carteira!C14&gt;0,AND(SUM(Carteira!$C$5:$C$35)=0,Carteira!A14&lt;&gt;"")),N(Carteira!J14)+ROW()/1E9,"")</f>
        <v/>
      </c>
      <c r="AG14">
        <f>IFERROR(INDEX($D$5:$D$35,MATCH(LARGE($AF$5:$AF$35,10),$AF$5:$AF$35,0)),"")</f>
        <v/>
      </c>
      <c r="AH14" s="128">
        <f>IFERROR(INDEX(Carteira!$J$5:$J$35,MATCH(AG14,Carteira!$A$5:$A$35,0)),"")</f>
        <v/>
      </c>
      <c r="AJ14" s="130">
        <f>IF(ISNUMBER(H14),IF(Carteira!$G$36&gt;0,H14/Carteira!$G$36,0),"")</f>
        <v/>
      </c>
    </row>
    <row r="15">
      <c r="D15">
        <f>Carteira!A15</f>
        <v/>
      </c>
      <c r="F15">
        <f>IF(OR(Carteira!C15&gt;0,AND(SUM(Carteira!$C$5:$C$35)=0,Carteira!A15&lt;&gt;"")),N(Carteira!G15)+ROW()/1E9,"")</f>
        <v/>
      </c>
      <c r="G15">
        <f>IFERROR(INDEX($D$5:$D$35,MATCH(LARGE($F$5:$F$35,11),$F$5:$F$35,0)),"")</f>
        <v/>
      </c>
      <c r="H15" s="129">
        <f>IFERROR(INDEX(Carteira!$G$5:$G$35,MATCH(G15,Carteira!$A$5:$A$35,0)),"")</f>
        <v/>
      </c>
      <c r="J15">
        <f>IF(OR(Carteira!C15&gt;0,AND(SUM(Carteira!$C$5:$C$35)=0,Carteira!A15&lt;&gt;"")),N(Carteira!I15)+ROW()/1E9,"")</f>
        <v/>
      </c>
      <c r="K15">
        <f>IFERROR(INDEX($D$5:$D$35,MATCH(LARGE($J$5:$J$35,11),$J$5:$J$35,0)),"")</f>
        <v/>
      </c>
      <c r="L15" s="130">
        <f>IFERROR(INDEX(Carteira!$I$5:$I$35,MATCH(K15,Carteira!$A$5:$A$35,0)),"")</f>
        <v/>
      </c>
      <c r="M15" s="129">
        <f>IFERROR(INDEX(Carteira!$H$5:$H$35,MATCH(K15,Carteira!$A$5:$A$35,0)),"")</f>
        <v/>
      </c>
      <c r="O15">
        <f>IF(OR(Carteira!C15&gt;0,AND(SUM(Carteira!$C$5:$C$35)=0,Carteira!A15&lt;&gt;"")),N(Carteira!I15)+ROW()/1E9,"")</f>
        <v/>
      </c>
      <c r="P15">
        <f>IFERROR(INDEX($D$5:$D$35,MATCH(SMALL($O$5:$O$35,11),$O$5:$O$35,0)),"")</f>
        <v/>
      </c>
      <c r="Q15" s="130">
        <f>IFERROR(INDEX(Carteira!$I$5:$I$35,MATCH(P15,Carteira!$A$5:$A$35,0)),"")</f>
        <v/>
      </c>
      <c r="R15" s="129">
        <f>IFERROR(INDEX(Carteira!$H$5:$H$35,MATCH(P15,Carteira!$A$5:$A$35,0)),"")</f>
        <v/>
      </c>
      <c r="T15">
        <f>IF(OR(Carteira!C15&gt;0,AND(SUM(Carteira!$C$5:$C$35)=0,Carteira!A15&lt;&gt;"")),N(Carteira!H15)+ROW()/1E9,"")</f>
        <v/>
      </c>
      <c r="U15">
        <f>IFERROR(INDEX($D$5:$D$35,MATCH(LARGE($T$5:$T$35,11),$T$5:$T$35,0)),"")</f>
        <v/>
      </c>
      <c r="V15" s="128">
        <f>IFERROR(INDEX(Carteira!$H$5:$H$35,MATCH(U15,Carteira!$A$5:$A$35,0)),"")</f>
        <v/>
      </c>
      <c r="X15">
        <f>IF(OR(Carteira!C15&gt;0,AND(SUM(Carteira!$C$5:$C$35)=0,Carteira!A15&lt;&gt;"")),N(Carteira!W15)+ROW()/1E9,"")</f>
        <v/>
      </c>
      <c r="Y15">
        <f>IFERROR(INDEX($D$5:$D$35,MATCH(LARGE($X$5:$X$35,11),$X$5:$X$35,0)),"")</f>
        <v/>
      </c>
      <c r="Z15" s="131">
        <f>IFERROR(INDEX(Carteira!$W$5:$W$35,MATCH(Y15,Carteira!$A$5:$A$35,0)),"")</f>
        <v/>
      </c>
      <c r="AB15">
        <f>IF(OR(Carteira!C15&gt;0,AND(SUM(Carteira!$C$5:$C$35)=0,Carteira!A15&lt;&gt;"")),N(Carteira!Z15)+ROW()/1E9,"")</f>
        <v/>
      </c>
      <c r="AC15">
        <f>IFERROR(INDEX($D$5:$D$35,MATCH(LARGE($AB$5:$AB$35,11),$AB$5:$AB$35,0)),"")</f>
        <v/>
      </c>
      <c r="AD15" s="128">
        <f>IFERROR(INDEX(Carteira!$Z$5:$Z$35,MATCH(AC15,Carteira!$A$5:$A$35,0)),"")</f>
        <v/>
      </c>
      <c r="AF15">
        <f>IF(OR(Carteira!C15&gt;0,AND(SUM(Carteira!$C$5:$C$35)=0,Carteira!A15&lt;&gt;"")),N(Carteira!J15)+ROW()/1E9,"")</f>
        <v/>
      </c>
      <c r="AG15">
        <f>IFERROR(INDEX($D$5:$D$35,MATCH(LARGE($AF$5:$AF$35,11),$AF$5:$AF$35,0)),"")</f>
        <v/>
      </c>
      <c r="AH15" s="128">
        <f>IFERROR(INDEX(Carteira!$J$5:$J$35,MATCH(AG15,Carteira!$A$5:$A$35,0)),"")</f>
        <v/>
      </c>
      <c r="AJ15" s="130">
        <f>IF(ISNUMBER(H15),IF(Carteira!$G$36&gt;0,H15/Carteira!$G$36,0),"")</f>
        <v/>
      </c>
    </row>
    <row r="16">
      <c r="D16">
        <f>Carteira!A16</f>
        <v/>
      </c>
      <c r="F16">
        <f>IF(OR(Carteira!C16&gt;0,AND(SUM(Carteira!$C$5:$C$35)=0,Carteira!A16&lt;&gt;"")),N(Carteira!G16)+ROW()/1E9,"")</f>
        <v/>
      </c>
      <c r="G16">
        <f>IFERROR(INDEX($D$5:$D$35,MATCH(LARGE($F$5:$F$35,12),$F$5:$F$35,0)),"")</f>
        <v/>
      </c>
      <c r="H16" s="129">
        <f>IFERROR(INDEX(Carteira!$G$5:$G$35,MATCH(G16,Carteira!$A$5:$A$35,0)),"")</f>
        <v/>
      </c>
      <c r="J16">
        <f>IF(OR(Carteira!C16&gt;0,AND(SUM(Carteira!$C$5:$C$35)=0,Carteira!A16&lt;&gt;"")),N(Carteira!I16)+ROW()/1E9,"")</f>
        <v/>
      </c>
      <c r="K16">
        <f>IFERROR(INDEX($D$5:$D$35,MATCH(LARGE($J$5:$J$35,12),$J$5:$J$35,0)),"")</f>
        <v/>
      </c>
      <c r="L16" s="130">
        <f>IFERROR(INDEX(Carteira!$I$5:$I$35,MATCH(K16,Carteira!$A$5:$A$35,0)),"")</f>
        <v/>
      </c>
      <c r="M16" s="129">
        <f>IFERROR(INDEX(Carteira!$H$5:$H$35,MATCH(K16,Carteira!$A$5:$A$35,0)),"")</f>
        <v/>
      </c>
      <c r="O16">
        <f>IF(OR(Carteira!C16&gt;0,AND(SUM(Carteira!$C$5:$C$35)=0,Carteira!A16&lt;&gt;"")),N(Carteira!I16)+ROW()/1E9,"")</f>
        <v/>
      </c>
      <c r="P16">
        <f>IFERROR(INDEX($D$5:$D$35,MATCH(SMALL($O$5:$O$35,12),$O$5:$O$35,0)),"")</f>
        <v/>
      </c>
      <c r="Q16" s="130">
        <f>IFERROR(INDEX(Carteira!$I$5:$I$35,MATCH(P16,Carteira!$A$5:$A$35,0)),"")</f>
        <v/>
      </c>
      <c r="R16" s="129">
        <f>IFERROR(INDEX(Carteira!$H$5:$H$35,MATCH(P16,Carteira!$A$5:$A$35,0)),"")</f>
        <v/>
      </c>
      <c r="T16">
        <f>IF(OR(Carteira!C16&gt;0,AND(SUM(Carteira!$C$5:$C$35)=0,Carteira!A16&lt;&gt;"")),N(Carteira!H16)+ROW()/1E9,"")</f>
        <v/>
      </c>
      <c r="U16">
        <f>IFERROR(INDEX($D$5:$D$35,MATCH(LARGE($T$5:$T$35,12),$T$5:$T$35,0)),"")</f>
        <v/>
      </c>
      <c r="V16" s="128">
        <f>IFERROR(INDEX(Carteira!$H$5:$H$35,MATCH(U16,Carteira!$A$5:$A$35,0)),"")</f>
        <v/>
      </c>
      <c r="X16">
        <f>IF(OR(Carteira!C16&gt;0,AND(SUM(Carteira!$C$5:$C$35)=0,Carteira!A16&lt;&gt;"")),N(Carteira!W16)+ROW()/1E9,"")</f>
        <v/>
      </c>
      <c r="Y16">
        <f>IFERROR(INDEX($D$5:$D$35,MATCH(LARGE($X$5:$X$35,12),$X$5:$X$35,0)),"")</f>
        <v/>
      </c>
      <c r="Z16" s="131">
        <f>IFERROR(INDEX(Carteira!$W$5:$W$35,MATCH(Y16,Carteira!$A$5:$A$35,0)),"")</f>
        <v/>
      </c>
      <c r="AB16">
        <f>IF(OR(Carteira!C16&gt;0,AND(SUM(Carteira!$C$5:$C$35)=0,Carteira!A16&lt;&gt;"")),N(Carteira!Z16)+ROW()/1E9,"")</f>
        <v/>
      </c>
      <c r="AC16">
        <f>IFERROR(INDEX($D$5:$D$35,MATCH(LARGE($AB$5:$AB$35,12),$AB$5:$AB$35,0)),"")</f>
        <v/>
      </c>
      <c r="AD16" s="128">
        <f>IFERROR(INDEX(Carteira!$Z$5:$Z$35,MATCH(AC16,Carteira!$A$5:$A$35,0)),"")</f>
        <v/>
      </c>
      <c r="AF16">
        <f>IF(OR(Carteira!C16&gt;0,AND(SUM(Carteira!$C$5:$C$35)=0,Carteira!A16&lt;&gt;"")),N(Carteira!J16)+ROW()/1E9,"")</f>
        <v/>
      </c>
      <c r="AG16">
        <f>IFERROR(INDEX($D$5:$D$35,MATCH(LARGE($AF$5:$AF$35,12),$AF$5:$AF$35,0)),"")</f>
        <v/>
      </c>
      <c r="AH16" s="128">
        <f>IFERROR(INDEX(Carteira!$J$5:$J$35,MATCH(AG16,Carteira!$A$5:$A$35,0)),"")</f>
        <v/>
      </c>
      <c r="AJ16" s="130">
        <f>IF(ISNUMBER(H16),IF(Carteira!$G$36&gt;0,H16/Carteira!$G$36,0),"")</f>
        <v/>
      </c>
    </row>
    <row r="17">
      <c r="D17">
        <f>Carteira!A17</f>
        <v/>
      </c>
      <c r="F17">
        <f>IF(OR(Carteira!C17&gt;0,AND(SUM(Carteira!$C$5:$C$35)=0,Carteira!A17&lt;&gt;"")),N(Carteira!G17)+ROW()/1E9,"")</f>
        <v/>
      </c>
      <c r="G17">
        <f>IFERROR(INDEX($D$5:$D$35,MATCH(LARGE($F$5:$F$35,13),$F$5:$F$35,0)),"")</f>
        <v/>
      </c>
      <c r="H17" s="129">
        <f>IFERROR(INDEX(Carteira!$G$5:$G$35,MATCH(G17,Carteira!$A$5:$A$35,0)),"")</f>
        <v/>
      </c>
      <c r="J17">
        <f>IF(OR(Carteira!C17&gt;0,AND(SUM(Carteira!$C$5:$C$35)=0,Carteira!A17&lt;&gt;"")),N(Carteira!I17)+ROW()/1E9,"")</f>
        <v/>
      </c>
      <c r="K17">
        <f>IFERROR(INDEX($D$5:$D$35,MATCH(LARGE($J$5:$J$35,13),$J$5:$J$35,0)),"")</f>
        <v/>
      </c>
      <c r="L17" s="130">
        <f>IFERROR(INDEX(Carteira!$I$5:$I$35,MATCH(K17,Carteira!$A$5:$A$35,0)),"")</f>
        <v/>
      </c>
      <c r="M17" s="129">
        <f>IFERROR(INDEX(Carteira!$H$5:$H$35,MATCH(K17,Carteira!$A$5:$A$35,0)),"")</f>
        <v/>
      </c>
      <c r="O17">
        <f>IF(OR(Carteira!C17&gt;0,AND(SUM(Carteira!$C$5:$C$35)=0,Carteira!A17&lt;&gt;"")),N(Carteira!I17)+ROW()/1E9,"")</f>
        <v/>
      </c>
      <c r="P17">
        <f>IFERROR(INDEX($D$5:$D$35,MATCH(SMALL($O$5:$O$35,13),$O$5:$O$35,0)),"")</f>
        <v/>
      </c>
      <c r="Q17" s="130">
        <f>IFERROR(INDEX(Carteira!$I$5:$I$35,MATCH(P17,Carteira!$A$5:$A$35,0)),"")</f>
        <v/>
      </c>
      <c r="R17" s="129">
        <f>IFERROR(INDEX(Carteira!$H$5:$H$35,MATCH(P17,Carteira!$A$5:$A$35,0)),"")</f>
        <v/>
      </c>
      <c r="T17">
        <f>IF(OR(Carteira!C17&gt;0,AND(SUM(Carteira!$C$5:$C$35)=0,Carteira!A17&lt;&gt;"")),N(Carteira!H17)+ROW()/1E9,"")</f>
        <v/>
      </c>
      <c r="U17">
        <f>IFERROR(INDEX($D$5:$D$35,MATCH(LARGE($T$5:$T$35,13),$T$5:$T$35,0)),"")</f>
        <v/>
      </c>
      <c r="V17" s="128">
        <f>IFERROR(INDEX(Carteira!$H$5:$H$35,MATCH(U17,Carteira!$A$5:$A$35,0)),"")</f>
        <v/>
      </c>
      <c r="X17">
        <f>IF(OR(Carteira!C17&gt;0,AND(SUM(Carteira!$C$5:$C$35)=0,Carteira!A17&lt;&gt;"")),N(Carteira!W17)+ROW()/1E9,"")</f>
        <v/>
      </c>
      <c r="Y17">
        <f>IFERROR(INDEX($D$5:$D$35,MATCH(LARGE($X$5:$X$35,13),$X$5:$X$35,0)),"")</f>
        <v/>
      </c>
      <c r="Z17" s="131">
        <f>IFERROR(INDEX(Carteira!$W$5:$W$35,MATCH(Y17,Carteira!$A$5:$A$35,0)),"")</f>
        <v/>
      </c>
      <c r="AB17">
        <f>IF(OR(Carteira!C17&gt;0,AND(SUM(Carteira!$C$5:$C$35)=0,Carteira!A17&lt;&gt;"")),N(Carteira!Z17)+ROW()/1E9,"")</f>
        <v/>
      </c>
      <c r="AC17">
        <f>IFERROR(INDEX($D$5:$D$35,MATCH(LARGE($AB$5:$AB$35,13),$AB$5:$AB$35,0)),"")</f>
        <v/>
      </c>
      <c r="AD17" s="128">
        <f>IFERROR(INDEX(Carteira!$Z$5:$Z$35,MATCH(AC17,Carteira!$A$5:$A$35,0)),"")</f>
        <v/>
      </c>
      <c r="AF17">
        <f>IF(OR(Carteira!C17&gt;0,AND(SUM(Carteira!$C$5:$C$35)=0,Carteira!A17&lt;&gt;"")),N(Carteira!J17)+ROW()/1E9,"")</f>
        <v/>
      </c>
      <c r="AG17">
        <f>IFERROR(INDEX($D$5:$D$35,MATCH(LARGE($AF$5:$AF$35,13),$AF$5:$AF$35,0)),"")</f>
        <v/>
      </c>
      <c r="AH17" s="128">
        <f>IFERROR(INDEX(Carteira!$J$5:$J$35,MATCH(AG17,Carteira!$A$5:$A$35,0)),"")</f>
        <v/>
      </c>
      <c r="AJ17" s="130">
        <f>IF(ISNUMBER(H17),IF(Carteira!$G$36&gt;0,H17/Carteira!$G$36,0),"")</f>
        <v/>
      </c>
    </row>
    <row r="18">
      <c r="D18">
        <f>Carteira!A18</f>
        <v/>
      </c>
      <c r="F18">
        <f>IF(OR(Carteira!C18&gt;0,AND(SUM(Carteira!$C$5:$C$35)=0,Carteira!A18&lt;&gt;"")),N(Carteira!G18)+ROW()/1E9,"")</f>
        <v/>
      </c>
      <c r="G18">
        <f>IFERROR(INDEX($D$5:$D$35,MATCH(LARGE($F$5:$F$35,14),$F$5:$F$35,0)),"")</f>
        <v/>
      </c>
      <c r="H18" s="129">
        <f>IFERROR(INDEX(Carteira!$G$5:$G$35,MATCH(G18,Carteira!$A$5:$A$35,0)),"")</f>
        <v/>
      </c>
      <c r="J18">
        <f>IF(OR(Carteira!C18&gt;0,AND(SUM(Carteira!$C$5:$C$35)=0,Carteira!A18&lt;&gt;"")),N(Carteira!I18)+ROW()/1E9,"")</f>
        <v/>
      </c>
      <c r="K18">
        <f>IFERROR(INDEX($D$5:$D$35,MATCH(LARGE($J$5:$J$35,14),$J$5:$J$35,0)),"")</f>
        <v/>
      </c>
      <c r="L18" s="130">
        <f>IFERROR(INDEX(Carteira!$I$5:$I$35,MATCH(K18,Carteira!$A$5:$A$35,0)),"")</f>
        <v/>
      </c>
      <c r="M18" s="129">
        <f>IFERROR(INDEX(Carteira!$H$5:$H$35,MATCH(K18,Carteira!$A$5:$A$35,0)),"")</f>
        <v/>
      </c>
      <c r="O18">
        <f>IF(OR(Carteira!C18&gt;0,AND(SUM(Carteira!$C$5:$C$35)=0,Carteira!A18&lt;&gt;"")),N(Carteira!I18)+ROW()/1E9,"")</f>
        <v/>
      </c>
      <c r="P18">
        <f>IFERROR(INDEX($D$5:$D$35,MATCH(SMALL($O$5:$O$35,14),$O$5:$O$35,0)),"")</f>
        <v/>
      </c>
      <c r="Q18" s="130">
        <f>IFERROR(INDEX(Carteira!$I$5:$I$35,MATCH(P18,Carteira!$A$5:$A$35,0)),"")</f>
        <v/>
      </c>
      <c r="R18" s="129">
        <f>IFERROR(INDEX(Carteira!$H$5:$H$35,MATCH(P18,Carteira!$A$5:$A$35,0)),"")</f>
        <v/>
      </c>
      <c r="T18">
        <f>IF(OR(Carteira!C18&gt;0,AND(SUM(Carteira!$C$5:$C$35)=0,Carteira!A18&lt;&gt;"")),N(Carteira!H18)+ROW()/1E9,"")</f>
        <v/>
      </c>
      <c r="U18">
        <f>IFERROR(INDEX($D$5:$D$35,MATCH(LARGE($T$5:$T$35,14),$T$5:$T$35,0)),"")</f>
        <v/>
      </c>
      <c r="V18" s="128">
        <f>IFERROR(INDEX(Carteira!$H$5:$H$35,MATCH(U18,Carteira!$A$5:$A$35,0)),"")</f>
        <v/>
      </c>
      <c r="X18">
        <f>IF(OR(Carteira!C18&gt;0,AND(SUM(Carteira!$C$5:$C$35)=0,Carteira!A18&lt;&gt;"")),N(Carteira!W18)+ROW()/1E9,"")</f>
        <v/>
      </c>
      <c r="Y18">
        <f>IFERROR(INDEX($D$5:$D$35,MATCH(LARGE($X$5:$X$35,14),$X$5:$X$35,0)),"")</f>
        <v/>
      </c>
      <c r="Z18" s="131">
        <f>IFERROR(INDEX(Carteira!$W$5:$W$35,MATCH(Y18,Carteira!$A$5:$A$35,0)),"")</f>
        <v/>
      </c>
      <c r="AB18">
        <f>IF(OR(Carteira!C18&gt;0,AND(SUM(Carteira!$C$5:$C$35)=0,Carteira!A18&lt;&gt;"")),N(Carteira!Z18)+ROW()/1E9,"")</f>
        <v/>
      </c>
      <c r="AC18">
        <f>IFERROR(INDEX($D$5:$D$35,MATCH(LARGE($AB$5:$AB$35,14),$AB$5:$AB$35,0)),"")</f>
        <v/>
      </c>
      <c r="AD18" s="128">
        <f>IFERROR(INDEX(Carteira!$Z$5:$Z$35,MATCH(AC18,Carteira!$A$5:$A$35,0)),"")</f>
        <v/>
      </c>
      <c r="AF18">
        <f>IF(OR(Carteira!C18&gt;0,AND(SUM(Carteira!$C$5:$C$35)=0,Carteira!A18&lt;&gt;"")),N(Carteira!J18)+ROW()/1E9,"")</f>
        <v/>
      </c>
      <c r="AG18">
        <f>IFERROR(INDEX($D$5:$D$35,MATCH(LARGE($AF$5:$AF$35,14),$AF$5:$AF$35,0)),"")</f>
        <v/>
      </c>
      <c r="AH18" s="128">
        <f>IFERROR(INDEX(Carteira!$J$5:$J$35,MATCH(AG18,Carteira!$A$5:$A$35,0)),"")</f>
        <v/>
      </c>
      <c r="AJ18" s="130">
        <f>IF(ISNUMBER(H18),IF(Carteira!$G$36&gt;0,H18/Carteira!$G$36,0),"")</f>
        <v/>
      </c>
    </row>
    <row r="19">
      <c r="D19">
        <f>Carteira!A19</f>
        <v/>
      </c>
      <c r="F19">
        <f>IF(OR(Carteira!C19&gt;0,AND(SUM(Carteira!$C$5:$C$35)=0,Carteira!A19&lt;&gt;"")),N(Carteira!G19)+ROW()/1E9,"")</f>
        <v/>
      </c>
      <c r="G19">
        <f>IFERROR(INDEX($D$5:$D$35,MATCH(LARGE($F$5:$F$35,15),$F$5:$F$35,0)),"")</f>
        <v/>
      </c>
      <c r="H19" s="129">
        <f>IFERROR(INDEX(Carteira!$G$5:$G$35,MATCH(G19,Carteira!$A$5:$A$35,0)),"")</f>
        <v/>
      </c>
      <c r="J19">
        <f>IF(OR(Carteira!C19&gt;0,AND(SUM(Carteira!$C$5:$C$35)=0,Carteira!A19&lt;&gt;"")),N(Carteira!I19)+ROW()/1E9,"")</f>
        <v/>
      </c>
      <c r="K19">
        <f>IFERROR(INDEX($D$5:$D$35,MATCH(LARGE($J$5:$J$35,15),$J$5:$J$35,0)),"")</f>
        <v/>
      </c>
      <c r="L19" s="130">
        <f>IFERROR(INDEX(Carteira!$I$5:$I$35,MATCH(K19,Carteira!$A$5:$A$35,0)),"")</f>
        <v/>
      </c>
      <c r="M19" s="129">
        <f>IFERROR(INDEX(Carteira!$H$5:$H$35,MATCH(K19,Carteira!$A$5:$A$35,0)),"")</f>
        <v/>
      </c>
      <c r="O19">
        <f>IF(OR(Carteira!C19&gt;0,AND(SUM(Carteira!$C$5:$C$35)=0,Carteira!A19&lt;&gt;"")),N(Carteira!I19)+ROW()/1E9,"")</f>
        <v/>
      </c>
      <c r="P19">
        <f>IFERROR(INDEX($D$5:$D$35,MATCH(SMALL($O$5:$O$35,15),$O$5:$O$35,0)),"")</f>
        <v/>
      </c>
      <c r="Q19" s="130">
        <f>IFERROR(INDEX(Carteira!$I$5:$I$35,MATCH(P19,Carteira!$A$5:$A$35,0)),"")</f>
        <v/>
      </c>
      <c r="R19" s="129">
        <f>IFERROR(INDEX(Carteira!$H$5:$H$35,MATCH(P19,Carteira!$A$5:$A$35,0)),"")</f>
        <v/>
      </c>
      <c r="T19">
        <f>IF(OR(Carteira!C19&gt;0,AND(SUM(Carteira!$C$5:$C$35)=0,Carteira!A19&lt;&gt;"")),N(Carteira!H19)+ROW()/1E9,"")</f>
        <v/>
      </c>
      <c r="U19">
        <f>IFERROR(INDEX($D$5:$D$35,MATCH(LARGE($T$5:$T$35,15),$T$5:$T$35,0)),"")</f>
        <v/>
      </c>
      <c r="V19" s="128">
        <f>IFERROR(INDEX(Carteira!$H$5:$H$35,MATCH(U19,Carteira!$A$5:$A$35,0)),"")</f>
        <v/>
      </c>
      <c r="X19">
        <f>IF(OR(Carteira!C19&gt;0,AND(SUM(Carteira!$C$5:$C$35)=0,Carteira!A19&lt;&gt;"")),N(Carteira!W19)+ROW()/1E9,"")</f>
        <v/>
      </c>
      <c r="Y19">
        <f>IFERROR(INDEX($D$5:$D$35,MATCH(LARGE($X$5:$X$35,15),$X$5:$X$35,0)),"")</f>
        <v/>
      </c>
      <c r="Z19" s="131">
        <f>IFERROR(INDEX(Carteira!$W$5:$W$35,MATCH(Y19,Carteira!$A$5:$A$35,0)),"")</f>
        <v/>
      </c>
      <c r="AB19">
        <f>IF(OR(Carteira!C19&gt;0,AND(SUM(Carteira!$C$5:$C$35)=0,Carteira!A19&lt;&gt;"")),N(Carteira!Z19)+ROW()/1E9,"")</f>
        <v/>
      </c>
      <c r="AC19">
        <f>IFERROR(INDEX($D$5:$D$35,MATCH(LARGE($AB$5:$AB$35,15),$AB$5:$AB$35,0)),"")</f>
        <v/>
      </c>
      <c r="AD19" s="128">
        <f>IFERROR(INDEX(Carteira!$Z$5:$Z$35,MATCH(AC19,Carteira!$A$5:$A$35,0)),"")</f>
        <v/>
      </c>
      <c r="AF19">
        <f>IF(OR(Carteira!C19&gt;0,AND(SUM(Carteira!$C$5:$C$35)=0,Carteira!A19&lt;&gt;"")),N(Carteira!J19)+ROW()/1E9,"")</f>
        <v/>
      </c>
      <c r="AG19">
        <f>IFERROR(INDEX($D$5:$D$35,MATCH(LARGE($AF$5:$AF$35,15),$AF$5:$AF$35,0)),"")</f>
        <v/>
      </c>
      <c r="AH19" s="128">
        <f>IFERROR(INDEX(Carteira!$J$5:$J$35,MATCH(AG19,Carteira!$A$5:$A$35,0)),"")</f>
        <v/>
      </c>
      <c r="AJ19" s="130">
        <f>IF(ISNUMBER(H19),IF(Carteira!$G$36&gt;0,H19/Carteira!$G$36,0),"")</f>
        <v/>
      </c>
    </row>
    <row r="20">
      <c r="D20">
        <f>Carteira!A20</f>
        <v/>
      </c>
      <c r="F20">
        <f>IF(OR(Carteira!C20&gt;0,AND(SUM(Carteira!$C$5:$C$35)=0,Carteira!A20&lt;&gt;"")),N(Carteira!G20)+ROW()/1E9,"")</f>
        <v/>
      </c>
      <c r="G20">
        <f>IFERROR(INDEX($D$5:$D$35,MATCH(LARGE($F$5:$F$35,16),$F$5:$F$35,0)),"")</f>
        <v/>
      </c>
      <c r="H20" s="129">
        <f>IFERROR(INDEX(Carteira!$G$5:$G$35,MATCH(G20,Carteira!$A$5:$A$35,0)),"")</f>
        <v/>
      </c>
      <c r="J20">
        <f>IF(OR(Carteira!C20&gt;0,AND(SUM(Carteira!$C$5:$C$35)=0,Carteira!A20&lt;&gt;"")),N(Carteira!I20)+ROW()/1E9,"")</f>
        <v/>
      </c>
      <c r="K20">
        <f>IFERROR(INDEX($D$5:$D$35,MATCH(LARGE($J$5:$J$35,16),$J$5:$J$35,0)),"")</f>
        <v/>
      </c>
      <c r="L20" s="130">
        <f>IFERROR(INDEX(Carteira!$I$5:$I$35,MATCH(K20,Carteira!$A$5:$A$35,0)),"")</f>
        <v/>
      </c>
      <c r="M20" s="129">
        <f>IFERROR(INDEX(Carteira!$H$5:$H$35,MATCH(K20,Carteira!$A$5:$A$35,0)),"")</f>
        <v/>
      </c>
      <c r="O20">
        <f>IF(OR(Carteira!C20&gt;0,AND(SUM(Carteira!$C$5:$C$35)=0,Carteira!A20&lt;&gt;"")),N(Carteira!I20)+ROW()/1E9,"")</f>
        <v/>
      </c>
      <c r="P20">
        <f>IFERROR(INDEX($D$5:$D$35,MATCH(SMALL($O$5:$O$35,16),$O$5:$O$35,0)),"")</f>
        <v/>
      </c>
      <c r="Q20" s="130">
        <f>IFERROR(INDEX(Carteira!$I$5:$I$35,MATCH(P20,Carteira!$A$5:$A$35,0)),"")</f>
        <v/>
      </c>
      <c r="R20" s="129">
        <f>IFERROR(INDEX(Carteira!$H$5:$H$35,MATCH(P20,Carteira!$A$5:$A$35,0)),"")</f>
        <v/>
      </c>
      <c r="T20">
        <f>IF(OR(Carteira!C20&gt;0,AND(SUM(Carteira!$C$5:$C$35)=0,Carteira!A20&lt;&gt;"")),N(Carteira!H20)+ROW()/1E9,"")</f>
        <v/>
      </c>
      <c r="U20">
        <f>IFERROR(INDEX($D$5:$D$35,MATCH(LARGE($T$5:$T$35,16),$T$5:$T$35,0)),"")</f>
        <v/>
      </c>
      <c r="V20" s="128">
        <f>IFERROR(INDEX(Carteira!$H$5:$H$35,MATCH(U20,Carteira!$A$5:$A$35,0)),"")</f>
        <v/>
      </c>
      <c r="X20">
        <f>IF(OR(Carteira!C20&gt;0,AND(SUM(Carteira!$C$5:$C$35)=0,Carteira!A20&lt;&gt;"")),N(Carteira!W20)+ROW()/1E9,"")</f>
        <v/>
      </c>
      <c r="Y20">
        <f>IFERROR(INDEX($D$5:$D$35,MATCH(LARGE($X$5:$X$35,16),$X$5:$X$35,0)),"")</f>
        <v/>
      </c>
      <c r="Z20" s="131">
        <f>IFERROR(INDEX(Carteira!$W$5:$W$35,MATCH(Y20,Carteira!$A$5:$A$35,0)),"")</f>
        <v/>
      </c>
      <c r="AB20">
        <f>IF(OR(Carteira!C20&gt;0,AND(SUM(Carteira!$C$5:$C$35)=0,Carteira!A20&lt;&gt;"")),N(Carteira!Z20)+ROW()/1E9,"")</f>
        <v/>
      </c>
      <c r="AC20">
        <f>IFERROR(INDEX($D$5:$D$35,MATCH(LARGE($AB$5:$AB$35,16),$AB$5:$AB$35,0)),"")</f>
        <v/>
      </c>
      <c r="AD20" s="128">
        <f>IFERROR(INDEX(Carteira!$Z$5:$Z$35,MATCH(AC20,Carteira!$A$5:$A$35,0)),"")</f>
        <v/>
      </c>
      <c r="AF20">
        <f>IF(OR(Carteira!C20&gt;0,AND(SUM(Carteira!$C$5:$C$35)=0,Carteira!A20&lt;&gt;"")),N(Carteira!J20)+ROW()/1E9,"")</f>
        <v/>
      </c>
      <c r="AG20">
        <f>IFERROR(INDEX($D$5:$D$35,MATCH(LARGE($AF$5:$AF$35,16),$AF$5:$AF$35,0)),"")</f>
        <v/>
      </c>
      <c r="AH20" s="128">
        <f>IFERROR(INDEX(Carteira!$J$5:$J$35,MATCH(AG20,Carteira!$A$5:$A$35,0)),"")</f>
        <v/>
      </c>
      <c r="AJ20" s="130">
        <f>IF(ISNUMBER(H20),IF(Carteira!$G$36&gt;0,H20/Carteira!$G$36,0),"")</f>
        <v/>
      </c>
    </row>
    <row r="21">
      <c r="D21">
        <f>Carteira!A21</f>
        <v/>
      </c>
      <c r="F21">
        <f>IF(OR(Carteira!C21&gt;0,AND(SUM(Carteira!$C$5:$C$35)=0,Carteira!A21&lt;&gt;"")),N(Carteira!G21)+ROW()/1E9,"")</f>
        <v/>
      </c>
      <c r="G21">
        <f>IFERROR(INDEX($D$5:$D$35,MATCH(LARGE($F$5:$F$35,17),$F$5:$F$35,0)),"")</f>
        <v/>
      </c>
      <c r="H21" s="129">
        <f>IFERROR(INDEX(Carteira!$G$5:$G$35,MATCH(G21,Carteira!$A$5:$A$35,0)),"")</f>
        <v/>
      </c>
      <c r="J21">
        <f>IF(OR(Carteira!C21&gt;0,AND(SUM(Carteira!$C$5:$C$35)=0,Carteira!A21&lt;&gt;"")),N(Carteira!I21)+ROW()/1E9,"")</f>
        <v/>
      </c>
      <c r="K21">
        <f>IFERROR(INDEX($D$5:$D$35,MATCH(LARGE($J$5:$J$35,17),$J$5:$J$35,0)),"")</f>
        <v/>
      </c>
      <c r="L21" s="130">
        <f>IFERROR(INDEX(Carteira!$I$5:$I$35,MATCH(K21,Carteira!$A$5:$A$35,0)),"")</f>
        <v/>
      </c>
      <c r="M21" s="129">
        <f>IFERROR(INDEX(Carteira!$H$5:$H$35,MATCH(K21,Carteira!$A$5:$A$35,0)),"")</f>
        <v/>
      </c>
      <c r="O21">
        <f>IF(OR(Carteira!C21&gt;0,AND(SUM(Carteira!$C$5:$C$35)=0,Carteira!A21&lt;&gt;"")),N(Carteira!I21)+ROW()/1E9,"")</f>
        <v/>
      </c>
      <c r="P21">
        <f>IFERROR(INDEX($D$5:$D$35,MATCH(SMALL($O$5:$O$35,17),$O$5:$O$35,0)),"")</f>
        <v/>
      </c>
      <c r="Q21" s="130">
        <f>IFERROR(INDEX(Carteira!$I$5:$I$35,MATCH(P21,Carteira!$A$5:$A$35,0)),"")</f>
        <v/>
      </c>
      <c r="R21" s="129">
        <f>IFERROR(INDEX(Carteira!$H$5:$H$35,MATCH(P21,Carteira!$A$5:$A$35,0)),"")</f>
        <v/>
      </c>
      <c r="T21">
        <f>IF(OR(Carteira!C21&gt;0,AND(SUM(Carteira!$C$5:$C$35)=0,Carteira!A21&lt;&gt;"")),N(Carteira!H21)+ROW()/1E9,"")</f>
        <v/>
      </c>
      <c r="U21">
        <f>IFERROR(INDEX($D$5:$D$35,MATCH(LARGE($T$5:$T$35,17),$T$5:$T$35,0)),"")</f>
        <v/>
      </c>
      <c r="V21" s="128">
        <f>IFERROR(INDEX(Carteira!$H$5:$H$35,MATCH(U21,Carteira!$A$5:$A$35,0)),"")</f>
        <v/>
      </c>
      <c r="X21">
        <f>IF(OR(Carteira!C21&gt;0,AND(SUM(Carteira!$C$5:$C$35)=0,Carteira!A21&lt;&gt;"")),N(Carteira!W21)+ROW()/1E9,"")</f>
        <v/>
      </c>
      <c r="Y21">
        <f>IFERROR(INDEX($D$5:$D$35,MATCH(LARGE($X$5:$X$35,17),$X$5:$X$35,0)),"")</f>
        <v/>
      </c>
      <c r="Z21" s="131">
        <f>IFERROR(INDEX(Carteira!$W$5:$W$35,MATCH(Y21,Carteira!$A$5:$A$35,0)),"")</f>
        <v/>
      </c>
      <c r="AB21">
        <f>IF(OR(Carteira!C21&gt;0,AND(SUM(Carteira!$C$5:$C$35)=0,Carteira!A21&lt;&gt;"")),N(Carteira!Z21)+ROW()/1E9,"")</f>
        <v/>
      </c>
      <c r="AC21">
        <f>IFERROR(INDEX($D$5:$D$35,MATCH(LARGE($AB$5:$AB$35,17),$AB$5:$AB$35,0)),"")</f>
        <v/>
      </c>
      <c r="AD21" s="128">
        <f>IFERROR(INDEX(Carteira!$Z$5:$Z$35,MATCH(AC21,Carteira!$A$5:$A$35,0)),"")</f>
        <v/>
      </c>
      <c r="AF21">
        <f>IF(OR(Carteira!C21&gt;0,AND(SUM(Carteira!$C$5:$C$35)=0,Carteira!A21&lt;&gt;"")),N(Carteira!J21)+ROW()/1E9,"")</f>
        <v/>
      </c>
      <c r="AG21">
        <f>IFERROR(INDEX($D$5:$D$35,MATCH(LARGE($AF$5:$AF$35,17),$AF$5:$AF$35,0)),"")</f>
        <v/>
      </c>
      <c r="AH21" s="128">
        <f>IFERROR(INDEX(Carteira!$J$5:$J$35,MATCH(AG21,Carteira!$A$5:$A$35,0)),"")</f>
        <v/>
      </c>
      <c r="AJ21" s="130">
        <f>IF(ISNUMBER(H21),IF(Carteira!$G$36&gt;0,H21/Carteira!$G$36,0),"")</f>
        <v/>
      </c>
    </row>
    <row r="22">
      <c r="D22">
        <f>Carteira!A22</f>
        <v/>
      </c>
      <c r="F22">
        <f>IF(OR(Carteira!C22&gt;0,AND(SUM(Carteira!$C$5:$C$35)=0,Carteira!A22&lt;&gt;"")),N(Carteira!G22)+ROW()/1E9,"")</f>
        <v/>
      </c>
      <c r="G22">
        <f>IFERROR(INDEX($D$5:$D$35,MATCH(LARGE($F$5:$F$35,18),$F$5:$F$35,0)),"")</f>
        <v/>
      </c>
      <c r="H22" s="129">
        <f>IFERROR(INDEX(Carteira!$G$5:$G$35,MATCH(G22,Carteira!$A$5:$A$35,0)),"")</f>
        <v/>
      </c>
      <c r="J22">
        <f>IF(OR(Carteira!C22&gt;0,AND(SUM(Carteira!$C$5:$C$35)=0,Carteira!A22&lt;&gt;"")),N(Carteira!I22)+ROW()/1E9,"")</f>
        <v/>
      </c>
      <c r="K22">
        <f>IFERROR(INDEX($D$5:$D$35,MATCH(LARGE($J$5:$J$35,18),$J$5:$J$35,0)),"")</f>
        <v/>
      </c>
      <c r="L22" s="130">
        <f>IFERROR(INDEX(Carteira!$I$5:$I$35,MATCH(K22,Carteira!$A$5:$A$35,0)),"")</f>
        <v/>
      </c>
      <c r="M22" s="129">
        <f>IFERROR(INDEX(Carteira!$H$5:$H$35,MATCH(K22,Carteira!$A$5:$A$35,0)),"")</f>
        <v/>
      </c>
      <c r="O22">
        <f>IF(OR(Carteira!C22&gt;0,AND(SUM(Carteira!$C$5:$C$35)=0,Carteira!A22&lt;&gt;"")),N(Carteira!I22)+ROW()/1E9,"")</f>
        <v/>
      </c>
      <c r="P22">
        <f>IFERROR(INDEX($D$5:$D$35,MATCH(SMALL($O$5:$O$35,18),$O$5:$O$35,0)),"")</f>
        <v/>
      </c>
      <c r="Q22" s="130">
        <f>IFERROR(INDEX(Carteira!$I$5:$I$35,MATCH(P22,Carteira!$A$5:$A$35,0)),"")</f>
        <v/>
      </c>
      <c r="R22" s="129">
        <f>IFERROR(INDEX(Carteira!$H$5:$H$35,MATCH(P22,Carteira!$A$5:$A$35,0)),"")</f>
        <v/>
      </c>
      <c r="T22">
        <f>IF(OR(Carteira!C22&gt;0,AND(SUM(Carteira!$C$5:$C$35)=0,Carteira!A22&lt;&gt;"")),N(Carteira!H22)+ROW()/1E9,"")</f>
        <v/>
      </c>
      <c r="U22">
        <f>IFERROR(INDEX($D$5:$D$35,MATCH(LARGE($T$5:$T$35,18),$T$5:$T$35,0)),"")</f>
        <v/>
      </c>
      <c r="V22" s="128">
        <f>IFERROR(INDEX(Carteira!$H$5:$H$35,MATCH(U22,Carteira!$A$5:$A$35,0)),"")</f>
        <v/>
      </c>
      <c r="X22">
        <f>IF(OR(Carteira!C22&gt;0,AND(SUM(Carteira!$C$5:$C$35)=0,Carteira!A22&lt;&gt;"")),N(Carteira!W22)+ROW()/1E9,"")</f>
        <v/>
      </c>
      <c r="Y22">
        <f>IFERROR(INDEX($D$5:$D$35,MATCH(LARGE($X$5:$X$35,18),$X$5:$X$35,0)),"")</f>
        <v/>
      </c>
      <c r="Z22" s="131">
        <f>IFERROR(INDEX(Carteira!$W$5:$W$35,MATCH(Y22,Carteira!$A$5:$A$35,0)),"")</f>
        <v/>
      </c>
      <c r="AB22">
        <f>IF(OR(Carteira!C22&gt;0,AND(SUM(Carteira!$C$5:$C$35)=0,Carteira!A22&lt;&gt;"")),N(Carteira!Z22)+ROW()/1E9,"")</f>
        <v/>
      </c>
      <c r="AC22">
        <f>IFERROR(INDEX($D$5:$D$35,MATCH(LARGE($AB$5:$AB$35,18),$AB$5:$AB$35,0)),"")</f>
        <v/>
      </c>
      <c r="AD22" s="128">
        <f>IFERROR(INDEX(Carteira!$Z$5:$Z$35,MATCH(AC22,Carteira!$A$5:$A$35,0)),"")</f>
        <v/>
      </c>
      <c r="AF22">
        <f>IF(OR(Carteira!C22&gt;0,AND(SUM(Carteira!$C$5:$C$35)=0,Carteira!A22&lt;&gt;"")),N(Carteira!J22)+ROW()/1E9,"")</f>
        <v/>
      </c>
      <c r="AG22">
        <f>IFERROR(INDEX($D$5:$D$35,MATCH(LARGE($AF$5:$AF$35,18),$AF$5:$AF$35,0)),"")</f>
        <v/>
      </c>
      <c r="AH22" s="128">
        <f>IFERROR(INDEX(Carteira!$J$5:$J$35,MATCH(AG22,Carteira!$A$5:$A$35,0)),"")</f>
        <v/>
      </c>
      <c r="AJ22" s="130">
        <f>IF(ISNUMBER(H22),IF(Carteira!$G$36&gt;0,H22/Carteira!$G$36,0),"")</f>
        <v/>
      </c>
    </row>
    <row r="23">
      <c r="D23">
        <f>Carteira!A23</f>
        <v/>
      </c>
      <c r="F23">
        <f>IF(OR(Carteira!C23&gt;0,AND(SUM(Carteira!$C$5:$C$35)=0,Carteira!A23&lt;&gt;"")),N(Carteira!G23)+ROW()/1E9,"")</f>
        <v/>
      </c>
      <c r="G23">
        <f>IFERROR(INDEX($D$5:$D$35,MATCH(LARGE($F$5:$F$35,19),$F$5:$F$35,0)),"")</f>
        <v/>
      </c>
      <c r="H23" s="129">
        <f>IFERROR(INDEX(Carteira!$G$5:$G$35,MATCH(G23,Carteira!$A$5:$A$35,0)),"")</f>
        <v/>
      </c>
      <c r="J23">
        <f>IF(OR(Carteira!C23&gt;0,AND(SUM(Carteira!$C$5:$C$35)=0,Carteira!A23&lt;&gt;"")),N(Carteira!I23)+ROW()/1E9,"")</f>
        <v/>
      </c>
      <c r="K23">
        <f>IFERROR(INDEX($D$5:$D$35,MATCH(LARGE($J$5:$J$35,19),$J$5:$J$35,0)),"")</f>
        <v/>
      </c>
      <c r="L23" s="130">
        <f>IFERROR(INDEX(Carteira!$I$5:$I$35,MATCH(K23,Carteira!$A$5:$A$35,0)),"")</f>
        <v/>
      </c>
      <c r="M23" s="129">
        <f>IFERROR(INDEX(Carteira!$H$5:$H$35,MATCH(K23,Carteira!$A$5:$A$35,0)),"")</f>
        <v/>
      </c>
      <c r="O23">
        <f>IF(OR(Carteira!C23&gt;0,AND(SUM(Carteira!$C$5:$C$35)=0,Carteira!A23&lt;&gt;"")),N(Carteira!I23)+ROW()/1E9,"")</f>
        <v/>
      </c>
      <c r="P23">
        <f>IFERROR(INDEX($D$5:$D$35,MATCH(SMALL($O$5:$O$35,19),$O$5:$O$35,0)),"")</f>
        <v/>
      </c>
      <c r="Q23" s="130">
        <f>IFERROR(INDEX(Carteira!$I$5:$I$35,MATCH(P23,Carteira!$A$5:$A$35,0)),"")</f>
        <v/>
      </c>
      <c r="R23" s="129">
        <f>IFERROR(INDEX(Carteira!$H$5:$H$35,MATCH(P23,Carteira!$A$5:$A$35,0)),"")</f>
        <v/>
      </c>
      <c r="T23">
        <f>IF(OR(Carteira!C23&gt;0,AND(SUM(Carteira!$C$5:$C$35)=0,Carteira!A23&lt;&gt;"")),N(Carteira!H23)+ROW()/1E9,"")</f>
        <v/>
      </c>
      <c r="U23">
        <f>IFERROR(INDEX($D$5:$D$35,MATCH(LARGE($T$5:$T$35,19),$T$5:$T$35,0)),"")</f>
        <v/>
      </c>
      <c r="V23" s="128">
        <f>IFERROR(INDEX(Carteira!$H$5:$H$35,MATCH(U23,Carteira!$A$5:$A$35,0)),"")</f>
        <v/>
      </c>
      <c r="X23">
        <f>IF(OR(Carteira!C23&gt;0,AND(SUM(Carteira!$C$5:$C$35)=0,Carteira!A23&lt;&gt;"")),N(Carteira!W23)+ROW()/1E9,"")</f>
        <v/>
      </c>
      <c r="Y23">
        <f>IFERROR(INDEX($D$5:$D$35,MATCH(LARGE($X$5:$X$35,19),$X$5:$X$35,0)),"")</f>
        <v/>
      </c>
      <c r="Z23" s="131">
        <f>IFERROR(INDEX(Carteira!$W$5:$W$35,MATCH(Y23,Carteira!$A$5:$A$35,0)),"")</f>
        <v/>
      </c>
      <c r="AB23">
        <f>IF(OR(Carteira!C23&gt;0,AND(SUM(Carteira!$C$5:$C$35)=0,Carteira!A23&lt;&gt;"")),N(Carteira!Z23)+ROW()/1E9,"")</f>
        <v/>
      </c>
      <c r="AC23">
        <f>IFERROR(INDEX($D$5:$D$35,MATCH(LARGE($AB$5:$AB$35,19),$AB$5:$AB$35,0)),"")</f>
        <v/>
      </c>
      <c r="AD23" s="128">
        <f>IFERROR(INDEX(Carteira!$Z$5:$Z$35,MATCH(AC23,Carteira!$A$5:$A$35,0)),"")</f>
        <v/>
      </c>
      <c r="AF23">
        <f>IF(OR(Carteira!C23&gt;0,AND(SUM(Carteira!$C$5:$C$35)=0,Carteira!A23&lt;&gt;"")),N(Carteira!J23)+ROW()/1E9,"")</f>
        <v/>
      </c>
      <c r="AG23">
        <f>IFERROR(INDEX($D$5:$D$35,MATCH(LARGE($AF$5:$AF$35,19),$AF$5:$AF$35,0)),"")</f>
        <v/>
      </c>
      <c r="AH23" s="128">
        <f>IFERROR(INDEX(Carteira!$J$5:$J$35,MATCH(AG23,Carteira!$A$5:$A$35,0)),"")</f>
        <v/>
      </c>
      <c r="AJ23" s="130">
        <f>IF(ISNUMBER(H23),IF(Carteira!$G$36&gt;0,H23/Carteira!$G$36,0),"")</f>
        <v/>
      </c>
    </row>
    <row r="24">
      <c r="D24">
        <f>Carteira!A24</f>
        <v/>
      </c>
      <c r="F24">
        <f>IF(OR(Carteira!C24&gt;0,AND(SUM(Carteira!$C$5:$C$35)=0,Carteira!A24&lt;&gt;"")),N(Carteira!G24)+ROW()/1E9,"")</f>
        <v/>
      </c>
      <c r="G24">
        <f>IFERROR(INDEX($D$5:$D$35,MATCH(LARGE($F$5:$F$35,20),$F$5:$F$35,0)),"")</f>
        <v/>
      </c>
      <c r="H24" s="129">
        <f>IFERROR(INDEX(Carteira!$G$5:$G$35,MATCH(G24,Carteira!$A$5:$A$35,0)),"")</f>
        <v/>
      </c>
      <c r="J24">
        <f>IF(OR(Carteira!C24&gt;0,AND(SUM(Carteira!$C$5:$C$35)=0,Carteira!A24&lt;&gt;"")),N(Carteira!I24)+ROW()/1E9,"")</f>
        <v/>
      </c>
      <c r="K24">
        <f>IFERROR(INDEX($D$5:$D$35,MATCH(LARGE($J$5:$J$35,20),$J$5:$J$35,0)),"")</f>
        <v/>
      </c>
      <c r="L24" s="130">
        <f>IFERROR(INDEX(Carteira!$I$5:$I$35,MATCH(K24,Carteira!$A$5:$A$35,0)),"")</f>
        <v/>
      </c>
      <c r="M24" s="129">
        <f>IFERROR(INDEX(Carteira!$H$5:$H$35,MATCH(K24,Carteira!$A$5:$A$35,0)),"")</f>
        <v/>
      </c>
      <c r="O24">
        <f>IF(OR(Carteira!C24&gt;0,AND(SUM(Carteira!$C$5:$C$35)=0,Carteira!A24&lt;&gt;"")),N(Carteira!I24)+ROW()/1E9,"")</f>
        <v/>
      </c>
      <c r="P24">
        <f>IFERROR(INDEX($D$5:$D$35,MATCH(SMALL($O$5:$O$35,20),$O$5:$O$35,0)),"")</f>
        <v/>
      </c>
      <c r="Q24" s="130">
        <f>IFERROR(INDEX(Carteira!$I$5:$I$35,MATCH(P24,Carteira!$A$5:$A$35,0)),"")</f>
        <v/>
      </c>
      <c r="R24" s="129">
        <f>IFERROR(INDEX(Carteira!$H$5:$H$35,MATCH(P24,Carteira!$A$5:$A$35,0)),"")</f>
        <v/>
      </c>
      <c r="T24">
        <f>IF(OR(Carteira!C24&gt;0,AND(SUM(Carteira!$C$5:$C$35)=0,Carteira!A24&lt;&gt;"")),N(Carteira!H24)+ROW()/1E9,"")</f>
        <v/>
      </c>
      <c r="U24">
        <f>IFERROR(INDEX($D$5:$D$35,MATCH(LARGE($T$5:$T$35,20),$T$5:$T$35,0)),"")</f>
        <v/>
      </c>
      <c r="V24" s="128">
        <f>IFERROR(INDEX(Carteira!$H$5:$H$35,MATCH(U24,Carteira!$A$5:$A$35,0)),"")</f>
        <v/>
      </c>
      <c r="X24">
        <f>IF(OR(Carteira!C24&gt;0,AND(SUM(Carteira!$C$5:$C$35)=0,Carteira!A24&lt;&gt;"")),N(Carteira!W24)+ROW()/1E9,"")</f>
        <v/>
      </c>
      <c r="Y24">
        <f>IFERROR(INDEX($D$5:$D$35,MATCH(LARGE($X$5:$X$35,20),$X$5:$X$35,0)),"")</f>
        <v/>
      </c>
      <c r="Z24" s="131">
        <f>IFERROR(INDEX(Carteira!$W$5:$W$35,MATCH(Y24,Carteira!$A$5:$A$35,0)),"")</f>
        <v/>
      </c>
      <c r="AB24">
        <f>IF(OR(Carteira!C24&gt;0,AND(SUM(Carteira!$C$5:$C$35)=0,Carteira!A24&lt;&gt;"")),N(Carteira!Z24)+ROW()/1E9,"")</f>
        <v/>
      </c>
      <c r="AC24">
        <f>IFERROR(INDEX($D$5:$D$35,MATCH(LARGE($AB$5:$AB$35,20),$AB$5:$AB$35,0)),"")</f>
        <v/>
      </c>
      <c r="AD24" s="128">
        <f>IFERROR(INDEX(Carteira!$Z$5:$Z$35,MATCH(AC24,Carteira!$A$5:$A$35,0)),"")</f>
        <v/>
      </c>
      <c r="AF24">
        <f>IF(OR(Carteira!C24&gt;0,AND(SUM(Carteira!$C$5:$C$35)=0,Carteira!A24&lt;&gt;"")),N(Carteira!J24)+ROW()/1E9,"")</f>
        <v/>
      </c>
      <c r="AG24">
        <f>IFERROR(INDEX($D$5:$D$35,MATCH(LARGE($AF$5:$AF$35,20),$AF$5:$AF$35,0)),"")</f>
        <v/>
      </c>
      <c r="AH24" s="128">
        <f>IFERROR(INDEX(Carteira!$J$5:$J$35,MATCH(AG24,Carteira!$A$5:$A$35,0)),"")</f>
        <v/>
      </c>
      <c r="AJ24" s="130">
        <f>IF(ISNUMBER(H24),IF(Carteira!$G$36&gt;0,H24/Carteira!$G$36,0),"")</f>
        <v/>
      </c>
    </row>
    <row r="25">
      <c r="D25">
        <f>Carteira!A25</f>
        <v/>
      </c>
      <c r="F25">
        <f>IF(OR(Carteira!C25&gt;0,AND(SUM(Carteira!$C$5:$C$35)=0,Carteira!A25&lt;&gt;"")),N(Carteira!G25)+ROW()/1E9,"")</f>
        <v/>
      </c>
      <c r="G25">
        <f>IFERROR(INDEX($D$5:$D$35,MATCH(LARGE($F$5:$F$35,21),$F$5:$F$35,0)),"")</f>
        <v/>
      </c>
      <c r="H25" s="129">
        <f>IFERROR(INDEX(Carteira!$G$5:$G$35,MATCH(G25,Carteira!$A$5:$A$35,0)),"")</f>
        <v/>
      </c>
      <c r="J25">
        <f>IF(OR(Carteira!C25&gt;0,AND(SUM(Carteira!$C$5:$C$35)=0,Carteira!A25&lt;&gt;"")),N(Carteira!I25)+ROW()/1E9,"")</f>
        <v/>
      </c>
      <c r="K25">
        <f>IFERROR(INDEX($D$5:$D$35,MATCH(LARGE($J$5:$J$35,21),$J$5:$J$35,0)),"")</f>
        <v/>
      </c>
      <c r="L25" s="130">
        <f>IFERROR(INDEX(Carteira!$I$5:$I$35,MATCH(K25,Carteira!$A$5:$A$35,0)),"")</f>
        <v/>
      </c>
      <c r="M25" s="129">
        <f>IFERROR(INDEX(Carteira!$H$5:$H$35,MATCH(K25,Carteira!$A$5:$A$35,0)),"")</f>
        <v/>
      </c>
      <c r="O25">
        <f>IF(OR(Carteira!C25&gt;0,AND(SUM(Carteira!$C$5:$C$35)=0,Carteira!A25&lt;&gt;"")),N(Carteira!I25)+ROW()/1E9,"")</f>
        <v/>
      </c>
      <c r="P25">
        <f>IFERROR(INDEX($D$5:$D$35,MATCH(SMALL($O$5:$O$35,21),$O$5:$O$35,0)),"")</f>
        <v/>
      </c>
      <c r="Q25" s="130">
        <f>IFERROR(INDEX(Carteira!$I$5:$I$35,MATCH(P25,Carteira!$A$5:$A$35,0)),"")</f>
        <v/>
      </c>
      <c r="R25" s="129">
        <f>IFERROR(INDEX(Carteira!$H$5:$H$35,MATCH(P25,Carteira!$A$5:$A$35,0)),"")</f>
        <v/>
      </c>
      <c r="T25">
        <f>IF(OR(Carteira!C25&gt;0,AND(SUM(Carteira!$C$5:$C$35)=0,Carteira!A25&lt;&gt;"")),N(Carteira!H25)+ROW()/1E9,"")</f>
        <v/>
      </c>
      <c r="U25">
        <f>IFERROR(INDEX($D$5:$D$35,MATCH(LARGE($T$5:$T$35,21),$T$5:$T$35,0)),"")</f>
        <v/>
      </c>
      <c r="V25" s="128">
        <f>IFERROR(INDEX(Carteira!$H$5:$H$35,MATCH(U25,Carteira!$A$5:$A$35,0)),"")</f>
        <v/>
      </c>
      <c r="X25">
        <f>IF(OR(Carteira!C25&gt;0,AND(SUM(Carteira!$C$5:$C$35)=0,Carteira!A25&lt;&gt;"")),N(Carteira!W25)+ROW()/1E9,"")</f>
        <v/>
      </c>
      <c r="Y25">
        <f>IFERROR(INDEX($D$5:$D$35,MATCH(LARGE($X$5:$X$35,21),$X$5:$X$35,0)),"")</f>
        <v/>
      </c>
      <c r="Z25" s="131">
        <f>IFERROR(INDEX(Carteira!$W$5:$W$35,MATCH(Y25,Carteira!$A$5:$A$35,0)),"")</f>
        <v/>
      </c>
      <c r="AB25">
        <f>IF(OR(Carteira!C25&gt;0,AND(SUM(Carteira!$C$5:$C$35)=0,Carteira!A25&lt;&gt;"")),N(Carteira!Z25)+ROW()/1E9,"")</f>
        <v/>
      </c>
      <c r="AC25">
        <f>IFERROR(INDEX($D$5:$D$35,MATCH(LARGE($AB$5:$AB$35,21),$AB$5:$AB$35,0)),"")</f>
        <v/>
      </c>
      <c r="AD25" s="128">
        <f>IFERROR(INDEX(Carteira!$Z$5:$Z$35,MATCH(AC25,Carteira!$A$5:$A$35,0)),"")</f>
        <v/>
      </c>
      <c r="AF25">
        <f>IF(OR(Carteira!C25&gt;0,AND(SUM(Carteira!$C$5:$C$35)=0,Carteira!A25&lt;&gt;"")),N(Carteira!J25)+ROW()/1E9,"")</f>
        <v/>
      </c>
      <c r="AG25">
        <f>IFERROR(INDEX($D$5:$D$35,MATCH(LARGE($AF$5:$AF$35,21),$AF$5:$AF$35,0)),"")</f>
        <v/>
      </c>
      <c r="AH25" s="128">
        <f>IFERROR(INDEX(Carteira!$J$5:$J$35,MATCH(AG25,Carteira!$A$5:$A$35,0)),"")</f>
        <v/>
      </c>
      <c r="AJ25" s="130">
        <f>IF(ISNUMBER(H25),IF(Carteira!$G$36&gt;0,H25/Carteira!$G$36,0),"")</f>
        <v/>
      </c>
    </row>
    <row r="26">
      <c r="D26">
        <f>Carteira!A26</f>
        <v/>
      </c>
      <c r="F26">
        <f>IF(OR(Carteira!C26&gt;0,AND(SUM(Carteira!$C$5:$C$35)=0,Carteira!A26&lt;&gt;"")),N(Carteira!G26)+ROW()/1E9,"")</f>
        <v/>
      </c>
      <c r="G26">
        <f>IFERROR(INDEX($D$5:$D$35,MATCH(LARGE($F$5:$F$35,22),$F$5:$F$35,0)),"")</f>
        <v/>
      </c>
      <c r="H26" s="129">
        <f>IFERROR(INDEX(Carteira!$G$5:$G$35,MATCH(G26,Carteira!$A$5:$A$35,0)),"")</f>
        <v/>
      </c>
      <c r="J26">
        <f>IF(OR(Carteira!C26&gt;0,AND(SUM(Carteira!$C$5:$C$35)=0,Carteira!A26&lt;&gt;"")),N(Carteira!I26)+ROW()/1E9,"")</f>
        <v/>
      </c>
      <c r="K26">
        <f>IFERROR(INDEX($D$5:$D$35,MATCH(LARGE($J$5:$J$35,22),$J$5:$J$35,0)),"")</f>
        <v/>
      </c>
      <c r="L26" s="130">
        <f>IFERROR(INDEX(Carteira!$I$5:$I$35,MATCH(K26,Carteira!$A$5:$A$35,0)),"")</f>
        <v/>
      </c>
      <c r="M26" s="129">
        <f>IFERROR(INDEX(Carteira!$H$5:$H$35,MATCH(K26,Carteira!$A$5:$A$35,0)),"")</f>
        <v/>
      </c>
      <c r="O26">
        <f>IF(OR(Carteira!C26&gt;0,AND(SUM(Carteira!$C$5:$C$35)=0,Carteira!A26&lt;&gt;"")),N(Carteira!I26)+ROW()/1E9,"")</f>
        <v/>
      </c>
      <c r="P26">
        <f>IFERROR(INDEX($D$5:$D$35,MATCH(SMALL($O$5:$O$35,22),$O$5:$O$35,0)),"")</f>
        <v/>
      </c>
      <c r="Q26" s="130">
        <f>IFERROR(INDEX(Carteira!$I$5:$I$35,MATCH(P26,Carteira!$A$5:$A$35,0)),"")</f>
        <v/>
      </c>
      <c r="R26" s="129">
        <f>IFERROR(INDEX(Carteira!$H$5:$H$35,MATCH(P26,Carteira!$A$5:$A$35,0)),"")</f>
        <v/>
      </c>
      <c r="T26">
        <f>IF(OR(Carteira!C26&gt;0,AND(SUM(Carteira!$C$5:$C$35)=0,Carteira!A26&lt;&gt;"")),N(Carteira!H26)+ROW()/1E9,"")</f>
        <v/>
      </c>
      <c r="U26">
        <f>IFERROR(INDEX($D$5:$D$35,MATCH(LARGE($T$5:$T$35,22),$T$5:$T$35,0)),"")</f>
        <v/>
      </c>
      <c r="V26" s="128">
        <f>IFERROR(INDEX(Carteira!$H$5:$H$35,MATCH(U26,Carteira!$A$5:$A$35,0)),"")</f>
        <v/>
      </c>
      <c r="X26">
        <f>IF(OR(Carteira!C26&gt;0,AND(SUM(Carteira!$C$5:$C$35)=0,Carteira!A26&lt;&gt;"")),N(Carteira!W26)+ROW()/1E9,"")</f>
        <v/>
      </c>
      <c r="Y26">
        <f>IFERROR(INDEX($D$5:$D$35,MATCH(LARGE($X$5:$X$35,22),$X$5:$X$35,0)),"")</f>
        <v/>
      </c>
      <c r="Z26" s="131">
        <f>IFERROR(INDEX(Carteira!$W$5:$W$35,MATCH(Y26,Carteira!$A$5:$A$35,0)),"")</f>
        <v/>
      </c>
      <c r="AB26">
        <f>IF(OR(Carteira!C26&gt;0,AND(SUM(Carteira!$C$5:$C$35)=0,Carteira!A26&lt;&gt;"")),N(Carteira!Z26)+ROW()/1E9,"")</f>
        <v/>
      </c>
      <c r="AC26">
        <f>IFERROR(INDEX($D$5:$D$35,MATCH(LARGE($AB$5:$AB$35,22),$AB$5:$AB$35,0)),"")</f>
        <v/>
      </c>
      <c r="AD26" s="128">
        <f>IFERROR(INDEX(Carteira!$Z$5:$Z$35,MATCH(AC26,Carteira!$A$5:$A$35,0)),"")</f>
        <v/>
      </c>
      <c r="AF26">
        <f>IF(OR(Carteira!C26&gt;0,AND(SUM(Carteira!$C$5:$C$35)=0,Carteira!A26&lt;&gt;"")),N(Carteira!J26)+ROW()/1E9,"")</f>
        <v/>
      </c>
      <c r="AG26">
        <f>IFERROR(INDEX($D$5:$D$35,MATCH(LARGE($AF$5:$AF$35,22),$AF$5:$AF$35,0)),"")</f>
        <v/>
      </c>
      <c r="AH26" s="128">
        <f>IFERROR(INDEX(Carteira!$J$5:$J$35,MATCH(AG26,Carteira!$A$5:$A$35,0)),"")</f>
        <v/>
      </c>
      <c r="AJ26" s="130">
        <f>IF(ISNUMBER(H26),IF(Carteira!$G$36&gt;0,H26/Carteira!$G$36,0),"")</f>
        <v/>
      </c>
    </row>
    <row r="27">
      <c r="D27">
        <f>Carteira!A27</f>
        <v/>
      </c>
      <c r="F27">
        <f>IF(OR(Carteira!C27&gt;0,AND(SUM(Carteira!$C$5:$C$35)=0,Carteira!A27&lt;&gt;"")),N(Carteira!G27)+ROW()/1E9,"")</f>
        <v/>
      </c>
      <c r="G27">
        <f>IFERROR(INDEX($D$5:$D$35,MATCH(LARGE($F$5:$F$35,23),$F$5:$F$35,0)),"")</f>
        <v/>
      </c>
      <c r="H27" s="129">
        <f>IFERROR(INDEX(Carteira!$G$5:$G$35,MATCH(G27,Carteira!$A$5:$A$35,0)),"")</f>
        <v/>
      </c>
      <c r="J27">
        <f>IF(OR(Carteira!C27&gt;0,AND(SUM(Carteira!$C$5:$C$35)=0,Carteira!A27&lt;&gt;"")),N(Carteira!I27)+ROW()/1E9,"")</f>
        <v/>
      </c>
      <c r="K27">
        <f>IFERROR(INDEX($D$5:$D$35,MATCH(LARGE($J$5:$J$35,23),$J$5:$J$35,0)),"")</f>
        <v/>
      </c>
      <c r="L27" s="130">
        <f>IFERROR(INDEX(Carteira!$I$5:$I$35,MATCH(K27,Carteira!$A$5:$A$35,0)),"")</f>
        <v/>
      </c>
      <c r="M27" s="129">
        <f>IFERROR(INDEX(Carteira!$H$5:$H$35,MATCH(K27,Carteira!$A$5:$A$35,0)),"")</f>
        <v/>
      </c>
      <c r="O27">
        <f>IF(OR(Carteira!C27&gt;0,AND(SUM(Carteira!$C$5:$C$35)=0,Carteira!A27&lt;&gt;"")),N(Carteira!I27)+ROW()/1E9,"")</f>
        <v/>
      </c>
      <c r="P27">
        <f>IFERROR(INDEX($D$5:$D$35,MATCH(SMALL($O$5:$O$35,23),$O$5:$O$35,0)),"")</f>
        <v/>
      </c>
      <c r="Q27" s="130">
        <f>IFERROR(INDEX(Carteira!$I$5:$I$35,MATCH(P27,Carteira!$A$5:$A$35,0)),"")</f>
        <v/>
      </c>
      <c r="R27" s="129">
        <f>IFERROR(INDEX(Carteira!$H$5:$H$35,MATCH(P27,Carteira!$A$5:$A$35,0)),"")</f>
        <v/>
      </c>
      <c r="T27">
        <f>IF(OR(Carteira!C27&gt;0,AND(SUM(Carteira!$C$5:$C$35)=0,Carteira!A27&lt;&gt;"")),N(Carteira!H27)+ROW()/1E9,"")</f>
        <v/>
      </c>
      <c r="U27">
        <f>IFERROR(INDEX($D$5:$D$35,MATCH(LARGE($T$5:$T$35,23),$T$5:$T$35,0)),"")</f>
        <v/>
      </c>
      <c r="V27" s="128">
        <f>IFERROR(INDEX(Carteira!$H$5:$H$35,MATCH(U27,Carteira!$A$5:$A$35,0)),"")</f>
        <v/>
      </c>
      <c r="X27">
        <f>IF(OR(Carteira!C27&gt;0,AND(SUM(Carteira!$C$5:$C$35)=0,Carteira!A27&lt;&gt;"")),N(Carteira!W27)+ROW()/1E9,"")</f>
        <v/>
      </c>
      <c r="Y27">
        <f>IFERROR(INDEX($D$5:$D$35,MATCH(LARGE($X$5:$X$35,23),$X$5:$X$35,0)),"")</f>
        <v/>
      </c>
      <c r="Z27" s="131">
        <f>IFERROR(INDEX(Carteira!$W$5:$W$35,MATCH(Y27,Carteira!$A$5:$A$35,0)),"")</f>
        <v/>
      </c>
      <c r="AB27">
        <f>IF(OR(Carteira!C27&gt;0,AND(SUM(Carteira!$C$5:$C$35)=0,Carteira!A27&lt;&gt;"")),N(Carteira!Z27)+ROW()/1E9,"")</f>
        <v/>
      </c>
      <c r="AC27">
        <f>IFERROR(INDEX($D$5:$D$35,MATCH(LARGE($AB$5:$AB$35,23),$AB$5:$AB$35,0)),"")</f>
        <v/>
      </c>
      <c r="AD27" s="128">
        <f>IFERROR(INDEX(Carteira!$Z$5:$Z$35,MATCH(AC27,Carteira!$A$5:$A$35,0)),"")</f>
        <v/>
      </c>
      <c r="AF27">
        <f>IF(OR(Carteira!C27&gt;0,AND(SUM(Carteira!$C$5:$C$35)=0,Carteira!A27&lt;&gt;"")),N(Carteira!J27)+ROW()/1E9,"")</f>
        <v/>
      </c>
      <c r="AG27">
        <f>IFERROR(INDEX($D$5:$D$35,MATCH(LARGE($AF$5:$AF$35,23),$AF$5:$AF$35,0)),"")</f>
        <v/>
      </c>
      <c r="AH27" s="128">
        <f>IFERROR(INDEX(Carteira!$J$5:$J$35,MATCH(AG27,Carteira!$A$5:$A$35,0)),"")</f>
        <v/>
      </c>
      <c r="AJ27" s="130">
        <f>IF(ISNUMBER(H27),IF(Carteira!$G$36&gt;0,H27/Carteira!$G$36,0),"")</f>
        <v/>
      </c>
    </row>
    <row r="28">
      <c r="D28">
        <f>Carteira!A28</f>
        <v/>
      </c>
      <c r="F28">
        <f>IF(OR(Carteira!C28&gt;0,AND(SUM(Carteira!$C$5:$C$35)=0,Carteira!A28&lt;&gt;"")),N(Carteira!G28)+ROW()/1E9,"")</f>
        <v/>
      </c>
      <c r="G28">
        <f>IFERROR(INDEX($D$5:$D$35,MATCH(LARGE($F$5:$F$35,24),$F$5:$F$35,0)),"")</f>
        <v/>
      </c>
      <c r="H28" s="129">
        <f>IFERROR(INDEX(Carteira!$G$5:$G$35,MATCH(G28,Carteira!$A$5:$A$35,0)),"")</f>
        <v/>
      </c>
      <c r="J28">
        <f>IF(OR(Carteira!C28&gt;0,AND(SUM(Carteira!$C$5:$C$35)=0,Carteira!A28&lt;&gt;"")),N(Carteira!I28)+ROW()/1E9,"")</f>
        <v/>
      </c>
      <c r="K28">
        <f>IFERROR(INDEX($D$5:$D$35,MATCH(LARGE($J$5:$J$35,24),$J$5:$J$35,0)),"")</f>
        <v/>
      </c>
      <c r="L28" s="130">
        <f>IFERROR(INDEX(Carteira!$I$5:$I$35,MATCH(K28,Carteira!$A$5:$A$35,0)),"")</f>
        <v/>
      </c>
      <c r="M28" s="129">
        <f>IFERROR(INDEX(Carteira!$H$5:$H$35,MATCH(K28,Carteira!$A$5:$A$35,0)),"")</f>
        <v/>
      </c>
      <c r="O28">
        <f>IF(OR(Carteira!C28&gt;0,AND(SUM(Carteira!$C$5:$C$35)=0,Carteira!A28&lt;&gt;"")),N(Carteira!I28)+ROW()/1E9,"")</f>
        <v/>
      </c>
      <c r="P28">
        <f>IFERROR(INDEX($D$5:$D$35,MATCH(SMALL($O$5:$O$35,24),$O$5:$O$35,0)),"")</f>
        <v/>
      </c>
      <c r="Q28" s="130">
        <f>IFERROR(INDEX(Carteira!$I$5:$I$35,MATCH(P28,Carteira!$A$5:$A$35,0)),"")</f>
        <v/>
      </c>
      <c r="R28" s="129">
        <f>IFERROR(INDEX(Carteira!$H$5:$H$35,MATCH(P28,Carteira!$A$5:$A$35,0)),"")</f>
        <v/>
      </c>
      <c r="T28">
        <f>IF(OR(Carteira!C28&gt;0,AND(SUM(Carteira!$C$5:$C$35)=0,Carteira!A28&lt;&gt;"")),N(Carteira!H28)+ROW()/1E9,"")</f>
        <v/>
      </c>
      <c r="U28">
        <f>IFERROR(INDEX($D$5:$D$35,MATCH(LARGE($T$5:$T$35,24),$T$5:$T$35,0)),"")</f>
        <v/>
      </c>
      <c r="V28" s="128">
        <f>IFERROR(INDEX(Carteira!$H$5:$H$35,MATCH(U28,Carteira!$A$5:$A$35,0)),"")</f>
        <v/>
      </c>
      <c r="X28">
        <f>IF(OR(Carteira!C28&gt;0,AND(SUM(Carteira!$C$5:$C$35)=0,Carteira!A28&lt;&gt;"")),N(Carteira!W28)+ROW()/1E9,"")</f>
        <v/>
      </c>
      <c r="Y28">
        <f>IFERROR(INDEX($D$5:$D$35,MATCH(LARGE($X$5:$X$35,24),$X$5:$X$35,0)),"")</f>
        <v/>
      </c>
      <c r="Z28" s="131">
        <f>IFERROR(INDEX(Carteira!$W$5:$W$35,MATCH(Y28,Carteira!$A$5:$A$35,0)),"")</f>
        <v/>
      </c>
      <c r="AB28">
        <f>IF(OR(Carteira!C28&gt;0,AND(SUM(Carteira!$C$5:$C$35)=0,Carteira!A28&lt;&gt;"")),N(Carteira!Z28)+ROW()/1E9,"")</f>
        <v/>
      </c>
      <c r="AC28">
        <f>IFERROR(INDEX($D$5:$D$35,MATCH(LARGE($AB$5:$AB$35,24),$AB$5:$AB$35,0)),"")</f>
        <v/>
      </c>
      <c r="AD28" s="128">
        <f>IFERROR(INDEX(Carteira!$Z$5:$Z$35,MATCH(AC28,Carteira!$A$5:$A$35,0)),"")</f>
        <v/>
      </c>
      <c r="AF28">
        <f>IF(OR(Carteira!C28&gt;0,AND(SUM(Carteira!$C$5:$C$35)=0,Carteira!A28&lt;&gt;"")),N(Carteira!J28)+ROW()/1E9,"")</f>
        <v/>
      </c>
      <c r="AG28">
        <f>IFERROR(INDEX($D$5:$D$35,MATCH(LARGE($AF$5:$AF$35,24),$AF$5:$AF$35,0)),"")</f>
        <v/>
      </c>
      <c r="AH28" s="128">
        <f>IFERROR(INDEX(Carteira!$J$5:$J$35,MATCH(AG28,Carteira!$A$5:$A$35,0)),"")</f>
        <v/>
      </c>
      <c r="AJ28" s="130">
        <f>IF(ISNUMBER(H28),IF(Carteira!$G$36&gt;0,H28/Carteira!$G$36,0),"")</f>
        <v/>
      </c>
    </row>
    <row r="29">
      <c r="D29">
        <f>Carteira!A29</f>
        <v/>
      </c>
      <c r="F29">
        <f>IF(OR(Carteira!C29&gt;0,AND(SUM(Carteira!$C$5:$C$35)=0,Carteira!A29&lt;&gt;"")),N(Carteira!G29)+ROW()/1E9,"")</f>
        <v/>
      </c>
      <c r="G29">
        <f>IFERROR(INDEX($D$5:$D$35,MATCH(LARGE($F$5:$F$35,25),$F$5:$F$35,0)),"")</f>
        <v/>
      </c>
      <c r="H29" s="129">
        <f>IFERROR(INDEX(Carteira!$G$5:$G$35,MATCH(G29,Carteira!$A$5:$A$35,0)),"")</f>
        <v/>
      </c>
      <c r="J29">
        <f>IF(OR(Carteira!C29&gt;0,AND(SUM(Carteira!$C$5:$C$35)=0,Carteira!A29&lt;&gt;"")),N(Carteira!I29)+ROW()/1E9,"")</f>
        <v/>
      </c>
      <c r="K29">
        <f>IFERROR(INDEX($D$5:$D$35,MATCH(LARGE($J$5:$J$35,25),$J$5:$J$35,0)),"")</f>
        <v/>
      </c>
      <c r="L29" s="130">
        <f>IFERROR(INDEX(Carteira!$I$5:$I$35,MATCH(K29,Carteira!$A$5:$A$35,0)),"")</f>
        <v/>
      </c>
      <c r="M29" s="129">
        <f>IFERROR(INDEX(Carteira!$H$5:$H$35,MATCH(K29,Carteira!$A$5:$A$35,0)),"")</f>
        <v/>
      </c>
      <c r="O29">
        <f>IF(OR(Carteira!C29&gt;0,AND(SUM(Carteira!$C$5:$C$35)=0,Carteira!A29&lt;&gt;"")),N(Carteira!I29)+ROW()/1E9,"")</f>
        <v/>
      </c>
      <c r="P29">
        <f>IFERROR(INDEX($D$5:$D$35,MATCH(SMALL($O$5:$O$35,25),$O$5:$O$35,0)),"")</f>
        <v/>
      </c>
      <c r="Q29" s="130">
        <f>IFERROR(INDEX(Carteira!$I$5:$I$35,MATCH(P29,Carteira!$A$5:$A$35,0)),"")</f>
        <v/>
      </c>
      <c r="R29" s="129">
        <f>IFERROR(INDEX(Carteira!$H$5:$H$35,MATCH(P29,Carteira!$A$5:$A$35,0)),"")</f>
        <v/>
      </c>
      <c r="T29">
        <f>IF(OR(Carteira!C29&gt;0,AND(SUM(Carteira!$C$5:$C$35)=0,Carteira!A29&lt;&gt;"")),N(Carteira!H29)+ROW()/1E9,"")</f>
        <v/>
      </c>
      <c r="U29">
        <f>IFERROR(INDEX($D$5:$D$35,MATCH(LARGE($T$5:$T$35,25),$T$5:$T$35,0)),"")</f>
        <v/>
      </c>
      <c r="V29" s="128">
        <f>IFERROR(INDEX(Carteira!$H$5:$H$35,MATCH(U29,Carteira!$A$5:$A$35,0)),"")</f>
        <v/>
      </c>
      <c r="X29">
        <f>IF(OR(Carteira!C29&gt;0,AND(SUM(Carteira!$C$5:$C$35)=0,Carteira!A29&lt;&gt;"")),N(Carteira!W29)+ROW()/1E9,"")</f>
        <v/>
      </c>
      <c r="Y29">
        <f>IFERROR(INDEX($D$5:$D$35,MATCH(LARGE($X$5:$X$35,25),$X$5:$X$35,0)),"")</f>
        <v/>
      </c>
      <c r="Z29" s="131">
        <f>IFERROR(INDEX(Carteira!$W$5:$W$35,MATCH(Y29,Carteira!$A$5:$A$35,0)),"")</f>
        <v/>
      </c>
      <c r="AB29">
        <f>IF(OR(Carteira!C29&gt;0,AND(SUM(Carteira!$C$5:$C$35)=0,Carteira!A29&lt;&gt;"")),N(Carteira!Z29)+ROW()/1E9,"")</f>
        <v/>
      </c>
      <c r="AC29">
        <f>IFERROR(INDEX($D$5:$D$35,MATCH(LARGE($AB$5:$AB$35,25),$AB$5:$AB$35,0)),"")</f>
        <v/>
      </c>
      <c r="AD29" s="128">
        <f>IFERROR(INDEX(Carteira!$Z$5:$Z$35,MATCH(AC29,Carteira!$A$5:$A$35,0)),"")</f>
        <v/>
      </c>
      <c r="AF29">
        <f>IF(OR(Carteira!C29&gt;0,AND(SUM(Carteira!$C$5:$C$35)=0,Carteira!A29&lt;&gt;"")),N(Carteira!J29)+ROW()/1E9,"")</f>
        <v/>
      </c>
      <c r="AG29">
        <f>IFERROR(INDEX($D$5:$D$35,MATCH(LARGE($AF$5:$AF$35,25),$AF$5:$AF$35,0)),"")</f>
        <v/>
      </c>
      <c r="AH29" s="128">
        <f>IFERROR(INDEX(Carteira!$J$5:$J$35,MATCH(AG29,Carteira!$A$5:$A$35,0)),"")</f>
        <v/>
      </c>
      <c r="AJ29" s="130">
        <f>IF(ISNUMBER(H29),IF(Carteira!$G$36&gt;0,H29/Carteira!$G$36,0),"")</f>
        <v/>
      </c>
    </row>
    <row r="30">
      <c r="D30">
        <f>Carteira!A30</f>
        <v/>
      </c>
      <c r="F30">
        <f>IF(OR(Carteira!C30&gt;0,AND(SUM(Carteira!$C$5:$C$35)=0,Carteira!A30&lt;&gt;"")),N(Carteira!G30)+ROW()/1E9,"")</f>
        <v/>
      </c>
      <c r="G30">
        <f>IFERROR(INDEX($D$5:$D$35,MATCH(LARGE($F$5:$F$35,26),$F$5:$F$35,0)),"")</f>
        <v/>
      </c>
      <c r="H30" s="129">
        <f>IFERROR(INDEX(Carteira!$G$5:$G$35,MATCH(G30,Carteira!$A$5:$A$35,0)),"")</f>
        <v/>
      </c>
      <c r="J30">
        <f>IF(OR(Carteira!C30&gt;0,AND(SUM(Carteira!$C$5:$C$35)=0,Carteira!A30&lt;&gt;"")),N(Carteira!I30)+ROW()/1E9,"")</f>
        <v/>
      </c>
      <c r="K30">
        <f>IFERROR(INDEX($D$5:$D$35,MATCH(LARGE($J$5:$J$35,26),$J$5:$J$35,0)),"")</f>
        <v/>
      </c>
      <c r="L30" s="130">
        <f>IFERROR(INDEX(Carteira!$I$5:$I$35,MATCH(K30,Carteira!$A$5:$A$35,0)),"")</f>
        <v/>
      </c>
      <c r="M30" s="129">
        <f>IFERROR(INDEX(Carteira!$H$5:$H$35,MATCH(K30,Carteira!$A$5:$A$35,0)),"")</f>
        <v/>
      </c>
      <c r="O30">
        <f>IF(OR(Carteira!C30&gt;0,AND(SUM(Carteira!$C$5:$C$35)=0,Carteira!A30&lt;&gt;"")),N(Carteira!I30)+ROW()/1E9,"")</f>
        <v/>
      </c>
      <c r="P30">
        <f>IFERROR(INDEX($D$5:$D$35,MATCH(SMALL($O$5:$O$35,26),$O$5:$O$35,0)),"")</f>
        <v/>
      </c>
      <c r="Q30" s="130">
        <f>IFERROR(INDEX(Carteira!$I$5:$I$35,MATCH(P30,Carteira!$A$5:$A$35,0)),"")</f>
        <v/>
      </c>
      <c r="R30" s="129">
        <f>IFERROR(INDEX(Carteira!$H$5:$H$35,MATCH(P30,Carteira!$A$5:$A$35,0)),"")</f>
        <v/>
      </c>
      <c r="T30">
        <f>IF(OR(Carteira!C30&gt;0,AND(SUM(Carteira!$C$5:$C$35)=0,Carteira!A30&lt;&gt;"")),N(Carteira!H30)+ROW()/1E9,"")</f>
        <v/>
      </c>
      <c r="U30">
        <f>IFERROR(INDEX($D$5:$D$35,MATCH(LARGE($T$5:$T$35,26),$T$5:$T$35,0)),"")</f>
        <v/>
      </c>
      <c r="V30" s="128">
        <f>IFERROR(INDEX(Carteira!$H$5:$H$35,MATCH(U30,Carteira!$A$5:$A$35,0)),"")</f>
        <v/>
      </c>
      <c r="X30">
        <f>IF(OR(Carteira!C30&gt;0,AND(SUM(Carteira!$C$5:$C$35)=0,Carteira!A30&lt;&gt;"")),N(Carteira!W30)+ROW()/1E9,"")</f>
        <v/>
      </c>
      <c r="Y30">
        <f>IFERROR(INDEX($D$5:$D$35,MATCH(LARGE($X$5:$X$35,26),$X$5:$X$35,0)),"")</f>
        <v/>
      </c>
      <c r="Z30" s="131">
        <f>IFERROR(INDEX(Carteira!$W$5:$W$35,MATCH(Y30,Carteira!$A$5:$A$35,0)),"")</f>
        <v/>
      </c>
      <c r="AB30">
        <f>IF(OR(Carteira!C30&gt;0,AND(SUM(Carteira!$C$5:$C$35)=0,Carteira!A30&lt;&gt;"")),N(Carteira!Z30)+ROW()/1E9,"")</f>
        <v/>
      </c>
      <c r="AC30">
        <f>IFERROR(INDEX($D$5:$D$35,MATCH(LARGE($AB$5:$AB$35,26),$AB$5:$AB$35,0)),"")</f>
        <v/>
      </c>
      <c r="AD30" s="128">
        <f>IFERROR(INDEX(Carteira!$Z$5:$Z$35,MATCH(AC30,Carteira!$A$5:$A$35,0)),"")</f>
        <v/>
      </c>
      <c r="AF30">
        <f>IF(OR(Carteira!C30&gt;0,AND(SUM(Carteira!$C$5:$C$35)=0,Carteira!A30&lt;&gt;"")),N(Carteira!J30)+ROW()/1E9,"")</f>
        <v/>
      </c>
      <c r="AG30">
        <f>IFERROR(INDEX($D$5:$D$35,MATCH(LARGE($AF$5:$AF$35,26),$AF$5:$AF$35,0)),"")</f>
        <v/>
      </c>
      <c r="AH30" s="128">
        <f>IFERROR(INDEX(Carteira!$J$5:$J$35,MATCH(AG30,Carteira!$A$5:$A$35,0)),"")</f>
        <v/>
      </c>
      <c r="AJ30" s="130">
        <f>IF(ISNUMBER(H30),IF(Carteira!$G$36&gt;0,H30/Carteira!$G$36,0),"")</f>
        <v/>
      </c>
    </row>
    <row r="31">
      <c r="D31">
        <f>Carteira!A31</f>
        <v/>
      </c>
      <c r="F31">
        <f>IF(OR(Carteira!C31&gt;0,AND(SUM(Carteira!$C$5:$C$35)=0,Carteira!A31&lt;&gt;"")),N(Carteira!G31)+ROW()/1E9,"")</f>
        <v/>
      </c>
      <c r="G31">
        <f>IFERROR(INDEX($D$5:$D$35,MATCH(LARGE($F$5:$F$35,27),$F$5:$F$35,0)),"")</f>
        <v/>
      </c>
      <c r="H31" s="129">
        <f>IFERROR(INDEX(Carteira!$G$5:$G$35,MATCH(G31,Carteira!$A$5:$A$35,0)),"")</f>
        <v/>
      </c>
      <c r="J31">
        <f>IF(OR(Carteira!C31&gt;0,AND(SUM(Carteira!$C$5:$C$35)=0,Carteira!A31&lt;&gt;"")),N(Carteira!I31)+ROW()/1E9,"")</f>
        <v/>
      </c>
      <c r="K31">
        <f>IFERROR(INDEX($D$5:$D$35,MATCH(LARGE($J$5:$J$35,27),$J$5:$J$35,0)),"")</f>
        <v/>
      </c>
      <c r="L31" s="130">
        <f>IFERROR(INDEX(Carteira!$I$5:$I$35,MATCH(K31,Carteira!$A$5:$A$35,0)),"")</f>
        <v/>
      </c>
      <c r="M31" s="129">
        <f>IFERROR(INDEX(Carteira!$H$5:$H$35,MATCH(K31,Carteira!$A$5:$A$35,0)),"")</f>
        <v/>
      </c>
      <c r="O31">
        <f>IF(OR(Carteira!C31&gt;0,AND(SUM(Carteira!$C$5:$C$35)=0,Carteira!A31&lt;&gt;"")),N(Carteira!I31)+ROW()/1E9,"")</f>
        <v/>
      </c>
      <c r="P31">
        <f>IFERROR(INDEX($D$5:$D$35,MATCH(SMALL($O$5:$O$35,27),$O$5:$O$35,0)),"")</f>
        <v/>
      </c>
      <c r="Q31" s="130">
        <f>IFERROR(INDEX(Carteira!$I$5:$I$35,MATCH(P31,Carteira!$A$5:$A$35,0)),"")</f>
        <v/>
      </c>
      <c r="R31" s="129">
        <f>IFERROR(INDEX(Carteira!$H$5:$H$35,MATCH(P31,Carteira!$A$5:$A$35,0)),"")</f>
        <v/>
      </c>
      <c r="T31">
        <f>IF(OR(Carteira!C31&gt;0,AND(SUM(Carteira!$C$5:$C$35)=0,Carteira!A31&lt;&gt;"")),N(Carteira!H31)+ROW()/1E9,"")</f>
        <v/>
      </c>
      <c r="U31">
        <f>IFERROR(INDEX($D$5:$D$35,MATCH(LARGE($T$5:$T$35,27),$T$5:$T$35,0)),"")</f>
        <v/>
      </c>
      <c r="V31" s="128">
        <f>IFERROR(INDEX(Carteira!$H$5:$H$35,MATCH(U31,Carteira!$A$5:$A$35,0)),"")</f>
        <v/>
      </c>
      <c r="X31">
        <f>IF(OR(Carteira!C31&gt;0,AND(SUM(Carteira!$C$5:$C$35)=0,Carteira!A31&lt;&gt;"")),N(Carteira!W31)+ROW()/1E9,"")</f>
        <v/>
      </c>
      <c r="Y31">
        <f>IFERROR(INDEX($D$5:$D$35,MATCH(LARGE($X$5:$X$35,27),$X$5:$X$35,0)),"")</f>
        <v/>
      </c>
      <c r="Z31" s="131">
        <f>IFERROR(INDEX(Carteira!$W$5:$W$35,MATCH(Y31,Carteira!$A$5:$A$35,0)),"")</f>
        <v/>
      </c>
      <c r="AB31">
        <f>IF(OR(Carteira!C31&gt;0,AND(SUM(Carteira!$C$5:$C$35)=0,Carteira!A31&lt;&gt;"")),N(Carteira!Z31)+ROW()/1E9,"")</f>
        <v/>
      </c>
      <c r="AC31">
        <f>IFERROR(INDEX($D$5:$D$35,MATCH(LARGE($AB$5:$AB$35,27),$AB$5:$AB$35,0)),"")</f>
        <v/>
      </c>
      <c r="AD31" s="128">
        <f>IFERROR(INDEX(Carteira!$Z$5:$Z$35,MATCH(AC31,Carteira!$A$5:$A$35,0)),"")</f>
        <v/>
      </c>
      <c r="AF31">
        <f>IF(OR(Carteira!C31&gt;0,AND(SUM(Carteira!$C$5:$C$35)=0,Carteira!A31&lt;&gt;"")),N(Carteira!J31)+ROW()/1E9,"")</f>
        <v/>
      </c>
      <c r="AG31">
        <f>IFERROR(INDEX($D$5:$D$35,MATCH(LARGE($AF$5:$AF$35,27),$AF$5:$AF$35,0)),"")</f>
        <v/>
      </c>
      <c r="AH31" s="128">
        <f>IFERROR(INDEX(Carteira!$J$5:$J$35,MATCH(AG31,Carteira!$A$5:$A$35,0)),"")</f>
        <v/>
      </c>
      <c r="AJ31" s="130">
        <f>IF(ISNUMBER(H31),IF(Carteira!$G$36&gt;0,H31/Carteira!$G$36,0),"")</f>
        <v/>
      </c>
    </row>
    <row r="32">
      <c r="D32">
        <f>Carteira!A32</f>
        <v/>
      </c>
      <c r="F32">
        <f>IF(OR(Carteira!C32&gt;0,AND(SUM(Carteira!$C$5:$C$35)=0,Carteira!A32&lt;&gt;"")),N(Carteira!G32)+ROW()/1E9,"")</f>
        <v/>
      </c>
      <c r="G32">
        <f>IFERROR(INDEX($D$5:$D$35,MATCH(LARGE($F$5:$F$35,28),$F$5:$F$35,0)),"")</f>
        <v/>
      </c>
      <c r="H32" s="129">
        <f>IFERROR(INDEX(Carteira!$G$5:$G$35,MATCH(G32,Carteira!$A$5:$A$35,0)),"")</f>
        <v/>
      </c>
      <c r="J32">
        <f>IF(OR(Carteira!C32&gt;0,AND(SUM(Carteira!$C$5:$C$35)=0,Carteira!A32&lt;&gt;"")),N(Carteira!I32)+ROW()/1E9,"")</f>
        <v/>
      </c>
      <c r="K32">
        <f>IFERROR(INDEX($D$5:$D$35,MATCH(LARGE($J$5:$J$35,28),$J$5:$J$35,0)),"")</f>
        <v/>
      </c>
      <c r="L32" s="130">
        <f>IFERROR(INDEX(Carteira!$I$5:$I$35,MATCH(K32,Carteira!$A$5:$A$35,0)),"")</f>
        <v/>
      </c>
      <c r="M32" s="129">
        <f>IFERROR(INDEX(Carteira!$H$5:$H$35,MATCH(K32,Carteira!$A$5:$A$35,0)),"")</f>
        <v/>
      </c>
      <c r="O32">
        <f>IF(OR(Carteira!C32&gt;0,AND(SUM(Carteira!$C$5:$C$35)=0,Carteira!A32&lt;&gt;"")),N(Carteira!I32)+ROW()/1E9,"")</f>
        <v/>
      </c>
      <c r="P32">
        <f>IFERROR(INDEX($D$5:$D$35,MATCH(SMALL($O$5:$O$35,28),$O$5:$O$35,0)),"")</f>
        <v/>
      </c>
      <c r="Q32" s="130">
        <f>IFERROR(INDEX(Carteira!$I$5:$I$35,MATCH(P32,Carteira!$A$5:$A$35,0)),"")</f>
        <v/>
      </c>
      <c r="R32" s="129">
        <f>IFERROR(INDEX(Carteira!$H$5:$H$35,MATCH(P32,Carteira!$A$5:$A$35,0)),"")</f>
        <v/>
      </c>
      <c r="T32">
        <f>IF(OR(Carteira!C32&gt;0,AND(SUM(Carteira!$C$5:$C$35)=0,Carteira!A32&lt;&gt;"")),N(Carteira!H32)+ROW()/1E9,"")</f>
        <v/>
      </c>
      <c r="U32">
        <f>IFERROR(INDEX($D$5:$D$35,MATCH(LARGE($T$5:$T$35,28),$T$5:$T$35,0)),"")</f>
        <v/>
      </c>
      <c r="V32" s="128">
        <f>IFERROR(INDEX(Carteira!$H$5:$H$35,MATCH(U32,Carteira!$A$5:$A$35,0)),"")</f>
        <v/>
      </c>
      <c r="X32">
        <f>IF(OR(Carteira!C32&gt;0,AND(SUM(Carteira!$C$5:$C$35)=0,Carteira!A32&lt;&gt;"")),N(Carteira!W32)+ROW()/1E9,"")</f>
        <v/>
      </c>
      <c r="Y32">
        <f>IFERROR(INDEX($D$5:$D$35,MATCH(LARGE($X$5:$X$35,28),$X$5:$X$35,0)),"")</f>
        <v/>
      </c>
      <c r="Z32" s="131">
        <f>IFERROR(INDEX(Carteira!$W$5:$W$35,MATCH(Y32,Carteira!$A$5:$A$35,0)),"")</f>
        <v/>
      </c>
      <c r="AB32">
        <f>IF(OR(Carteira!C32&gt;0,AND(SUM(Carteira!$C$5:$C$35)=0,Carteira!A32&lt;&gt;"")),N(Carteira!Z32)+ROW()/1E9,"")</f>
        <v/>
      </c>
      <c r="AC32">
        <f>IFERROR(INDEX($D$5:$D$35,MATCH(LARGE($AB$5:$AB$35,28),$AB$5:$AB$35,0)),"")</f>
        <v/>
      </c>
      <c r="AD32" s="128">
        <f>IFERROR(INDEX(Carteira!$Z$5:$Z$35,MATCH(AC32,Carteira!$A$5:$A$35,0)),"")</f>
        <v/>
      </c>
      <c r="AF32">
        <f>IF(OR(Carteira!C32&gt;0,AND(SUM(Carteira!$C$5:$C$35)=0,Carteira!A32&lt;&gt;"")),N(Carteira!J32)+ROW()/1E9,"")</f>
        <v/>
      </c>
      <c r="AG32">
        <f>IFERROR(INDEX($D$5:$D$35,MATCH(LARGE($AF$5:$AF$35,28),$AF$5:$AF$35,0)),"")</f>
        <v/>
      </c>
      <c r="AH32" s="128">
        <f>IFERROR(INDEX(Carteira!$J$5:$J$35,MATCH(AG32,Carteira!$A$5:$A$35,0)),"")</f>
        <v/>
      </c>
      <c r="AJ32" s="130">
        <f>IF(ISNUMBER(H32),IF(Carteira!$G$36&gt;0,H32/Carteira!$G$36,0),"")</f>
        <v/>
      </c>
    </row>
    <row r="33">
      <c r="D33">
        <f>Carteira!A33</f>
        <v/>
      </c>
      <c r="F33">
        <f>IF(OR(Carteira!C33&gt;0,AND(SUM(Carteira!$C$5:$C$35)=0,Carteira!A33&lt;&gt;"")),N(Carteira!G33)+ROW()/1E9,"")</f>
        <v/>
      </c>
      <c r="G33">
        <f>IFERROR(INDEX($D$5:$D$35,MATCH(LARGE($F$5:$F$35,29),$F$5:$F$35,0)),"")</f>
        <v/>
      </c>
      <c r="H33" s="129">
        <f>IFERROR(INDEX(Carteira!$G$5:$G$35,MATCH(G33,Carteira!$A$5:$A$35,0)),"")</f>
        <v/>
      </c>
      <c r="J33">
        <f>IF(OR(Carteira!C33&gt;0,AND(SUM(Carteira!$C$5:$C$35)=0,Carteira!A33&lt;&gt;"")),N(Carteira!I33)+ROW()/1E9,"")</f>
        <v/>
      </c>
      <c r="K33">
        <f>IFERROR(INDEX($D$5:$D$35,MATCH(LARGE($J$5:$J$35,29),$J$5:$J$35,0)),"")</f>
        <v/>
      </c>
      <c r="L33" s="130">
        <f>IFERROR(INDEX(Carteira!$I$5:$I$35,MATCH(K33,Carteira!$A$5:$A$35,0)),"")</f>
        <v/>
      </c>
      <c r="M33" s="129">
        <f>IFERROR(INDEX(Carteira!$H$5:$H$35,MATCH(K33,Carteira!$A$5:$A$35,0)),"")</f>
        <v/>
      </c>
      <c r="O33">
        <f>IF(OR(Carteira!C33&gt;0,AND(SUM(Carteira!$C$5:$C$35)=0,Carteira!A33&lt;&gt;"")),N(Carteira!I33)+ROW()/1E9,"")</f>
        <v/>
      </c>
      <c r="P33">
        <f>IFERROR(INDEX($D$5:$D$35,MATCH(SMALL($O$5:$O$35,29),$O$5:$O$35,0)),"")</f>
        <v/>
      </c>
      <c r="Q33" s="130">
        <f>IFERROR(INDEX(Carteira!$I$5:$I$35,MATCH(P33,Carteira!$A$5:$A$35,0)),"")</f>
        <v/>
      </c>
      <c r="R33" s="129">
        <f>IFERROR(INDEX(Carteira!$H$5:$H$35,MATCH(P33,Carteira!$A$5:$A$35,0)),"")</f>
        <v/>
      </c>
      <c r="T33">
        <f>IF(OR(Carteira!C33&gt;0,AND(SUM(Carteira!$C$5:$C$35)=0,Carteira!A33&lt;&gt;"")),N(Carteira!H33)+ROW()/1E9,"")</f>
        <v/>
      </c>
      <c r="U33">
        <f>IFERROR(INDEX($D$5:$D$35,MATCH(LARGE($T$5:$T$35,29),$T$5:$T$35,0)),"")</f>
        <v/>
      </c>
      <c r="V33" s="128">
        <f>IFERROR(INDEX(Carteira!$H$5:$H$35,MATCH(U33,Carteira!$A$5:$A$35,0)),"")</f>
        <v/>
      </c>
      <c r="X33">
        <f>IF(OR(Carteira!C33&gt;0,AND(SUM(Carteira!$C$5:$C$35)=0,Carteira!A33&lt;&gt;"")),N(Carteira!W33)+ROW()/1E9,"")</f>
        <v/>
      </c>
      <c r="Y33">
        <f>IFERROR(INDEX($D$5:$D$35,MATCH(LARGE($X$5:$X$35,29),$X$5:$X$35,0)),"")</f>
        <v/>
      </c>
      <c r="Z33" s="131">
        <f>IFERROR(INDEX(Carteira!$W$5:$W$35,MATCH(Y33,Carteira!$A$5:$A$35,0)),"")</f>
        <v/>
      </c>
      <c r="AB33">
        <f>IF(OR(Carteira!C33&gt;0,AND(SUM(Carteira!$C$5:$C$35)=0,Carteira!A33&lt;&gt;"")),N(Carteira!Z33)+ROW()/1E9,"")</f>
        <v/>
      </c>
      <c r="AC33">
        <f>IFERROR(INDEX($D$5:$D$35,MATCH(LARGE($AB$5:$AB$35,29),$AB$5:$AB$35,0)),"")</f>
        <v/>
      </c>
      <c r="AD33" s="128">
        <f>IFERROR(INDEX(Carteira!$Z$5:$Z$35,MATCH(AC33,Carteira!$A$5:$A$35,0)),"")</f>
        <v/>
      </c>
      <c r="AF33">
        <f>IF(OR(Carteira!C33&gt;0,AND(SUM(Carteira!$C$5:$C$35)=0,Carteira!A33&lt;&gt;"")),N(Carteira!J33)+ROW()/1E9,"")</f>
        <v/>
      </c>
      <c r="AG33">
        <f>IFERROR(INDEX($D$5:$D$35,MATCH(LARGE($AF$5:$AF$35,29),$AF$5:$AF$35,0)),"")</f>
        <v/>
      </c>
      <c r="AH33" s="128">
        <f>IFERROR(INDEX(Carteira!$J$5:$J$35,MATCH(AG33,Carteira!$A$5:$A$35,0)),"")</f>
        <v/>
      </c>
      <c r="AJ33" s="130">
        <f>IF(ISNUMBER(H33),IF(Carteira!$G$36&gt;0,H33/Carteira!$G$36,0),"")</f>
        <v/>
      </c>
    </row>
    <row r="34">
      <c r="D34">
        <f>Carteira!A34</f>
        <v/>
      </c>
      <c r="F34">
        <f>IF(OR(Carteira!C34&gt;0,AND(SUM(Carteira!$C$5:$C$35)=0,Carteira!A34&lt;&gt;"")),N(Carteira!G34)+ROW()/1E9,"")</f>
        <v/>
      </c>
      <c r="G34">
        <f>IFERROR(INDEX($D$5:$D$35,MATCH(LARGE($F$5:$F$35,30),$F$5:$F$35,0)),"")</f>
        <v/>
      </c>
      <c r="H34" s="129">
        <f>IFERROR(INDEX(Carteira!$G$5:$G$35,MATCH(G34,Carteira!$A$5:$A$35,0)),"")</f>
        <v/>
      </c>
      <c r="J34">
        <f>IF(OR(Carteira!C34&gt;0,AND(SUM(Carteira!$C$5:$C$35)=0,Carteira!A34&lt;&gt;"")),N(Carteira!I34)+ROW()/1E9,"")</f>
        <v/>
      </c>
      <c r="K34">
        <f>IFERROR(INDEX($D$5:$D$35,MATCH(LARGE($J$5:$J$35,30),$J$5:$J$35,0)),"")</f>
        <v/>
      </c>
      <c r="L34" s="130">
        <f>IFERROR(INDEX(Carteira!$I$5:$I$35,MATCH(K34,Carteira!$A$5:$A$35,0)),"")</f>
        <v/>
      </c>
      <c r="M34" s="129">
        <f>IFERROR(INDEX(Carteira!$H$5:$H$35,MATCH(K34,Carteira!$A$5:$A$35,0)),"")</f>
        <v/>
      </c>
      <c r="O34">
        <f>IF(OR(Carteira!C34&gt;0,AND(SUM(Carteira!$C$5:$C$35)=0,Carteira!A34&lt;&gt;"")),N(Carteira!I34)+ROW()/1E9,"")</f>
        <v/>
      </c>
      <c r="P34">
        <f>IFERROR(INDEX($D$5:$D$35,MATCH(SMALL($O$5:$O$35,30),$O$5:$O$35,0)),"")</f>
        <v/>
      </c>
      <c r="Q34" s="130">
        <f>IFERROR(INDEX(Carteira!$I$5:$I$35,MATCH(P34,Carteira!$A$5:$A$35,0)),"")</f>
        <v/>
      </c>
      <c r="R34" s="129">
        <f>IFERROR(INDEX(Carteira!$H$5:$H$35,MATCH(P34,Carteira!$A$5:$A$35,0)),"")</f>
        <v/>
      </c>
      <c r="T34">
        <f>IF(OR(Carteira!C34&gt;0,AND(SUM(Carteira!$C$5:$C$35)=0,Carteira!A34&lt;&gt;"")),N(Carteira!H34)+ROW()/1E9,"")</f>
        <v/>
      </c>
      <c r="U34">
        <f>IFERROR(INDEX($D$5:$D$35,MATCH(LARGE($T$5:$T$35,30),$T$5:$T$35,0)),"")</f>
        <v/>
      </c>
      <c r="V34" s="128">
        <f>IFERROR(INDEX(Carteira!$H$5:$H$35,MATCH(U34,Carteira!$A$5:$A$35,0)),"")</f>
        <v/>
      </c>
      <c r="X34">
        <f>IF(OR(Carteira!C34&gt;0,AND(SUM(Carteira!$C$5:$C$35)=0,Carteira!A34&lt;&gt;"")),N(Carteira!W34)+ROW()/1E9,"")</f>
        <v/>
      </c>
      <c r="Y34">
        <f>IFERROR(INDEX($D$5:$D$35,MATCH(LARGE($X$5:$X$35,30),$X$5:$X$35,0)),"")</f>
        <v/>
      </c>
      <c r="Z34" s="131">
        <f>IFERROR(INDEX(Carteira!$W$5:$W$35,MATCH(Y34,Carteira!$A$5:$A$35,0)),"")</f>
        <v/>
      </c>
      <c r="AB34">
        <f>IF(OR(Carteira!C34&gt;0,AND(SUM(Carteira!$C$5:$C$35)=0,Carteira!A34&lt;&gt;"")),N(Carteira!Z34)+ROW()/1E9,"")</f>
        <v/>
      </c>
      <c r="AC34">
        <f>IFERROR(INDEX($D$5:$D$35,MATCH(LARGE($AB$5:$AB$35,30),$AB$5:$AB$35,0)),"")</f>
        <v/>
      </c>
      <c r="AD34" s="128">
        <f>IFERROR(INDEX(Carteira!$Z$5:$Z$35,MATCH(AC34,Carteira!$A$5:$A$35,0)),"")</f>
        <v/>
      </c>
      <c r="AF34">
        <f>IF(OR(Carteira!C34&gt;0,AND(SUM(Carteira!$C$5:$C$35)=0,Carteira!A34&lt;&gt;"")),N(Carteira!J34)+ROW()/1E9,"")</f>
        <v/>
      </c>
      <c r="AG34">
        <f>IFERROR(INDEX($D$5:$D$35,MATCH(LARGE($AF$5:$AF$35,30),$AF$5:$AF$35,0)),"")</f>
        <v/>
      </c>
      <c r="AH34" s="128">
        <f>IFERROR(INDEX(Carteira!$J$5:$J$35,MATCH(AG34,Carteira!$A$5:$A$35,0)),"")</f>
        <v/>
      </c>
      <c r="AJ34" s="130">
        <f>IF(ISNUMBER(H34),IF(Carteira!$G$36&gt;0,H34/Carteira!$G$36,0),"")</f>
        <v/>
      </c>
    </row>
    <row r="35">
      <c r="D35">
        <f>Carteira!A35</f>
        <v/>
      </c>
      <c r="F35">
        <f>IF(OR(Carteira!C35&gt;0,AND(SUM(Carteira!$C$5:$C$35)=0,Carteira!A35&lt;&gt;"")),N(Carteira!G35)+ROW()/1E9,"")</f>
        <v/>
      </c>
      <c r="G35">
        <f>IFERROR(INDEX($D$5:$D$35,MATCH(LARGE($F$5:$F$35,31),$F$5:$F$35,0)),"")</f>
        <v/>
      </c>
      <c r="H35" s="129">
        <f>IFERROR(INDEX(Carteira!$G$5:$G$35,MATCH(G35,Carteira!$A$5:$A$35,0)),"")</f>
        <v/>
      </c>
      <c r="J35">
        <f>IF(OR(Carteira!C35&gt;0,AND(SUM(Carteira!$C$5:$C$35)=0,Carteira!A35&lt;&gt;"")),N(Carteira!I35)+ROW()/1E9,"")</f>
        <v/>
      </c>
      <c r="K35">
        <f>IFERROR(INDEX($D$5:$D$35,MATCH(LARGE($J$5:$J$35,31),$J$5:$J$35,0)),"")</f>
        <v/>
      </c>
      <c r="L35" s="130">
        <f>IFERROR(INDEX(Carteira!$I$5:$I$35,MATCH(K35,Carteira!$A$5:$A$35,0)),"")</f>
        <v/>
      </c>
      <c r="M35" s="129">
        <f>IFERROR(INDEX(Carteira!$H$5:$H$35,MATCH(K35,Carteira!$A$5:$A$35,0)),"")</f>
        <v/>
      </c>
      <c r="O35">
        <f>IF(OR(Carteira!C35&gt;0,AND(SUM(Carteira!$C$5:$C$35)=0,Carteira!A35&lt;&gt;"")),N(Carteira!I35)+ROW()/1E9,"")</f>
        <v/>
      </c>
      <c r="P35">
        <f>IFERROR(INDEX($D$5:$D$35,MATCH(SMALL($O$5:$O$35,31),$O$5:$O$35,0)),"")</f>
        <v/>
      </c>
      <c r="Q35" s="130">
        <f>IFERROR(INDEX(Carteira!$I$5:$I$35,MATCH(P35,Carteira!$A$5:$A$35,0)),"")</f>
        <v/>
      </c>
      <c r="R35" s="129">
        <f>IFERROR(INDEX(Carteira!$H$5:$H$35,MATCH(P35,Carteira!$A$5:$A$35,0)),"")</f>
        <v/>
      </c>
      <c r="T35">
        <f>IF(OR(Carteira!C35&gt;0,AND(SUM(Carteira!$C$5:$C$35)=0,Carteira!A35&lt;&gt;"")),N(Carteira!H35)+ROW()/1E9,"")</f>
        <v/>
      </c>
      <c r="U35">
        <f>IFERROR(INDEX($D$5:$D$35,MATCH(LARGE($T$5:$T$35,31),$T$5:$T$35,0)),"")</f>
        <v/>
      </c>
      <c r="V35" s="128">
        <f>IFERROR(INDEX(Carteira!$H$5:$H$35,MATCH(U35,Carteira!$A$5:$A$35,0)),"")</f>
        <v/>
      </c>
      <c r="X35">
        <f>IF(OR(Carteira!C35&gt;0,AND(SUM(Carteira!$C$5:$C$35)=0,Carteira!A35&lt;&gt;"")),N(Carteira!W35)+ROW()/1E9,"")</f>
        <v/>
      </c>
      <c r="Y35">
        <f>IFERROR(INDEX($D$5:$D$35,MATCH(LARGE($X$5:$X$35,31),$X$5:$X$35,0)),"")</f>
        <v/>
      </c>
      <c r="Z35" s="131">
        <f>IFERROR(INDEX(Carteira!$W$5:$W$35,MATCH(Y35,Carteira!$A$5:$A$35,0)),"")</f>
        <v/>
      </c>
      <c r="AB35">
        <f>IF(OR(Carteira!C35&gt;0,AND(SUM(Carteira!$C$5:$C$35)=0,Carteira!A35&lt;&gt;"")),N(Carteira!Z35)+ROW()/1E9,"")</f>
        <v/>
      </c>
      <c r="AC35">
        <f>IFERROR(INDEX($D$5:$D$35,MATCH(LARGE($AB$5:$AB$35,31),$AB$5:$AB$35,0)),"")</f>
        <v/>
      </c>
      <c r="AD35" s="128">
        <f>IFERROR(INDEX(Carteira!$Z$5:$Z$35,MATCH(AC35,Carteira!$A$5:$A$35,0)),"")</f>
        <v/>
      </c>
      <c r="AF35">
        <f>IF(OR(Carteira!C35&gt;0,AND(SUM(Carteira!$C$5:$C$35)=0,Carteira!A35&lt;&gt;"")),N(Carteira!J35)+ROW()/1E9,"")</f>
        <v/>
      </c>
      <c r="AG35">
        <f>IFERROR(INDEX($D$5:$D$35,MATCH(LARGE($AF$5:$AF$35,31),$AF$5:$AF$35,0)),"")</f>
        <v/>
      </c>
      <c r="AH35" s="128">
        <f>IFERROR(INDEX(Carteira!$J$5:$J$35,MATCH(AG35,Carteira!$A$5:$A$35,0)),"")</f>
        <v/>
      </c>
      <c r="AJ35" s="130">
        <f>IF(ISNUMBER(H35),IF(Carteira!$G$36&gt;0,H35/Carteira!$G$36,0),"")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Gestão de Investimentos</dc:creator>
  <dcterms:created xmlns:dcterms="http://purl.org/dc/terms/" xmlns:xsi="http://www.w3.org/2001/XMLSchema-instance" xsi:type="dcterms:W3CDTF">2026-09-26T13:18:56Z</dcterms:created>
  <dcterms:modified xmlns:dcterms="http://purl.org/dc/terms/" xmlns:xsi="http://www.w3.org/2001/XMLSchema-instance" xsi:type="dcterms:W3CDTF">2026-09-26T13:18:56Z</dcterms:modified>
</cp:coreProperties>
</file>