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arteira" sheetId="2" state="visible" r:id="rId2"/>
    <sheet xmlns:r="http://schemas.openxmlformats.org/officeDocument/2006/relationships" name="Análises" sheetId="3" state="visible" r:id="rId3"/>
    <sheet xmlns:r="http://schemas.openxmlformats.org/officeDocument/2006/relationships" name="Meta" sheetId="4" state="visible" r:id="rId4"/>
    <sheet xmlns:r="http://schemas.openxmlformats.org/officeDocument/2006/relationships" name="Quant" sheetId="5" state="visible" r:id="rId5"/>
    <sheet xmlns:r="http://schemas.openxmlformats.org/officeDocument/2006/relationships" name="Modelos" sheetId="6" state="visible" r:id="rId6"/>
    <sheet xmlns:r="http://schemas.openxmlformats.org/officeDocument/2006/relationships" name="Projeção" sheetId="7" state="visible" r:id="rId7"/>
    <sheet xmlns:r="http://schemas.openxmlformats.org/officeDocument/2006/relationships" name="Cadastro" sheetId="8" state="visible" r:id="rId8"/>
    <sheet xmlns:r="http://schemas.openxmlformats.org/officeDocument/2006/relationships" name="Ativos" sheetId="9" state="hidden" r:id="rId9"/>
    <sheet xmlns:r="http://schemas.openxmlformats.org/officeDocument/2006/relationships" name="Lançamentos" sheetId="10" state="visible" r:id="rId10"/>
    <sheet xmlns:r="http://schemas.openxmlformats.org/officeDocument/2006/relationships" name="Proventos" sheetId="11" state="visible" r:id="rId11"/>
    <sheet xmlns:r="http://schemas.openxmlformats.org/officeDocument/2006/relationships" name="Premissas" sheetId="12" state="visible" r:id="rId12"/>
    <sheet xmlns:r="http://schemas.openxmlformats.org/officeDocument/2006/relationships" name="Verificar" sheetId="13" state="visible" r:id="rId13"/>
    <sheet xmlns:r="http://schemas.openxmlformats.org/officeDocument/2006/relationships" name="Base Painel" sheetId="14" state="hidden" r:id="rId14"/>
  </sheets>
  <definedNames>
    <definedName name="META_MENSAL">Premissas!$B$5</definedName>
    <definedName name="PRAZO_META">Premissas!$B$6</definedName>
    <definedName name="APORTE_MENSAL">Premissas!$B$7</definedName>
    <definedName name="PESO_RV">Premissas!$B$8</definedName>
    <definedName name="OUTRAS_CLASSES">Premissas!$B$12:$B$14</definedName>
    <definedName name="PJ_INICIAL">'Projeção'!$B$5</definedName>
    <definedName name="PJ_APORTE">'Projeção'!$B$6</definedName>
    <definedName name="PJ_DY">'Projeção'!$B$7</definedName>
    <definedName name="PJ_REINV">'Projeção'!$B$8</definedName>
    <definedName name="PJ_G_PESS">'Projeção'!$B$9</definedName>
    <definedName name="PJ_G_BASE">'Projeção'!$B$10</definedName>
    <definedName name="PJ_G_OTIM">'Projeção'!$B$11</definedName>
    <definedName name="PJ_CDI">'Projeção'!$B$12</definedName>
    <definedName name="PJ_META">'Projeção'!$B$13</definedName>
    <definedName name="lc_data">Cadastro!$C$8</definedName>
    <definedName name="lc_ticker">Cadastro!$C$9</definedName>
    <definedName name="lc_op">Cadastro!$C$10</definedName>
    <definedName name="lc_qtd">Cadastro!$C$11</definedName>
    <definedName name="lc_preco">Cadastro!$C$12</definedName>
    <definedName name="lc_custos">Cadastro!$C$13</definedName>
    <definedName name="lc_ativo">Cadastro!$C$15</definedName>
    <definedName name="lc_cot">Cadastro!$C$16</definedName>
    <definedName name="lc_tem">Cadastro!$C$17</definedName>
    <definedName name="lc_tipo">Cadastro!$C$19</definedName>
    <definedName name="lc_seg">Cadastro!$C$20</definedName>
    <definedName name="lc_total">Cadastro!$C$22</definedName>
    <definedName name="lc_apos">Cadastro!$C$23</definedName>
    <definedName name="lc_status">Cadastro!$B$24</definedName>
    <definedName name="pv_data">Cadastro!$F$8</definedName>
    <definedName name="pv_ticker">Cadastro!$F$9</definedName>
    <definedName name="pv_tipo">Cadastro!$F$10</definedName>
    <definedName name="pv_valor">Cadastro!$F$11</definedName>
    <definedName name="pv_qtd">Cadastro!$F$12</definedName>
    <definedName name="pv_tem">Cadastro!$F$14</definedName>
    <definedName name="pv_total">Cadastro!$F$15</definedName>
    <definedName name="pv_status">Cadastro!$E$16</definedName>
    <definedName name="FILTRO_TIPO">Painel!$D$10</definedName>
    <definedName name="_xlnm.Print_Area" localSheetId="0">'Painel'!$A$1:$AL$86</definedName>
    <definedName name="_xlnm.Print_Area" localSheetId="7">'Cadastro'!$A$1:$L$28</definedName>
  </definedNames>
  <calcPr calcId="124519" fullCalcOnLoad="1"/>
</workbook>
</file>

<file path=xl/styles.xml><?xml version="1.0" encoding="utf-8"?>
<styleSheet xmlns="http://schemas.openxmlformats.org/spreadsheetml/2006/main">
  <numFmts count="30">
    <numFmt numFmtId="164" formatCode="&quot;R$&quot; #,##0.00;[Red]-&quot;R$&quot; #,##0.00;&quot;-&quot;"/>
    <numFmt numFmtId="165" formatCode="0.0%;[Red]-0.0%;&quot;-&quot;"/>
    <numFmt numFmtId="166" formatCode="yyyy-mm-dd h:mm:ss"/>
    <numFmt numFmtId="167" formatCode="dd/mm/yyyy"/>
    <numFmt numFmtId="168" formatCode="#,##0;[Red]-#,##0;&quot;-&quot;"/>
    <numFmt numFmtId="169" formatCode="&quot;R$&quot; #,##0.0000"/>
    <numFmt numFmtId="170" formatCode="&quot;R$&quot; #,##0;[Red]-&quot;R$&quot; #,##0;&quot;-&quot;"/>
    <numFmt numFmtId="171" formatCode="0&quot; meses&quot;"/>
    <numFmt numFmtId="172" formatCode="0&quot; meses&quot;;;&quot;atingida&quot;"/>
    <numFmt numFmtId="173" formatCode="0.00;[Red]-0.00;&quot;-&quot;"/>
    <numFmt numFmtId="174" formatCode="0.000"/>
    <numFmt numFmtId="175" formatCode="0.0000"/>
    <numFmt numFmtId="176" formatCode="mm/yyyy"/>
    <numFmt numFmtId="177" formatCode="mmm/yy"/>
    <numFmt numFmtId="178" formatCode="&quot;R$ &quot;#,##0,&quot;k&quot;;-&quot;R$ &quot;#,##0,&quot;k&quot;;&quot;R$ 0&quot;"/>
    <numFmt numFmtId="179" formatCode="0.0%"/>
    <numFmt numFmtId="180" formatCode="&quot;Atualizado em &quot;dd/mm/yyyy&quot;   •   cotações: Yahoo Finance   •   valores do filtro escolhido à esquerda&quot;"/>
    <numFmt numFmtId="181" formatCode="0%&quot; da meta atingida&quot;"/>
    <numFmt numFmtId="182" formatCode=";;;"/>
    <numFmt numFmtId="183" formatCode="#,##0&quot; cotas no filtro&quot;"/>
    <numFmt numFmtId="184" formatCode="&quot;▲ &quot;0.0%&quot; sobre o investido&quot;;&quot;▼ &quot;0.0%&quot; sobre o investido&quot;;&quot;sem variação&quot;"/>
    <numFmt numFmtId="185" formatCode="&quot;Renda mensal R$ &quot;#,##0.00"/>
    <numFmt numFmtId="186" formatCode="&quot;▲ &quot;0.0%&quot; de valorização&quot;;&quot;▼ &quot;0.0%&quot; de valorização&quot;"/>
    <numFmt numFmtId="187" formatCode="&quot;R$ &quot;#,##0&quot; por ano&quot;"/>
    <numFmt numFmtId="188" formatCode="&quot;Aporte no prazo R$ &quot;#,##0&quot;/mês&quot;"/>
    <numFmt numFmtId="189" formatCode="0.0%&quot; da renda total&quot;"/>
    <numFmt numFmtId="190" formatCode="#,##0&quot; cotas faltantes&quot;"/>
    <numFmt numFmtId="191" formatCode="&quot;Aporte de R$ &quot;#,##0&quot;/mês&quot;"/>
    <numFmt numFmtId="192" formatCode="0.0&quot; anos&quot;"/>
    <numFmt numFmtId="193" formatCode="&quot;▲ &quot;0.0%;&quot;▼ &quot;0.0%;0.0%"/>
  </numFmts>
  <fonts count="40">
    <font>
      <name val="Calibri"/>
      <family val="2"/>
      <color theme="1"/>
      <sz val="11"/>
      <scheme val="minor"/>
    </font>
    <font>
      <name val="Segoe UI"/>
      <i val="1"/>
      <color rgb="0064748B"/>
      <sz val="8"/>
    </font>
    <font>
      <name val="Segoe UI"/>
      <b val="1"/>
      <color rgb="00FFFFFF"/>
      <sz val="10"/>
    </font>
    <font>
      <name val="Segoe UI"/>
      <color rgb="000000FF"/>
      <sz val="10"/>
    </font>
    <font>
      <name val="Segoe UI"/>
      <i val="1"/>
      <color rgb="00666666"/>
      <sz val="9"/>
    </font>
    <font>
      <name val="Segoe UI"/>
      <b val="1"/>
      <sz val="10"/>
    </font>
    <font>
      <name val="Segoe UI"/>
      <color rgb="00444444"/>
      <sz val="9"/>
    </font>
    <font>
      <name val="Segoe UI"/>
      <sz val="10"/>
    </font>
    <font>
      <name val="Segoe UI"/>
      <color rgb="00008000"/>
      <sz val="10"/>
    </font>
    <font>
      <name val="Segoe UI"/>
      <b val="1"/>
      <color rgb="0064748B"/>
      <sz val="10"/>
    </font>
    <font>
      <name val="Segoe UI"/>
      <b val="1"/>
      <color rgb="00D97706"/>
      <sz val="10"/>
    </font>
    <font>
      <name val="Segoe UI"/>
      <i val="1"/>
      <color rgb="0064748B"/>
      <sz val="9"/>
    </font>
    <font>
      <name val="Segoe UI"/>
      <b val="1"/>
      <sz val="11"/>
    </font>
    <font>
      <name val="Segoe UI"/>
      <b val="1"/>
      <color rgb="000000FF"/>
      <sz val="10"/>
    </font>
    <font>
      <color rgb="00FFFFFF"/>
      <sz val="1"/>
    </font>
    <font>
      <name val="Segoe UI"/>
      <b val="1"/>
      <color rgb="00FFFFFF"/>
      <sz val="12"/>
    </font>
    <font>
      <name val="Segoe UI"/>
      <color rgb="0064748B"/>
      <sz val="9"/>
    </font>
    <font>
      <name val="Segoe UI"/>
      <b val="1"/>
      <color rgb="0064748B"/>
      <sz val="7"/>
    </font>
    <font>
      <name val="Segoe UI"/>
      <color rgb="00334155"/>
      <sz val="10"/>
    </font>
    <font>
      <name val="Segoe UI"/>
      <b val="1"/>
      <color rgb="002563EB"/>
      <sz val="12"/>
    </font>
    <font>
      <name val="Segoe UI"/>
      <b val="1"/>
      <color rgb="0016A34A"/>
      <sz val="9"/>
    </font>
    <font>
      <name val="Segoe UI"/>
      <b val="1"/>
      <color rgb="0064748B"/>
      <sz val="8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86EFAC"/>
      <sz val="9"/>
    </font>
    <font>
      <name val="Segoe UI"/>
      <color rgb="0064748B"/>
      <sz val="8"/>
    </font>
    <font>
      <name val="Segoe UI"/>
      <b val="1"/>
      <color rgb="000F172A"/>
      <sz val="11"/>
    </font>
    <font>
      <name val="Segoe UI"/>
      <b val="1"/>
      <color rgb="0064748B"/>
      <sz val="9"/>
    </font>
    <font>
      <name val="Segoe UI"/>
      <b val="1"/>
      <color rgb="0094A3B8"/>
      <sz val="8"/>
    </font>
    <font>
      <name val="Segoe UI"/>
      <b val="1"/>
      <color rgb="002E6DB4"/>
      <sz val="10"/>
    </font>
    <font>
      <name val="Segoe UI"/>
      <b val="1"/>
      <color rgb="00FFFFFF"/>
      <sz val="9"/>
    </font>
    <font>
      <name val="Segoe UI"/>
      <b val="1"/>
      <color rgb="000F172A"/>
      <sz val="16"/>
    </font>
    <font>
      <name val="Segoe UI"/>
      <b val="1"/>
      <color rgb="00D9772B"/>
      <sz val="9"/>
    </font>
    <font>
      <name val="Segoe UI"/>
      <b val="1"/>
      <color rgb="000F172A"/>
      <sz val="18"/>
    </font>
    <font>
      <name val="Segoe UI"/>
      <color rgb="0015803D"/>
      <sz val="8"/>
    </font>
    <font>
      <name val="Segoe UI"/>
      <color rgb="00334155"/>
      <sz val="9"/>
    </font>
    <font>
      <name val="Segoe UI"/>
      <b val="1"/>
      <color rgb="0014213D"/>
      <sz val="9"/>
    </font>
    <font>
      <name val="Segoe UI"/>
      <color rgb="00D9772B"/>
      <sz val="8"/>
    </font>
    <font>
      <name val="Segoe UI"/>
      <b val="1"/>
      <color rgb="000F172A"/>
      <sz val="10"/>
    </font>
    <font>
      <name val="Segoe UI"/>
      <b val="1"/>
      <color rgb="002E6DB4"/>
      <sz val="9"/>
    </font>
  </fonts>
  <fills count="13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FFFFF"/>
      </patternFill>
    </fill>
    <fill>
      <patternFill patternType="solid">
        <fgColor rgb="001E293B"/>
      </patternFill>
    </fill>
    <fill>
      <patternFill patternType="solid">
        <fgColor rgb="00FFF7D6"/>
      </patternFill>
    </fill>
    <fill>
      <patternFill patternType="solid">
        <fgColor rgb="00E8EDF4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2563EB"/>
      </patternFill>
    </fill>
    <fill>
      <patternFill patternType="solid">
        <fgColor rgb="00EFF4FB"/>
      </patternFill>
    </fill>
    <fill>
      <patternFill patternType="solid">
        <fgColor rgb="002E6DB4"/>
      </patternFill>
    </fill>
    <fill>
      <patternFill patternType="solid">
        <fgColor rgb="00E8EEF7"/>
      </patternFill>
    </fill>
  </fills>
  <borders count="36">
    <border>
      <left/>
      <right/>
      <top/>
      <bottom/>
      <diagonal/>
    </border>
    <border>
      <bottom style="thin">
        <color rgb="00E2E8F0"/>
      </bottom>
    </border>
    <border>
      <left style="thin">
        <color rgb="00D8DFE9"/>
      </left>
      <right style="thin">
        <color rgb="00D8DFE9"/>
      </right>
      <top style="thin">
        <color rgb="00D8DFE9"/>
      </top>
      <bottom style="thin">
        <color rgb="00D8DFE9"/>
      </bottom>
    </border>
    <border>
      <left/>
      <right/>
      <top style="thin">
        <color rgb="00D8DFE9"/>
      </top>
      <bottom/>
      <diagonal/>
    </border>
    <border>
      <left/>
      <right style="thin">
        <color rgb="00D8DFE9"/>
      </right>
      <top style="thin">
        <color rgb="00D8DFE9"/>
      </top>
      <bottom/>
      <diagonal/>
    </border>
    <border>
      <left/>
      <right/>
      <top style="thin">
        <color rgb="00D8DFE9"/>
      </top>
      <bottom style="thin">
        <color rgb="00D8DFE9"/>
      </bottom>
      <diagonal/>
    </border>
    <border>
      <left/>
      <right style="thin">
        <color rgb="00D8DFE9"/>
      </right>
      <top style="thin">
        <color rgb="00D8DFE9"/>
      </top>
      <bottom style="thin">
        <color rgb="00D8DFE9"/>
      </bottom>
      <diagonal/>
    </border>
    <border>
      <left style="thin">
        <color rgb="00E2E8F0"/>
      </left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right style="thin">
        <color rgb="00E2E8F0"/>
      </right>
    </border>
    <border>
      <left style="thin">
        <color rgb="00E2E8F0"/>
      </left>
      <right style="thin">
        <color rgb="00E2E8F0"/>
      </right>
      <top style="thin">
        <color rgb="00EEF2F7"/>
      </top>
      <bottom style="thin">
        <color rgb="00EEF2F7"/>
      </bottom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bottom style="thin">
        <color rgb="00EEF2F7"/>
      </bottom>
    </border>
    <border>
      <left style="thin">
        <color rgb="00E2E8F0"/>
      </left>
      <top style="thin">
        <color rgb="00E2E8F0"/>
      </top>
    </border>
    <border>
      <top style="thin">
        <color rgb="00E2E8F0"/>
      </top>
    </border>
    <border>
      <right style="thin">
        <color rgb="00E2E8F0"/>
      </right>
      <top style="thin">
        <color rgb="00E2E8F0"/>
      </top>
    </border>
    <border/>
    <border>
      <left/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bottom style="medium">
        <color rgb="00FFFFFF"/>
      </bottom>
    </border>
    <border>
      <bottom style="medium">
        <color rgb="00FFFFFF"/>
      </bottom>
    </border>
    <border>
      <right style="thin">
        <color rgb="00E2E8F0"/>
      </right>
      <bottom style="medium">
        <color rgb="00FFFFFF"/>
      </bottom>
    </border>
    <border>
      <left style="thin">
        <color rgb="00E2E8F0"/>
      </left>
      <right style="thin">
        <color rgb="00E2E8F0"/>
      </right>
      <top style="thin">
        <color rgb="00E2E8F0"/>
      </top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 style="thin">
        <color rgb="00E2E8F0"/>
      </left>
      <bottom style="thin">
        <color rgb="00EEF2F6"/>
      </bottom>
    </border>
    <border>
      <left/>
      <right/>
      <bottom style="thin">
        <color rgb="00EEF2F6"/>
      </bottom>
    </border>
    <border>
      <bottom style="thin">
        <color rgb="00EEF2F6"/>
      </bottom>
    </border>
    <border>
      <right style="thin">
        <color rgb="00E2E8F0"/>
      </right>
      <bottom style="thin">
        <color rgb="00EEF2F6"/>
      </bottom>
    </border>
    <border>
      <left/>
      <right style="thin">
        <color rgb="00E2E8F0"/>
      </right>
      <bottom style="thin">
        <color rgb="00EEF2F6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2" borderId="0" pivotButton="0" quotePrefix="0" xfId="0"/>
    <xf numFmtId="0" fontId="24" fillId="2" borderId="0" applyAlignment="1" pivotButton="0" quotePrefix="0" xfId="0">
      <alignment vertical="center"/>
    </xf>
    <xf numFmtId="0" fontId="0" fillId="3" borderId="1" pivotButton="0" quotePrefix="0" xfId="0"/>
    <xf numFmtId="0" fontId="0" fillId="8" borderId="0" pivotButton="0" quotePrefix="0" xfId="0"/>
    <xf numFmtId="180" fontId="25" fillId="8" borderId="0" applyAlignment="1" pivotButton="0" quotePrefix="0" xfId="0">
      <alignment horizontal="left" vertical="center"/>
    </xf>
    <xf numFmtId="0" fontId="26" fillId="3" borderId="14" applyAlignment="1" pivotButton="0" quotePrefix="0" xfId="0">
      <alignment vertical="center" indent="1"/>
    </xf>
    <xf numFmtId="0" fontId="0" fillId="3" borderId="15" pivotButton="0" quotePrefix="0" xfId="0"/>
    <xf numFmtId="0" fontId="0" fillId="3" borderId="16" pivotButton="0" quotePrefix="0" xfId="0"/>
    <xf numFmtId="0" fontId="32" fillId="8" borderId="0" applyAlignment="1" pivotButton="0" quotePrefix="0" xfId="0">
      <alignment vertical="center"/>
    </xf>
    <xf numFmtId="0" fontId="0" fillId="3" borderId="7" pivotButton="0" quotePrefix="0" xfId="0"/>
    <xf numFmtId="0" fontId="0" fillId="3" borderId="17" pivotButton="0" quotePrefix="0" xfId="0"/>
    <xf numFmtId="0" fontId="0" fillId="3" borderId="9" pivotButton="0" quotePrefix="0" xfId="0"/>
    <xf numFmtId="0" fontId="21" fillId="3" borderId="23" applyAlignment="1" pivotButton="0" quotePrefix="0" xfId="0">
      <alignment vertical="bottom" indent="1"/>
    </xf>
    <xf numFmtId="0" fontId="0" fillId="0" borderId="24" pivotButton="0" quotePrefix="0" xfId="0"/>
    <xf numFmtId="0" fontId="0" fillId="0" borderId="25" pivotButton="0" quotePrefix="0" xfId="0"/>
    <xf numFmtId="0" fontId="27" fillId="3" borderId="7" applyAlignment="1" pivotButton="0" quotePrefix="0" xfId="0">
      <alignment vertical="center" indent="1"/>
    </xf>
    <xf numFmtId="170" fontId="33" fillId="3" borderId="19" applyAlignment="1" pivotButton="0" quotePrefix="0" xfId="0">
      <alignment vertical="center" shrinkToFit="1" indent="1"/>
    </xf>
    <xf numFmtId="0" fontId="0" fillId="0" borderId="18" pivotButton="0" quotePrefix="0" xfId="0"/>
    <xf numFmtId="0" fontId="33" fillId="3" borderId="19" applyAlignment="1" pivotButton="0" quotePrefix="0" xfId="0">
      <alignment vertical="center" shrinkToFit="1" indent="1"/>
    </xf>
    <xf numFmtId="0" fontId="25" fillId="3" borderId="26" applyAlignment="1" pivotButton="0" quotePrefix="0" xfId="0">
      <alignment vertical="center" indent="1"/>
    </xf>
    <xf numFmtId="0" fontId="0" fillId="0" borderId="27" pivotButton="0" quotePrefix="0" xfId="0"/>
    <xf numFmtId="0" fontId="0" fillId="0" borderId="28" pivotButton="0" quotePrefix="0" xfId="0"/>
    <xf numFmtId="183" fontId="25" fillId="3" borderId="26" applyAlignment="1" pivotButton="0" quotePrefix="0" xfId="0">
      <alignment vertical="center" indent="1"/>
    </xf>
    <xf numFmtId="184" fontId="34" fillId="3" borderId="26" applyAlignment="1" pivotButton="0" quotePrefix="0" xfId="0">
      <alignment vertical="center" indent="1"/>
    </xf>
    <xf numFmtId="185" fontId="34" fillId="3" borderId="26" applyAlignment="1" pivotButton="0" quotePrefix="0" xfId="0">
      <alignment vertical="center" indent="1"/>
    </xf>
    <xf numFmtId="186" fontId="34" fillId="3" borderId="26" applyAlignment="1" pivotButton="0" quotePrefix="0" xfId="0">
      <alignment vertical="center" indent="1"/>
    </xf>
    <xf numFmtId="0" fontId="28" fillId="3" borderId="7" applyAlignment="1" pivotButton="0" quotePrefix="0" xfId="0">
      <alignment vertical="center" indent="1"/>
    </xf>
    <xf numFmtId="0" fontId="29" fillId="10" borderId="9" applyAlignment="1" pivotButton="0" quotePrefix="0" xfId="0">
      <alignment horizontal="left" vertical="center" indent="1"/>
    </xf>
    <xf numFmtId="0" fontId="0" fillId="10" borderId="0" pivotButton="0" quotePrefix="0" xfId="0"/>
    <xf numFmtId="0" fontId="0" fillId="10" borderId="18" pivotButton="0" quotePrefix="0" xfId="0"/>
    <xf numFmtId="0" fontId="26" fillId="8" borderId="0" pivotButton="0" quotePrefix="0" xfId="0"/>
    <xf numFmtId="0" fontId="26" fillId="3" borderId="7" applyAlignment="1" pivotButton="0" quotePrefix="0" xfId="0">
      <alignment vertical="center" indent="1"/>
    </xf>
    <xf numFmtId="0" fontId="30" fillId="11" borderId="20" applyAlignment="1" pivotButton="0" quotePrefix="0" xfId="0">
      <alignment vertical="center" indent="1"/>
    </xf>
    <xf numFmtId="0" fontId="0" fillId="11" borderId="21" pivotButton="0" quotePrefix="0" xfId="0"/>
    <xf numFmtId="0" fontId="0" fillId="11" borderId="22" pivotButton="0" quotePrefix="0" xfId="0"/>
    <xf numFmtId="181" fontId="31" fillId="3" borderId="19" applyAlignment="1" pivotButton="0" quotePrefix="0" xfId="0">
      <alignment vertical="center" indent="1"/>
    </xf>
    <xf numFmtId="182" fontId="0" fillId="3" borderId="19" pivotButton="0" quotePrefix="0" xfId="0"/>
    <xf numFmtId="0" fontId="25" fillId="3" borderId="19" applyAlignment="1" pivotButton="0" quotePrefix="0" xfId="0">
      <alignment vertical="center" indent="1"/>
    </xf>
    <xf numFmtId="0" fontId="25" fillId="8" borderId="0" pivotButton="0" quotePrefix="0" xfId="0"/>
    <xf numFmtId="165" fontId="33" fillId="3" borderId="19" applyAlignment="1" pivotButton="0" quotePrefix="0" xfId="0">
      <alignment vertical="center" shrinkToFit="1" indent="1"/>
    </xf>
    <xf numFmtId="172" fontId="33" fillId="3" borderId="19" applyAlignment="1" pivotButton="0" quotePrefix="0" xfId="0">
      <alignment vertical="center" shrinkToFit="1" indent="1"/>
    </xf>
    <xf numFmtId="0" fontId="0" fillId="3" borderId="11" pivotButton="0" quotePrefix="0" xfId="0"/>
    <xf numFmtId="0" fontId="0" fillId="3" borderId="12" pivotButton="0" quotePrefix="0" xfId="0"/>
    <xf numFmtId="187" fontId="34" fillId="3" borderId="26" applyAlignment="1" pivotButton="0" quotePrefix="0" xfId="0">
      <alignment vertical="center" indent="1"/>
    </xf>
    <xf numFmtId="188" fontId="25" fillId="3" borderId="26" applyAlignment="1" pivotButton="0" quotePrefix="0" xfId="0">
      <alignment vertical="center" indent="1"/>
    </xf>
    <xf numFmtId="189" fontId="25" fillId="3" borderId="26" applyAlignment="1" pivotButton="0" quotePrefix="0" xfId="0">
      <alignment vertical="center" indent="1"/>
    </xf>
    <xf numFmtId="190" fontId="25" fillId="3" borderId="26" applyAlignment="1" pivotButton="0" quotePrefix="0" xfId="0">
      <alignment vertical="center" indent="1"/>
    </xf>
    <xf numFmtId="191" fontId="37" fillId="3" borderId="26" applyAlignment="1" pivotButton="0" quotePrefix="0" xfId="0">
      <alignment vertical="center" indent="1"/>
    </xf>
    <xf numFmtId="192" fontId="37" fillId="3" borderId="26" applyAlignment="1" pivotButton="0" quotePrefix="0" xfId="0">
      <alignment vertical="center" indent="1"/>
    </xf>
    <xf numFmtId="0" fontId="38" fillId="3" borderId="23" applyAlignment="1" pivotButton="0" quotePrefix="0" xfId="0">
      <alignment vertical="center" indent="1"/>
    </xf>
    <xf numFmtId="0" fontId="17" fillId="7" borderId="7" applyAlignment="1" pivotButton="0" quotePrefix="0" xfId="0">
      <alignment horizontal="center"/>
    </xf>
    <xf numFmtId="0" fontId="17" fillId="7" borderId="17" applyAlignment="1" pivotButton="0" quotePrefix="0" xfId="0">
      <alignment horizontal="left" indent="1"/>
    </xf>
    <xf numFmtId="0" fontId="0" fillId="7" borderId="0" pivotButton="0" quotePrefix="0" xfId="0"/>
    <xf numFmtId="0" fontId="17" fillId="7" borderId="17" applyAlignment="1" pivotButton="0" quotePrefix="0" xfId="0">
      <alignment horizontal="right" indent="1"/>
    </xf>
    <xf numFmtId="0" fontId="17" fillId="7" borderId="9" applyAlignment="1" pivotButton="0" quotePrefix="0" xfId="0">
      <alignment horizontal="right" indent="1"/>
    </xf>
    <xf numFmtId="0" fontId="0" fillId="7" borderId="18" pivotButton="0" quotePrefix="0" xfId="0"/>
    <xf numFmtId="1" fontId="35" fillId="3" borderId="29" applyAlignment="1" pivotButton="0" quotePrefix="0" xfId="0">
      <alignment horizontal="center"/>
    </xf>
    <xf numFmtId="0" fontId="39" fillId="3" borderId="31" applyAlignment="1" pivotButton="0" quotePrefix="0" xfId="0">
      <alignment horizontal="left" indent="1"/>
    </xf>
    <xf numFmtId="0" fontId="0" fillId="0" borderId="30" pivotButton="0" quotePrefix="0" xfId="0"/>
    <xf numFmtId="170" fontId="35" fillId="3" borderId="31" applyAlignment="1" pivotButton="0" quotePrefix="0" xfId="0">
      <alignment horizontal="right" indent="1"/>
    </xf>
    <xf numFmtId="179" fontId="35" fillId="3" borderId="32" applyAlignment="1" pivotButton="0" quotePrefix="0" xfId="0">
      <alignment horizontal="right" indent="1"/>
    </xf>
    <xf numFmtId="0" fontId="0" fillId="0" borderId="33" pivotButton="0" quotePrefix="0" xfId="0"/>
    <xf numFmtId="193" fontId="35" fillId="3" borderId="31" applyAlignment="1" pivotButton="0" quotePrefix="0" xfId="0">
      <alignment horizontal="right" indent="1"/>
    </xf>
    <xf numFmtId="170" fontId="35" fillId="3" borderId="32" applyAlignment="1" pivotButton="0" quotePrefix="0" xfId="0">
      <alignment horizontal="right" indent="1"/>
    </xf>
    <xf numFmtId="1" fontId="35" fillId="3" borderId="11" applyAlignment="1" pivotButton="0" quotePrefix="0" xfId="0">
      <alignment horizontal="center"/>
    </xf>
    <xf numFmtId="0" fontId="39" fillId="3" borderId="1" applyAlignment="1" pivotButton="0" quotePrefix="0" xfId="0">
      <alignment horizontal="left" indent="1"/>
    </xf>
    <xf numFmtId="0" fontId="0" fillId="0" borderId="34" pivotButton="0" quotePrefix="0" xfId="0"/>
    <xf numFmtId="170" fontId="35" fillId="3" borderId="1" applyAlignment="1" pivotButton="0" quotePrefix="0" xfId="0">
      <alignment horizontal="right" indent="1"/>
    </xf>
    <xf numFmtId="179" fontId="35" fillId="3" borderId="12" applyAlignment="1" pivotButton="0" quotePrefix="0" xfId="0">
      <alignment horizontal="right" indent="1"/>
    </xf>
    <xf numFmtId="0" fontId="0" fillId="0" borderId="35" pivotButton="0" quotePrefix="0" xfId="0"/>
    <xf numFmtId="193" fontId="35" fillId="3" borderId="1" applyAlignment="1" pivotButton="0" quotePrefix="0" xfId="0">
      <alignment horizontal="right" indent="1"/>
    </xf>
    <xf numFmtId="170" fontId="35" fillId="3" borderId="12" applyAlignment="1" pivotButton="0" quotePrefix="0" xfId="0">
      <alignment horizontal="right" indent="1"/>
    </xf>
    <xf numFmtId="0" fontId="21" fillId="7" borderId="14" applyAlignment="1" pivotButton="0" quotePrefix="0" xfId="0">
      <alignment horizontal="left" vertical="center" indent="1"/>
    </xf>
    <xf numFmtId="0" fontId="0" fillId="7" borderId="15" pivotButton="0" quotePrefix="0" xfId="0"/>
    <xf numFmtId="0" fontId="21" fillId="7" borderId="15" applyAlignment="1" pivotButton="0" quotePrefix="0" xfId="0">
      <alignment horizontal="right" vertical="center" indent="1"/>
    </xf>
    <xf numFmtId="0" fontId="0" fillId="7" borderId="16" pivotButton="0" quotePrefix="0" xfId="0"/>
    <xf numFmtId="0" fontId="23" fillId="3" borderId="29" applyAlignment="1" pivotButton="0" quotePrefix="0" xfId="0">
      <alignment horizontal="left" indent="1"/>
    </xf>
    <xf numFmtId="179" fontId="35" fillId="3" borderId="31" applyAlignment="1" pivotButton="0" quotePrefix="0" xfId="0">
      <alignment horizontal="right" indent="1"/>
    </xf>
    <xf numFmtId="165" fontId="35" fillId="3" borderId="31" applyAlignment="1" pivotButton="0" quotePrefix="0" xfId="0">
      <alignment horizontal="right" indent="1"/>
    </xf>
    <xf numFmtId="0" fontId="36" fillId="12" borderId="11" applyAlignment="1" pivotButton="0" quotePrefix="0" xfId="0">
      <alignment horizontal="left" indent="1"/>
    </xf>
    <xf numFmtId="0" fontId="0" fillId="12" borderId="27" pivotButton="0" quotePrefix="0" xfId="0"/>
    <xf numFmtId="170" fontId="36" fillId="12" borderId="1" applyAlignment="1" pivotButton="0" quotePrefix="0" xfId="0">
      <alignment horizontal="right" indent="1"/>
    </xf>
    <xf numFmtId="165" fontId="36" fillId="12" borderId="1" applyAlignment="1" pivotButton="0" quotePrefix="0" xfId="0">
      <alignment horizontal="right" indent="1"/>
    </xf>
    <xf numFmtId="0" fontId="36" fillId="12" borderId="1" applyAlignment="1" pivotButton="0" quotePrefix="0" xfId="0">
      <alignment horizontal="right" indent="1"/>
    </xf>
    <xf numFmtId="170" fontId="36" fillId="12" borderId="12" applyAlignment="1" pivotButton="0" quotePrefix="0" xfId="0">
      <alignment horizontal="right" indent="1"/>
    </xf>
    <xf numFmtId="0" fontId="0" fillId="12" borderId="28" pivotButton="0" quotePrefix="0" xfId="0"/>
    <xf numFmtId="0" fontId="1" fillId="0" borderId="0" applyAlignment="1" pivotButton="0" quotePrefix="0" xfId="0">
      <alignment vertical="center" indent="1"/>
    </xf>
    <xf numFmtId="0" fontId="2" fillId="4" borderId="2" applyAlignment="1" pivotButton="0" quotePrefix="0" xfId="0">
      <alignment horizontal="center" vertical="center" wrapText="1"/>
    </xf>
    <xf numFmtId="0" fontId="8" fillId="0" borderId="2" pivotButton="0" quotePrefix="0" xfId="0"/>
    <xf numFmtId="168" fontId="7" fillId="0" borderId="2" pivotButton="0" quotePrefix="0" xfId="0"/>
    <xf numFmtId="164" fontId="7" fillId="0" borderId="2" pivotButton="0" quotePrefix="0" xfId="0"/>
    <xf numFmtId="164" fontId="8" fillId="0" borderId="2" pivotButton="0" quotePrefix="0" xfId="0"/>
    <xf numFmtId="165" fontId="7" fillId="0" borderId="2" pivotButton="0" quotePrefix="0" xfId="0"/>
    <xf numFmtId="165" fontId="8" fillId="0" borderId="2" pivotButton="0" quotePrefix="0" xfId="0"/>
    <xf numFmtId="169" fontId="7" fillId="0" borderId="2" pivotButton="0" quotePrefix="0" xfId="0"/>
    <xf numFmtId="170" fontId="7" fillId="0" borderId="2" pivotButton="0" quotePrefix="0" xfId="0"/>
    <xf numFmtId="172" fontId="7" fillId="0" borderId="2" pivotButton="0" quotePrefix="0" xfId="0"/>
    <xf numFmtId="0" fontId="7" fillId="0" borderId="2" pivotButton="0" quotePrefix="0" xfId="0"/>
    <xf numFmtId="0" fontId="8" fillId="7" borderId="2" pivotButton="0" quotePrefix="0" xfId="0"/>
    <xf numFmtId="168" fontId="7" fillId="7" borderId="2" pivotButton="0" quotePrefix="0" xfId="0"/>
    <xf numFmtId="164" fontId="7" fillId="7" borderId="2" pivotButton="0" quotePrefix="0" xfId="0"/>
    <xf numFmtId="164" fontId="8" fillId="7" borderId="2" pivotButton="0" quotePrefix="0" xfId="0"/>
    <xf numFmtId="165" fontId="7" fillId="7" borderId="2" pivotButton="0" quotePrefix="0" xfId="0"/>
    <xf numFmtId="165" fontId="8" fillId="7" borderId="2" pivotButton="0" quotePrefix="0" xfId="0"/>
    <xf numFmtId="169" fontId="7" fillId="7" borderId="2" pivotButton="0" quotePrefix="0" xfId="0"/>
    <xf numFmtId="170" fontId="7" fillId="7" borderId="2" pivotButton="0" quotePrefix="0" xfId="0"/>
    <xf numFmtId="172" fontId="7" fillId="7" borderId="2" pivotButton="0" quotePrefix="0" xfId="0"/>
    <xf numFmtId="0" fontId="7" fillId="7" borderId="2" pivotButton="0" quotePrefix="0" xfId="0"/>
    <xf numFmtId="0" fontId="5" fillId="6" borderId="2" pivotButton="0" quotePrefix="0" xfId="0"/>
    <xf numFmtId="164" fontId="5" fillId="6" borderId="2" pivotButton="0" quotePrefix="0" xfId="0"/>
    <xf numFmtId="165" fontId="5" fillId="6" borderId="2" pivotButton="0" quotePrefix="0" xfId="0"/>
    <xf numFmtId="168" fontId="5" fillId="6" borderId="2" pivotButton="0" quotePrefix="0" xfId="0"/>
    <xf numFmtId="172" fontId="5" fillId="6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169" fontId="8" fillId="0" borderId="2" pivotButton="0" quotePrefix="0" xfId="0"/>
    <xf numFmtId="10" fontId="7" fillId="0" borderId="2" pivotButton="0" quotePrefix="0" xfId="0"/>
    <xf numFmtId="164" fontId="3" fillId="5" borderId="2" pivotButton="0" quotePrefix="0" xfId="0"/>
    <xf numFmtId="1" fontId="3" fillId="5" borderId="2" pivotButton="0" quotePrefix="0" xfId="0"/>
    <xf numFmtId="168" fontId="8" fillId="0" borderId="2" pivotButton="0" quotePrefix="0" xfId="0"/>
    <xf numFmtId="170" fontId="8" fillId="0" borderId="2" pivotButton="0" quotePrefix="0" xfId="0"/>
    <xf numFmtId="176" fontId="7" fillId="0" borderId="2" pivotButton="0" quotePrefix="0" xfId="0"/>
    <xf numFmtId="169" fontId="8" fillId="7" borderId="2" pivotButton="0" quotePrefix="0" xfId="0"/>
    <xf numFmtId="10" fontId="7" fillId="7" borderId="2" pivotButton="0" quotePrefix="0" xfId="0"/>
    <xf numFmtId="164" fontId="13" fillId="5" borderId="2" pivotButton="0" quotePrefix="0" xfId="0"/>
    <xf numFmtId="1" fontId="13" fillId="5" borderId="2" pivotButton="0" quotePrefix="0" xfId="0"/>
    <xf numFmtId="168" fontId="8" fillId="7" borderId="2" pivotButton="0" quotePrefix="0" xfId="0"/>
    <xf numFmtId="170" fontId="8" fillId="7" borderId="2" pivotButton="0" quotePrefix="0" xfId="0"/>
    <xf numFmtId="176" fontId="7" fillId="7" borderId="2" pivotButton="0" quotePrefix="0" xfId="0"/>
    <xf numFmtId="170" fontId="5" fillId="6" borderId="2" pivotButton="0" quotePrefix="0" xfId="0"/>
    <xf numFmtId="0" fontId="5" fillId="0" borderId="2" pivotButton="0" quotePrefix="0" xfId="0"/>
    <xf numFmtId="167" fontId="7" fillId="0" borderId="2" pivotButton="0" quotePrefix="0" xfId="0"/>
    <xf numFmtId="173" fontId="7" fillId="0" borderId="2" pivotButton="0" quotePrefix="0" xfId="0"/>
    <xf numFmtId="174" fontId="7" fillId="0" borderId="2" pivotButton="0" quotePrefix="0" xfId="0"/>
    <xf numFmtId="167" fontId="7" fillId="7" borderId="2" pivotButton="0" quotePrefix="0" xfId="0"/>
    <xf numFmtId="173" fontId="7" fillId="7" borderId="2" pivotButton="0" quotePrefix="0" xfId="0"/>
    <xf numFmtId="174" fontId="7" fillId="7" borderId="2" pivotButton="0" quotePrefix="0" xfId="0"/>
    <xf numFmtId="173" fontId="5" fillId="6" borderId="2" pivotButton="0" quotePrefix="0" xfId="0"/>
    <xf numFmtId="0" fontId="4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12" fillId="0" borderId="0" pivotButton="0" quotePrefix="0" xfId="0"/>
    <xf numFmtId="0" fontId="5" fillId="7" borderId="2" pivotButton="0" quotePrefix="0" xfId="0"/>
    <xf numFmtId="175" fontId="7" fillId="0" borderId="2" pivotButton="0" quotePrefix="0" xfId="0"/>
    <xf numFmtId="175" fontId="7" fillId="7" borderId="2" pivotButton="0" quotePrefix="0" xfId="0"/>
    <xf numFmtId="165" fontId="7" fillId="6" borderId="2" pivotButton="0" quotePrefix="0" xfId="0"/>
    <xf numFmtId="173" fontId="7" fillId="6" borderId="2" pivotButton="0" quotePrefix="0" xfId="0"/>
    <xf numFmtId="0" fontId="2" fillId="4" borderId="0" pivotButton="0" quotePrefix="0" xfId="0"/>
    <xf numFmtId="1" fontId="7" fillId="0" borderId="0" pivotButton="0" quotePrefix="0" xfId="0"/>
    <xf numFmtId="176" fontId="7" fillId="0" borderId="0" pivotButton="0" quotePrefix="0" xfId="0"/>
    <xf numFmtId="170" fontId="7" fillId="0" borderId="0" pivotButton="0" quotePrefix="0" xfId="0"/>
    <xf numFmtId="165" fontId="3" fillId="5" borderId="2" pivotButton="0" quotePrefix="0" xfId="0"/>
    <xf numFmtId="1" fontId="5" fillId="7" borderId="2" pivotButton="0" quotePrefix="0" xfId="0"/>
    <xf numFmtId="1" fontId="5" fillId="0" borderId="2" pivotButton="0" quotePrefix="0" xfId="0"/>
    <xf numFmtId="1" fontId="5" fillId="6" borderId="2" pivotButton="0" quotePrefix="0" xfId="0"/>
    <xf numFmtId="0" fontId="14" fillId="0" borderId="0" pivotButton="0" quotePrefix="0" xfId="0"/>
    <xf numFmtId="0" fontId="1" fillId="8" borderId="0" pivotButton="0" quotePrefix="0" xfId="0"/>
    <xf numFmtId="0" fontId="15" fillId="9" borderId="0" applyAlignment="1" pivotButton="0" quotePrefix="0" xfId="0">
      <alignment vertical="center" indent="1"/>
    </xf>
    <xf numFmtId="0" fontId="0" fillId="9" borderId="0" pivotButton="0" quotePrefix="0" xfId="0"/>
    <xf numFmtId="0" fontId="15" fillId="4" borderId="0" applyAlignment="1" pivotButton="0" quotePrefix="0" xfId="0">
      <alignment vertical="center" indent="1"/>
    </xf>
    <xf numFmtId="0" fontId="0" fillId="4" borderId="0" pivotButton="0" quotePrefix="0" xfId="0"/>
    <xf numFmtId="0" fontId="16" fillId="3" borderId="7" applyAlignment="1" pivotButton="0" quotePrefix="0" xfId="0">
      <alignment vertical="center" shrinkToFit="1" indent="1"/>
    </xf>
    <xf numFmtId="167" fontId="13" fillId="5" borderId="8" applyAlignment="1" pivotButton="0" quotePrefix="0" xfId="0">
      <alignment horizontal="right" vertical="center" shrinkToFit="1" indent="1"/>
    </xf>
    <xf numFmtId="0" fontId="21" fillId="7" borderId="1" applyAlignment="1" pivotButton="0" quotePrefix="0" xfId="0">
      <alignment horizontal="center" vertical="center"/>
    </xf>
    <xf numFmtId="0" fontId="13" fillId="5" borderId="8" applyAlignment="1" pivotButton="0" quotePrefix="0" xfId="0">
      <alignment horizontal="left" vertical="center" shrinkToFit="1" indent="1"/>
    </xf>
    <xf numFmtId="167" fontId="22" fillId="3" borderId="13" applyAlignment="1" pivotButton="0" quotePrefix="0" xfId="0">
      <alignment horizontal="right"/>
    </xf>
    <xf numFmtId="0" fontId="23" fillId="3" borderId="13" applyAlignment="1" pivotButton="0" quotePrefix="0" xfId="0">
      <alignment horizontal="center"/>
    </xf>
    <xf numFmtId="0" fontId="22" fillId="3" borderId="13" applyAlignment="1" pivotButton="0" quotePrefix="0" xfId="0">
      <alignment horizontal="center"/>
    </xf>
    <xf numFmtId="168" fontId="22" fillId="3" borderId="13" applyAlignment="1" pivotButton="0" quotePrefix="0" xfId="0">
      <alignment horizontal="right"/>
    </xf>
    <xf numFmtId="164" fontId="22" fillId="3" borderId="13" applyAlignment="1" pivotButton="0" quotePrefix="0" xfId="0">
      <alignment horizontal="right"/>
    </xf>
    <xf numFmtId="168" fontId="13" fillId="5" borderId="8" applyAlignment="1" pivotButton="0" quotePrefix="0" xfId="0">
      <alignment horizontal="right" vertical="center" shrinkToFit="1" indent="1"/>
    </xf>
    <xf numFmtId="169" fontId="13" fillId="5" borderId="8" applyAlignment="1" pivotButton="0" quotePrefix="0" xfId="0">
      <alignment horizontal="right" vertical="center" shrinkToFit="1" indent="1"/>
    </xf>
    <xf numFmtId="164" fontId="13" fillId="5" borderId="8" applyAlignment="1" pivotButton="0" quotePrefix="0" xfId="0">
      <alignment horizontal="right" vertical="center" shrinkToFit="1" indent="1"/>
    </xf>
    <xf numFmtId="0" fontId="17" fillId="3" borderId="7" applyAlignment="1" pivotButton="0" quotePrefix="0" xfId="0">
      <alignment vertical="bottom" indent="1"/>
    </xf>
    <xf numFmtId="168" fontId="18" fillId="8" borderId="10" applyAlignment="1" pivotButton="0" quotePrefix="0" xfId="0">
      <alignment horizontal="right" vertical="center" shrinkToFit="1" indent="1"/>
    </xf>
    <xf numFmtId="0" fontId="18" fillId="8" borderId="10" applyAlignment="1" pivotButton="0" quotePrefix="0" xfId="0">
      <alignment horizontal="left" vertical="center" shrinkToFit="1" indent="1"/>
    </xf>
    <xf numFmtId="164" fontId="19" fillId="8" borderId="10" applyAlignment="1" pivotButton="0" quotePrefix="0" xfId="0">
      <alignment horizontal="right" vertical="center" shrinkToFit="1" indent="1"/>
    </xf>
    <xf numFmtId="164" fontId="18" fillId="8" borderId="10" applyAlignment="1" pivotButton="0" quotePrefix="0" xfId="0">
      <alignment horizontal="right" vertical="center" shrinkToFit="1" indent="1"/>
    </xf>
    <xf numFmtId="0" fontId="20" fillId="3" borderId="11" applyAlignment="1" pivotButton="0" quotePrefix="0" xfId="0">
      <alignment vertical="center" wrapText="1" indent="1"/>
    </xf>
    <xf numFmtId="0" fontId="3" fillId="5" borderId="2" pivotButton="0" quotePrefix="0" xfId="0"/>
    <xf numFmtId="167" fontId="3" fillId="0" borderId="2" pivotButton="0" quotePrefix="0" xfId="0"/>
    <xf numFmtId="0" fontId="3" fillId="0" borderId="2" pivotButton="0" quotePrefix="0" xfId="0"/>
    <xf numFmtId="168" fontId="3" fillId="0" borderId="2" pivotButton="0" quotePrefix="0" xfId="0"/>
    <xf numFmtId="164" fontId="3" fillId="0" borderId="2" pivotButton="0" quotePrefix="0" xfId="0"/>
    <xf numFmtId="167" fontId="3" fillId="7" borderId="2" pivotButton="0" quotePrefix="0" xfId="0"/>
    <xf numFmtId="0" fontId="3" fillId="7" borderId="2" pivotButton="0" quotePrefix="0" xfId="0"/>
    <xf numFmtId="168" fontId="3" fillId="7" borderId="2" pivotButton="0" quotePrefix="0" xfId="0"/>
    <xf numFmtId="164" fontId="3" fillId="7" borderId="2" pivotButton="0" quotePrefix="0" xfId="0"/>
    <xf numFmtId="169" fontId="3" fillId="0" borderId="2" pivotButton="0" quotePrefix="0" xfId="0"/>
    <xf numFmtId="169" fontId="3" fillId="7" borderId="2" pivotButton="0" quotePrefix="0" xfId="0"/>
    <xf numFmtId="170" fontId="3" fillId="5" borderId="2" pivotButton="0" quotePrefix="0" xfId="0"/>
    <xf numFmtId="171" fontId="3" fillId="5" borderId="2" pivotButton="0" quotePrefix="0" xfId="0"/>
    <xf numFmtId="0" fontId="9" fillId="0" borderId="2" applyAlignment="1" pivotButton="0" quotePrefix="0" xfId="0">
      <alignment vertical="center" indent="1"/>
    </xf>
    <xf numFmtId="0" fontId="5" fillId="0" borderId="2" applyAlignment="1" pivotButton="0" quotePrefix="0" xfId="0">
      <alignment vertical="center" indent="1"/>
    </xf>
    <xf numFmtId="0" fontId="7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indent="1"/>
    </xf>
    <xf numFmtId="177" fontId="0" fillId="0" borderId="0" pivotButton="0" quotePrefix="0" xfId="0"/>
    <xf numFmtId="178" fontId="0" fillId="0" borderId="0" pivotButton="0" quotePrefix="0" xfId="0"/>
    <xf numFmtId="179" fontId="0" fillId="0" borderId="0" pivotButton="0" quotePrefix="0" xfId="0"/>
    <xf numFmtId="17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13">
    <dxf>
      <font>
        <name val="Segoe UI"/>
        <b val="1"/>
        <color rgb="00FCA5A5"/>
      </font>
    </dxf>
    <dxf>
      <font>
        <name val="Segoe UI"/>
        <b val="1"/>
        <color rgb="00FCD34D"/>
      </font>
    </dxf>
    <dxf>
      <font>
        <name val="Segoe UI"/>
        <color rgb="00DC2626"/>
      </font>
    </dxf>
    <dxf>
      <font>
        <name val="Segoe UI"/>
        <color rgb="0015803D"/>
      </font>
    </dxf>
    <dxf>
      <font>
        <name val="Segoe UI"/>
        <b val="1"/>
        <color rgb="00DC2626"/>
        <sz val="18"/>
      </font>
    </dxf>
    <dxf>
      <font>
        <name val="Segoe UI"/>
        <b val="1"/>
        <color rgb="0015803D"/>
        <sz val="18"/>
      </font>
    </dxf>
    <dxf>
      <font>
        <name val="Segoe UI"/>
        <b val="1"/>
        <color rgb="00DC2626"/>
        <sz val="9"/>
      </font>
    </dxf>
    <dxf>
      <font>
        <name val="Segoe UI"/>
        <b val="1"/>
        <color rgb="0015803D"/>
        <sz val="9"/>
      </font>
    </dxf>
    <dxf>
      <font>
        <name val="Segoe UI"/>
        <color rgb="0016A34A"/>
      </font>
    </dxf>
    <dxf>
      <font>
        <name val="Segoe UI"/>
        <color rgb="00CBD5E1"/>
      </font>
    </dxf>
    <dxf>
      <font>
        <name val="Segoe UI"/>
        <b val="1"/>
        <color rgb="00DC2626"/>
      </font>
    </dxf>
    <dxf>
      <font>
        <name val="Segoe UI"/>
        <b val="1"/>
        <color rgb="0016A34A"/>
      </font>
    </dxf>
    <dxf>
      <font>
        <name val="Segoe UI"/>
        <b val="1"/>
        <color rgb="00D977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F172A"/>
                </a:solidFill>
              </a:defRPr>
            </a:pPr>
            <a:r>
              <a:rPr sz="1100" b="1">
                <a:solidFill>
                  <a:srgbClr val="0F172A"/>
                </a:solidFill>
              </a:rPr>
              <a:t>Proventos por mês (R$)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'Base Painel'!B1</f>
            </strRef>
          </tx>
          <spPr>
            <a:solidFill xmlns:a="http://schemas.openxmlformats.org/drawingml/2006/main">
              <a:srgbClr val="2E6DB4"/>
            </a:solidFill>
            <a:ln xmlns:a="http://schemas.openxmlformats.org/drawingml/2006/main">
              <a:solidFill>
                <a:srgbClr val="2E6DB4"/>
              </a:solidFill>
              <a:prstDash val="solid"/>
            </a:ln>
          </spPr>
          <invertIfNegative val="0"/>
          <cat>
            <numRef>
              <f>'Base Painel'!$A$2:$A$13</f>
            </numRef>
          </cat>
          <val>
            <numRef>
              <f>'Base Painel'!$B$2:$B$13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334155"/>
                  </a:solidFill>
                </a:defRPr>
              </a:pPr>
              <a:r>
                <a:t/>
              </a:r>
              <a:endParaRPr sz="800" b="0">
                <a:solidFill>
                  <a:srgbClr val="334155"/>
                </a:solidFill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748B"/>
                </a:solidFill>
              </a:defRPr>
            </a:pPr>
            <a:r>
              <a:t/>
            </a:r>
            <a:endParaRPr sz="800" b="0">
              <a:solidFill>
                <a:srgbClr val="64748B"/>
              </a:solidFill>
            </a:endParaRPr>
          </a:p>
        </tx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6"/>
              </a:solidFill>
              <a:prstDash val="solid"/>
            </a:ln>
          </spPr>
        </majorGridlines>
        <numFmt formatCode="&quot;R$ &quot;#,##0,&quot;k&quot;;-&quot;R$ &quot;#,##0,&quot;k&quot;;&quot;R$ 0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748B"/>
                </a:solidFill>
              </a:defRPr>
            </a:pPr>
            <a:r>
              <a:t/>
            </a:r>
            <a:endParaRPr sz="800" b="0">
              <a:solidFill>
                <a:srgbClr val="64748B"/>
              </a:solidFill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E2E8F0"/>
      </a:solidFill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F172A"/>
                </a:solidFill>
              </a:defRPr>
            </a:pPr>
            <a:r>
              <a:rPr sz="1100" b="1">
                <a:solidFill>
                  <a:srgbClr val="0F172A"/>
                </a:solidFill>
              </a:rPr>
              <a:t>Posição por tipo (R$)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'Base Painel'!B16</f>
            </strRef>
          </tx>
          <spPr>
            <a:solidFill xmlns:a="http://schemas.openxmlformats.org/drawingml/2006/main">
              <a:srgbClr val="D9772B"/>
            </a:solidFill>
            <a:ln xmlns:a="http://schemas.openxmlformats.org/drawingml/2006/main">
              <a:solidFill>
                <a:srgbClr val="D9772B"/>
              </a:solidFill>
              <a:prstDash val="solid"/>
            </a:ln>
          </spPr>
          <invertIfNegative val="0"/>
          <cat>
            <numRef>
              <f>'Base Painel'!$A$17:$A$18</f>
            </numRef>
          </cat>
          <val>
            <numRef>
              <f>'Base Painel'!$B$17:$B$18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334155"/>
                  </a:solidFill>
                </a:defRPr>
              </a:pPr>
              <a:r>
                <a:t/>
              </a:r>
              <a:endParaRPr sz="800" b="0">
                <a:solidFill>
                  <a:srgbClr val="334155"/>
                </a:solidFill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748B"/>
                </a:solidFill>
              </a:defRPr>
            </a:pPr>
            <a:r>
              <a:t/>
            </a:r>
            <a:endParaRPr sz="800" b="0">
              <a:solidFill>
                <a:srgbClr val="64748B"/>
              </a:solidFill>
            </a:endParaRPr>
          </a:p>
        </tx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6"/>
              </a:solidFill>
              <a:prstDash val="solid"/>
            </a:ln>
          </spPr>
        </majorGridlines>
        <numFmt formatCode="&quot;R$ &quot;#,##0,&quot;k&quot;;-&quot;R$ &quot;#,##0,&quot;k&quot;;&quot;R$ 0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748B"/>
                </a:solidFill>
              </a:defRPr>
            </a:pPr>
            <a:r>
              <a:t/>
            </a:r>
            <a:endParaRPr sz="800" b="0">
              <a:solidFill>
                <a:srgbClr val="64748B"/>
              </a:solidFill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E2E8F0"/>
      </a:solidFill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F172A"/>
                </a:solidFill>
              </a:defRPr>
            </a:pPr>
            <a:r>
              <a:rPr sz="1100" b="1">
                <a:solidFill>
                  <a:srgbClr val="0F172A"/>
                </a:solidFill>
              </a:rPr>
              <a:t>Posição por ativo (R$)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'Base Painel'!H4</f>
            </strRef>
          </tx>
          <spPr>
            <a:solidFill xmlns:a="http://schemas.openxmlformats.org/drawingml/2006/main">
              <a:srgbClr val="2E6DB4"/>
            </a:solidFill>
            <a:ln xmlns:a="http://schemas.openxmlformats.org/drawingml/2006/main">
              <a:solidFill>
                <a:srgbClr val="2E6DB4"/>
              </a:solidFill>
              <a:prstDash val="solid"/>
            </a:ln>
          </spPr>
          <invertIfNegative val="0"/>
          <cat>
            <numRef>
              <f>'Base Painel'!$G$5:$G$20</f>
            </numRef>
          </cat>
          <val>
            <numRef>
              <f>'Base Painel'!$H$5:$H$20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334155"/>
                  </a:solidFill>
                </a:defRPr>
              </a:pPr>
              <a:r>
                <a:t/>
              </a:r>
              <a:endParaRPr sz="800" b="0">
                <a:solidFill>
                  <a:srgbClr val="334155"/>
                </a:solidFill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748B"/>
                </a:solidFill>
              </a:defRPr>
            </a:pPr>
            <a:r>
              <a:t/>
            </a:r>
            <a:endParaRPr sz="800" b="0">
              <a:solidFill>
                <a:srgbClr val="64748B"/>
              </a:solidFill>
            </a:endParaRPr>
          </a:p>
        </tx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6"/>
              </a:solidFill>
              <a:prstDash val="solid"/>
            </a:ln>
          </spPr>
        </majorGridlines>
        <numFmt formatCode="&quot;R$ &quot;#,##0,&quot;k&quot;;-&quot;R$ &quot;#,##0,&quot;k&quot;;&quot;R$ 0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748B"/>
                </a:solidFill>
              </a:defRPr>
            </a:pPr>
            <a:r>
              <a:t/>
            </a:r>
            <a:endParaRPr sz="800" b="0">
              <a:solidFill>
                <a:srgbClr val="64748B"/>
              </a:solidFill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E2E8F0"/>
      </a:solidFill>
      <a:prstDash val="solid"/>
    </a:ln>
  </spPr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F172A"/>
                </a:solidFill>
              </a:defRPr>
            </a:pPr>
            <a:r>
              <a:rPr sz="1100" b="1">
                <a:solidFill>
                  <a:srgbClr val="0F172A"/>
                </a:solidFill>
              </a:rPr>
              <a:t>Patrimônio por classe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'Painel'!N79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6DB4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9772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F9488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4A3B8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14213D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'Painel'!$I$80:$I$84</f>
            </numRef>
          </cat>
          <val>
            <numRef>
              <f>'Painel'!$N$80:$N$84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FFFFF"/>
                  </a:solidFill>
                </a:defRPr>
              </a:pPr>
              <a:r>
                <a:t/>
              </a:r>
              <a:endParaRPr sz="800" b="1">
                <a:solidFill>
                  <a:srgbClr val="FFFFFF"/>
                </a:solidFill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  <holeSize val="60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64748B"/>
              </a:solidFill>
            </a:defRPr>
          </a:pPr>
          <a:r>
            <a:t/>
          </a:r>
          <a:endParaRPr sz="800" b="0">
            <a:solidFill>
              <a:srgbClr val="64748B"/>
            </a:solidFill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E2E8F0"/>
      </a:solidFill>
      <a:prstDash val="solid"/>
    </a:ln>
  </spPr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F172A"/>
                </a:solidFill>
              </a:defRPr>
            </a:pPr>
            <a:r>
              <a:rPr sz="1100" b="1">
                <a:solidFill>
                  <a:srgbClr val="0F172A"/>
                </a:solidFill>
              </a:rPr>
              <a:t>Progresso da meta por ativo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'Base Painel'!V4</f>
            </strRef>
          </tx>
          <spPr>
            <a:solidFill xmlns:a="http://schemas.openxmlformats.org/drawingml/2006/main">
              <a:srgbClr val="D9772B"/>
            </a:solidFill>
            <a:ln xmlns:a="http://schemas.openxmlformats.org/drawingml/2006/main">
              <a:solidFill>
                <a:srgbClr val="D9772B"/>
              </a:solidFill>
              <a:prstDash val="solid"/>
            </a:ln>
          </spPr>
          <invertIfNegative val="0"/>
          <cat>
            <numRef>
              <f>'Base Painel'!$U$5:$U$20</f>
            </numRef>
          </cat>
          <val>
            <numRef>
              <f>'Base Painel'!$V$5:$V$20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334155"/>
                  </a:solidFill>
                </a:defRPr>
              </a:pPr>
              <a:r>
                <a:t/>
              </a:r>
              <a:endParaRPr sz="800" b="0">
                <a:solidFill>
                  <a:srgbClr val="334155"/>
                </a:solidFill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748B"/>
                </a:solidFill>
              </a:defRPr>
            </a:pPr>
            <a:r>
              <a:t/>
            </a:r>
            <a:endParaRPr sz="800" b="0">
              <a:solidFill>
                <a:srgbClr val="64748B"/>
              </a:solidFill>
            </a:endParaRPr>
          </a:p>
        </tx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6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748B"/>
                </a:solidFill>
              </a:defRPr>
            </a:pPr>
            <a:r>
              <a:t/>
            </a:r>
            <a:endParaRPr sz="800" b="0">
              <a:solidFill>
                <a:srgbClr val="64748B"/>
              </a:solidFill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E2E8F0"/>
      </a:solidFill>
      <a:prstDash val="solid"/>
    </a:ln>
  </spPr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F172A"/>
                </a:solidFill>
              </a:defRPr>
            </a:pPr>
            <a:r>
              <a:rPr sz="1100" b="1">
                <a:solidFill>
                  <a:srgbClr val="0F172A"/>
                </a:solidFill>
              </a:rPr>
              <a:t>Proventos por ativo (R$)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'Base Painel'!Z4</f>
            </strRef>
          </tx>
          <spPr>
            <a:solidFill xmlns:a="http://schemas.openxmlformats.org/drawingml/2006/main">
              <a:srgbClr val="2E6DB4"/>
            </a:solidFill>
            <a:ln xmlns:a="http://schemas.openxmlformats.org/drawingml/2006/main">
              <a:solidFill>
                <a:srgbClr val="2E6DB4"/>
              </a:solidFill>
              <a:prstDash val="solid"/>
            </a:ln>
          </spPr>
          <invertIfNegative val="0"/>
          <cat>
            <numRef>
              <f>'Base Painel'!$Y$5:$Y$20</f>
            </numRef>
          </cat>
          <val>
            <numRef>
              <f>'Base Painel'!$Z$5:$Z$20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334155"/>
                  </a:solidFill>
                </a:defRPr>
              </a:pPr>
              <a:r>
                <a:t/>
              </a:r>
              <a:endParaRPr sz="800" b="0">
                <a:solidFill>
                  <a:srgbClr val="334155"/>
                </a:solidFill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748B"/>
                </a:solidFill>
              </a:defRPr>
            </a:pPr>
            <a:r>
              <a:t/>
            </a:r>
            <a:endParaRPr sz="800" b="0">
              <a:solidFill>
                <a:srgbClr val="64748B"/>
              </a:solidFill>
            </a:endParaRPr>
          </a:p>
        </tx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6"/>
              </a:solidFill>
              <a:prstDash val="solid"/>
            </a:ln>
          </spPr>
        </majorGridlines>
        <numFmt formatCode="&quot;R$ &quot;#,##0,&quot;k&quot;;-&quot;R$ &quot;#,##0,&quot;k&quot;;&quot;R$ 0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748B"/>
                </a:solidFill>
              </a:defRPr>
            </a:pPr>
            <a:r>
              <a:t/>
            </a:r>
            <a:endParaRPr sz="800" b="0">
              <a:solidFill>
                <a:srgbClr val="64748B"/>
              </a:solidFill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E2E8F0"/>
      </a:solidFill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Carlo: faixa de patrimônio (P5, mediana, P95) x CDI</a:t>
            </a:r>
          </a:p>
        </rich>
      </tx>
    </title>
    <plotArea>
      <lineChart>
        <grouping val="standard"/>
        <ser>
          <idx val="0"/>
          <order val="0"/>
          <tx>
            <strRef>
              <f>'Modelos'!B68</f>
            </strRef>
          </tx>
          <spPr>
            <a:ln xmlns:a="http://schemas.openxmlformats.org/drawingml/2006/main" w="28000">
              <a:solidFill>
                <a:srgbClr val="CBD5E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'Modelos'!$A$69:$A$78</f>
            </numRef>
          </cat>
          <val>
            <numRef>
              <f>'Modelos'!$B$69:$B$78</f>
            </numRef>
          </val>
        </ser>
        <ser>
          <idx val="1"/>
          <order val="1"/>
          <tx>
            <strRef>
              <f>'Modelos'!D68</f>
            </strRef>
          </tx>
          <spPr>
            <a:ln xmlns:a="http://schemas.openxmlformats.org/drawingml/2006/main" w="28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'Modelos'!$A$69:$A$78</f>
            </numRef>
          </cat>
          <val>
            <numRef>
              <f>'Modelos'!$D$69:$D$78</f>
            </numRef>
          </val>
        </ser>
        <ser>
          <idx val="2"/>
          <order val="2"/>
          <tx>
            <strRef>
              <f>'Modelos'!F68</f>
            </strRef>
          </tx>
          <spPr>
            <a:ln xmlns:a="http://schemas.openxmlformats.org/drawingml/2006/main" w="28000">
              <a:solidFill>
                <a:srgbClr val="CBD5E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'Modelos'!$A$69:$A$78</f>
            </numRef>
          </cat>
          <val>
            <numRef>
              <f>'Modelos'!$F$69:$F$78</f>
            </numRef>
          </val>
        </ser>
        <ser>
          <idx val="3"/>
          <order val="3"/>
          <tx>
            <strRef>
              <f>'Modelos'!G68</f>
            </strRef>
          </tx>
          <spPr>
            <a:ln xmlns:a="http://schemas.openxmlformats.org/drawingml/2006/main" w="28000">
              <a:solidFill>
                <a:srgbClr val="D9770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'Modelos'!$A$69:$A$78</f>
            </numRef>
          </cat>
          <val>
            <numRef>
              <f>'Modelos'!$G$69:$G$78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R$ &quot;#,##0,&quot;k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Patrimônio projetado (ações + FIIs)</a:t>
            </a:r>
          </a:p>
        </rich>
      </tx>
    </title>
    <plotArea>
      <lineChart>
        <grouping val="standard"/>
        <ser>
          <idx val="0"/>
          <order val="0"/>
          <tx>
            <strRef>
              <f>'Projeção'!B16</f>
            </strRef>
          </tx>
          <spPr>
            <a:ln xmlns:a="http://schemas.openxmlformats.org/drawingml/2006/main" w="28000">
              <a:solidFill>
                <a:srgbClr val="CBD5E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'Projeção'!$A$17:$A$26</f>
            </numRef>
          </cat>
          <val>
            <numRef>
              <f>'Projeção'!$B$17:$B$26</f>
            </numRef>
          </val>
          <smooth val="0"/>
        </ser>
        <ser>
          <idx val="1"/>
          <order val="1"/>
          <tx>
            <strRef>
              <f>'Projeção'!C16</f>
            </strRef>
          </tx>
          <spPr>
            <a:ln xmlns:a="http://schemas.openxmlformats.org/drawingml/2006/main" w="28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'Projeção'!$A$17:$A$26</f>
            </numRef>
          </cat>
          <val>
            <numRef>
              <f>'Projeção'!$C$17:$C$26</f>
            </numRef>
          </val>
          <smooth val="0"/>
        </ser>
        <ser>
          <idx val="2"/>
          <order val="2"/>
          <tx>
            <strRef>
              <f>'Projeção'!D16</f>
            </strRef>
          </tx>
          <spPr>
            <a:ln xmlns:a="http://schemas.openxmlformats.org/drawingml/2006/main" w="28000">
              <a:solidFill>
                <a:srgbClr val="1E3A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'Projeção'!$A$17:$A$26</f>
            </numRef>
          </cat>
          <val>
            <numRef>
              <f>'Projeção'!$D$17:$D$26</f>
            </numRef>
          </val>
          <smooth val="0"/>
        </ser>
        <ser>
          <idx val="3"/>
          <order val="3"/>
          <tx>
            <strRef>
              <f>'Projeção'!E16</f>
            </strRef>
          </tx>
          <spPr>
            <a:ln xmlns:a="http://schemas.openxmlformats.org/drawingml/2006/main" w="28000">
              <a:solidFill>
                <a:srgbClr val="D9770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'Projeção'!$A$17:$A$26</f>
            </numRef>
          </cat>
          <val>
            <numRef>
              <f>'Projeção'!$E$17:$E$26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R$ &quot;#,##0,&quot;k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Planilha</author>
  </authors>
  <commentList>
    <comment ref="E4" authorId="0" shapeId="0">
      <text>
        <t>Soma dos proventos pagos por cota nos últimos 12 meses (Yahoo Finance). JCP vem bruto (antes dos 15% de IR). Base da meta de renda.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10</row>
      <rowOff>0</rowOff>
    </from>
    <ext cx="3348000" cy="3770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10</row>
      <rowOff>0</rowOff>
    </from>
    <ext cx="3348000" cy="37708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10</row>
      <rowOff>0</rowOff>
    </from>
    <ext cx="3348000" cy="37708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27</row>
      <rowOff>0</rowOff>
    </from>
    <ext cx="3348000" cy="27675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18</col>
      <colOff>0</colOff>
      <row>27</row>
      <rowOff>0</rowOff>
    </from>
    <ext cx="3348000" cy="27675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28</col>
      <colOff>0</colOff>
      <row>27</row>
      <rowOff>0</rowOff>
    </from>
    <ext cx="3348000" cy="27675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129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arteira" displayName="tCarteira" ref="A4:AC20" headerRowCount="1">
  <autoFilter ref="A4:AC20"/>
  <tableColumns count="29">
    <tableColumn id="1" name="Ticker"/>
    <tableColumn id="2" name="Tipo"/>
    <tableColumn id="3" name="Qtd atual"/>
    <tableColumn id="4" name="Preço médio (R$)"/>
    <tableColumn id="5" name="Valor investido (R$)"/>
    <tableColumn id="6" name="Cotação (R$)"/>
    <tableColumn id="7" name="Posição atual (R$)"/>
    <tableColumn id="8" name="Lucro / prejuízo (R$)"/>
    <tableColumn id="9" name="Valorização"/>
    <tableColumn id="10" name="Proventos recebidos (R$)"/>
    <tableColumn id="11" name="Proventos 12m (R$)"/>
    <tableColumn id="12" name="Retorno total (R$)"/>
    <tableColumn id="13" name="Retorno total %"/>
    <tableColumn id="14" name="Yield on cost"/>
    <tableColumn id="15" name="DY atual"/>
    <tableColumn id="16" name="Peso atual"/>
    <tableColumn id="17" name="Peso ideal"/>
    <tableColumn id="18" name="Desvio do peso"/>
    <tableColumn id="19" name="Aporte p/ peso ideal (R$)"/>
    <tableColumn id="20" name="Provento 12m por cota (R$)"/>
    <tableColumn id="21" name="Provento mensal por cota (R$)"/>
    <tableColumn id="22" name="Renda mensal (R$)"/>
    <tableColumn id="23" name="% da meta"/>
    <tableColumn id="24" name="Cotas p/ meta"/>
    <tableColumn id="25" name="Cotas faltantes"/>
    <tableColumn id="26" name="Aporte p/ meta (R$)"/>
    <tableColumn id="27" name="Meses p/ meta"/>
    <tableColumn id="28" name="Segmento"/>
    <tableColumn id="29" name="No filtro"/>
  </tableColumns>
  <tableStyleInfo name="TableStyleLight1" showRowStripes="0"/>
</table>
</file>

<file path=xl/tables/table2.xml><?xml version="1.0" encoding="utf-8"?>
<table xmlns="http://schemas.openxmlformats.org/spreadsheetml/2006/main" id="2" name="tMeta" displayName="tMeta" ref="A4:U20" headerRowCount="1">
  <autoFilter ref="A4:U20"/>
  <tableColumns count="21">
    <tableColumn id="1" name="Ticker"/>
    <tableColumn id="2" name="Tipo"/>
    <tableColumn id="3" name="Segmento"/>
    <tableColumn id="4" name="Valor da cota (R$)"/>
    <tableColumn id="5" name="Provento mensal por cota (R$)"/>
    <tableColumn id="6" name="Rendimento mensal"/>
    <tableColumn id="7" name="Meta mensal (R$)"/>
    <tableColumn id="8" name="Prazo (meses)"/>
    <tableColumn id="9" name="Cotas necessárias"/>
    <tableColumn id="10" name="Valor total a investir (R$)"/>
    <tableColumn id="11" name="Cotas que você tem"/>
    <tableColumn id="12" name="Preço médio pago (R$)"/>
    <tableColumn id="13" name="Valor investido hoje (R$)"/>
    <tableColumn id="14" name="Renda mensal atual (R$)"/>
    <tableColumn id="15" name="% da meta"/>
    <tableColumn id="16" name="Cotas faltantes"/>
    <tableColumn id="17" name="Valor faltante (R$)"/>
    <tableColumn id="18" name="Cotas por mês"/>
    <tableColumn id="19" name="Aporte mensal no prazo (R$)"/>
    <tableColumn id="20" name="Aporte mensal reinvestindo proventos (R$)"/>
    <tableColumn id="21" name="Data prevista"/>
  </tableColumns>
  <tableStyleInfo name="TableStyleLight1" showRowStripes="0"/>
</table>
</file>

<file path=xl/tables/table3.xml><?xml version="1.0" encoding="utf-8"?>
<table xmlns="http://schemas.openxmlformats.org/spreadsheetml/2006/main" id="3" name="tAtivos" displayName="tAtivos" ref="A4:G20" headerRowCount="1">
  <autoFilter ref="A4:G20"/>
  <tableColumns count="7">
    <tableColumn id="1" name="Ticker"/>
    <tableColumn id="2" name="Tipo"/>
    <tableColumn id="3" name="Segmento"/>
    <tableColumn id="4" name="Cotação (R$)"/>
    <tableColumn id="5" name="Provento 12m por cota (R$)"/>
    <tableColumn id="6" name="Peso ideal"/>
    <tableColumn id="7" name="Atualizado em"/>
  </tableColumns>
  <tableStyleInfo name="TableStyleLight1" showRowStripes="0"/>
</table>
</file>

<file path=xl/tables/table4.xml><?xml version="1.0" encoding="utf-8"?>
<table xmlns="http://schemas.openxmlformats.org/spreadsheetml/2006/main" id="4" name="tLancamentos" displayName="tLancamentos" ref="A4:G71" headerRowCount="1">
  <autoFilter ref="A4:G71"/>
  <tableColumns count="7">
    <tableColumn id="1" name="Data"/>
    <tableColumn id="2" name="Ticker"/>
    <tableColumn id="3" name="Operação"/>
    <tableColumn id="4" name="Quantidade"/>
    <tableColumn id="5" name="Preço (R$)"/>
    <tableColumn id="6" name="Custos (R$)"/>
    <tableColumn id="7" name="Total (R$)"/>
  </tableColumns>
  <tableStyleInfo name="TableStyleLight1" showRowStripes="0"/>
</table>
</file>

<file path=xl/tables/table5.xml><?xml version="1.0" encoding="utf-8"?>
<table xmlns="http://schemas.openxmlformats.org/spreadsheetml/2006/main" id="5" name="tProventos" displayName="tProventos" ref="A4:F254" headerRowCount="1">
  <autoFilter ref="A4:F254"/>
  <tableColumns count="6">
    <tableColumn id="1" name="Data pagamento"/>
    <tableColumn id="2" name="Ticker"/>
    <tableColumn id="3" name="Tipo"/>
    <tableColumn id="4" name="Valor por cota (R$)"/>
    <tableColumn id="5" name="Qtd de cotas"/>
    <tableColumn id="6" name="Total (R$)"/>
  </tableColumns>
  <tableStyleInfo name="TableStyleLight1" showRowStripes="0"/>
</table>
</file>

<file path=xl/tables/table6.xml><?xml version="1.0" encoding="utf-8"?>
<table xmlns="http://schemas.openxmlformats.org/spreadsheetml/2006/main" id="6" name="tVerificar" displayName="tVerificar" ref="A4:C12" headerRowCount="1">
  <autoFilter ref="A4:C12"/>
  <tableColumns count="3">
    <tableColumn id="1" name="Gravidade"/>
    <tableColumn id="2" name="Ativo"/>
    <tableColumn id="3" name="O que foi encontrado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Verificar!A1" TargetMode="External" Id="rId1"/><Relationship Type="http://schemas.openxmlformats.org/officeDocument/2006/relationships/hyperlink" Target="#Cadastro!A1" TargetMode="External" Id="rId2"/><Relationship Type="http://schemas.openxmlformats.org/officeDocument/2006/relationships/hyperlink" Target="#Cadastro!A1" TargetMode="External" Id="rId3"/><Relationship Type="http://schemas.openxmlformats.org/officeDocument/2006/relationships/hyperlink" Target="#Carteira!A1" TargetMode="External" Id="rId4"/><Relationship Type="http://schemas.openxmlformats.org/officeDocument/2006/relationships/hyperlink" Target="#Meta!A1" TargetMode="External" Id="rId5"/><Relationship Type="http://schemas.openxmlformats.org/officeDocument/2006/relationships/hyperlink" Target="#Quant!A1" TargetMode="External" Id="rId6"/><Relationship Type="http://schemas.openxmlformats.org/officeDocument/2006/relationships/hyperlink" Target="#Modelos!A1" TargetMode="External" Id="rId7"/><Relationship Type="http://schemas.openxmlformats.org/officeDocument/2006/relationships/hyperlink" Target="#Proje&#231;&#227;o!A1" TargetMode="External" Id="rId8"/><Relationship Type="http://schemas.openxmlformats.org/officeDocument/2006/relationships/hyperlink" Target="#Premissas!A1" TargetMode="External" Id="rId9"/><Relationship Type="http://schemas.openxmlformats.org/officeDocument/2006/relationships/hyperlink" Target="#Verificar!A1" TargetMode="External" Id="rId10"/><Relationship Type="http://schemas.openxmlformats.org/officeDocument/2006/relationships/drawing" Target="/xl/drawings/drawing1.xml" Id="rId1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AN100"/>
  <sheetViews>
    <sheetView showGridLines="0" showRowColHeader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.5" customWidth="1" min="1" max="1"/>
    <col width="6.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2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2" customWidth="1" min="38" max="38"/>
  </cols>
  <sheetData>
    <row r="1" ht="40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Painel de investimentos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>
        <f>IF(COUNTIF(Verificar!A:A,"ERRO")&gt;0,"⚠  Há erros nos dados — ver Verificar",IF(COUNTIF(Verificar!A:A,"AVISO")&gt;0,"●  "&amp;COUNTIF(Verificar!A:A,"AVISO")&amp;" pontos a conferir","✓  Dados consistentes"))</f>
        <v/>
      </c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0" customHeight="1">
      <c r="A3" s="5" t="n"/>
      <c r="B3" s="6">
        <f>TODAY()</f>
        <v/>
      </c>
      <c r="AL3" s="5" t="n"/>
    </row>
    <row r="4" ht="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24" customHeight="1">
      <c r="A5" s="5" t="n"/>
      <c r="B5" s="7" t="inlineStr">
        <is>
          <t>Filtros</t>
        </is>
      </c>
      <c r="C5" s="8" t="n"/>
      <c r="D5" s="8" t="n"/>
      <c r="E5" s="8" t="n"/>
      <c r="F5" s="8" t="n"/>
      <c r="G5" s="9" t="n"/>
      <c r="H5" s="5" t="n"/>
      <c r="I5" s="10">
        <f>IF(COUNTIF(Carteira!C5:C20,"&gt;0")=0,"✚  Nenhuma ação ou FII na carteira ainda — registre sua primeira compra em ✚ Lançar (clique aqui)","")</f>
        <v/>
      </c>
      <c r="AL5" s="5" t="n"/>
    </row>
    <row r="6" ht="20" customHeight="1">
      <c r="A6" s="5" t="n"/>
      <c r="B6" s="11" t="n"/>
      <c r="C6" s="12" t="n"/>
      <c r="D6" s="12" t="n"/>
      <c r="E6" s="12" t="n"/>
      <c r="F6" s="12" t="n"/>
      <c r="G6" s="13" t="n"/>
      <c r="H6" s="5" t="n"/>
      <c r="I6" s="14" t="inlineStr">
        <is>
          <t>PATRIMÔNIO TOTAL</t>
        </is>
      </c>
      <c r="J6" s="15" t="n"/>
      <c r="K6" s="15" t="n"/>
      <c r="L6" s="16" t="n"/>
      <c r="M6" s="5" t="n"/>
      <c r="N6" s="14" t="inlineStr">
        <is>
          <t>RENDA VARIÁVEL</t>
        </is>
      </c>
      <c r="O6" s="15" t="n"/>
      <c r="P6" s="15" t="n"/>
      <c r="Q6" s="16" t="n"/>
      <c r="R6" s="5" t="n"/>
      <c r="S6" s="14" t="inlineStr">
        <is>
          <t>LUCRO / PREJUÍZO</t>
        </is>
      </c>
      <c r="T6" s="15" t="n"/>
      <c r="U6" s="15" t="n"/>
      <c r="V6" s="16" t="n"/>
      <c r="W6" s="5" t="n"/>
      <c r="X6" s="14" t="inlineStr">
        <is>
          <t>PROVENTOS RECEBIDOS</t>
        </is>
      </c>
      <c r="Y6" s="15" t="n"/>
      <c r="Z6" s="15" t="n"/>
      <c r="AA6" s="16" t="n"/>
      <c r="AB6" s="5" t="n"/>
      <c r="AC6" s="14" t="inlineStr">
        <is>
          <t>MAIOR POSIÇÃO</t>
        </is>
      </c>
      <c r="AD6" s="15" t="n"/>
      <c r="AE6" s="15" t="n"/>
      <c r="AF6" s="16" t="n"/>
      <c r="AG6" s="5" t="n"/>
      <c r="AH6" s="14" t="inlineStr">
        <is>
          <t>MELHOR ATIVO</t>
        </is>
      </c>
      <c r="AI6" s="15" t="n"/>
      <c r="AJ6" s="15" t="n"/>
      <c r="AK6" s="16" t="n"/>
      <c r="AL6" s="5" t="n"/>
    </row>
    <row r="7" ht="32" customHeight="1">
      <c r="A7" s="5" t="n"/>
      <c r="B7" s="17" t="inlineStr">
        <is>
          <t>Tipo de ativo</t>
        </is>
      </c>
      <c r="C7" s="12" t="n"/>
      <c r="D7" s="12" t="n"/>
      <c r="E7" s="12" t="n"/>
      <c r="F7" s="12" t="n"/>
      <c r="G7" s="13" t="n"/>
      <c r="H7" s="5" t="n"/>
      <c r="I7" s="18">
        <f>(Carteira!G21+SUM(OUTRAS_CLASSES))</f>
        <v/>
      </c>
      <c r="L7" s="19" t="n"/>
      <c r="M7" s="5" t="n"/>
      <c r="N7" s="18">
        <f>SUMIFS(Carteira!$G$5:$G$20,Carteira!$AC$5:$AC$20,1)</f>
        <v/>
      </c>
      <c r="Q7" s="19" t="n"/>
      <c r="R7" s="5" t="n"/>
      <c r="S7" s="18">
        <f>SUMIFS(Carteira!$H$5:$H$20,Carteira!$AC$5:$AC$20,1)</f>
        <v/>
      </c>
      <c r="V7" s="19" t="n"/>
      <c r="W7" s="5" t="n"/>
      <c r="X7" s="18">
        <f>SUMIFS(Carteira!$J$5:$J$20,Carteira!$AC$5:$AC$20,1)</f>
        <v/>
      </c>
      <c r="AA7" s="19" t="n"/>
      <c r="AB7" s="5" t="n"/>
      <c r="AC7" s="18">
        <f>IF(SUMIFS(Carteira!$C$5:$C$20,Carteira!$AC$5:$AC$20,1)=0,0,'Base Painel'!H5)</f>
        <v/>
      </c>
      <c r="AF7" s="19" t="n"/>
      <c r="AG7" s="5" t="n"/>
      <c r="AH7" s="20">
        <f>IF(SUMIFS(Carteira!$C$5:$C$20,Carteira!$AC$5:$AC$20,1)=0,"—",'Base Painel'!K5)</f>
        <v/>
      </c>
      <c r="AK7" s="19" t="n"/>
      <c r="AL7" s="5" t="n"/>
    </row>
    <row r="8" ht="18" customHeight="1">
      <c r="A8" s="5" t="n"/>
      <c r="B8" s="11" t="n"/>
      <c r="C8" s="12" t="n"/>
      <c r="D8" s="12" t="n"/>
      <c r="E8" s="12" t="n"/>
      <c r="F8" s="12" t="n"/>
      <c r="G8" s="13" t="n"/>
      <c r="H8" s="5" t="n"/>
      <c r="I8" s="21">
        <f>TEXT(IF((Carteira!G21+SUM(OUTRAS_CLASSES))&gt;0,Carteira!G21/(Carteira!G21+SUM(OUTRAS_CLASSES)),0),"0%")&amp;" em renda variável"</f>
        <v/>
      </c>
      <c r="J8" s="22" t="n"/>
      <c r="K8" s="22" t="n"/>
      <c r="L8" s="23" t="n"/>
      <c r="M8" s="5" t="n"/>
      <c r="N8" s="24">
        <f>SUMIFS(Carteira!$C$5:$C$20,Carteira!$AC$5:$AC$20,1)</f>
        <v/>
      </c>
      <c r="O8" s="22" t="n"/>
      <c r="P8" s="22" t="n"/>
      <c r="Q8" s="23" t="n"/>
      <c r="R8" s="5" t="n"/>
      <c r="S8" s="25">
        <f>IF(SUMIFS(Carteira!$E$5:$E$20,Carteira!$AC$5:$AC$20,1)&gt;0,SUMIFS(Carteira!$H$5:$H$20,Carteira!$AC$5:$AC$20,1)/SUMIFS(Carteira!$E$5:$E$20,Carteira!$AC$5:$AC$20,1),0)</f>
        <v/>
      </c>
      <c r="T8" s="22" t="n"/>
      <c r="U8" s="22" t="n"/>
      <c r="V8" s="23" t="n"/>
      <c r="W8" s="5" t="n"/>
      <c r="X8" s="26">
        <f>SUMIFS(Carteira!$V$5:$V$20,Carteira!$AC$5:$AC$20,1)</f>
        <v/>
      </c>
      <c r="Y8" s="22" t="n"/>
      <c r="Z8" s="22" t="n"/>
      <c r="AA8" s="23" t="n"/>
      <c r="AB8" s="5" t="n"/>
      <c r="AC8" s="21">
        <f>IF(SUMIFS(Carteira!$C$5:$C$20,Carteira!$AC$5:$AC$20,1)=0,"—",'Base Painel'!G5)</f>
        <v/>
      </c>
      <c r="AD8" s="22" t="n"/>
      <c r="AE8" s="22" t="n"/>
      <c r="AF8" s="23" t="n"/>
      <c r="AG8" s="5" t="n"/>
      <c r="AH8" s="27">
        <f>IF(SUMIFS(Carteira!$C$5:$C$20,Carteira!$AC$5:$AC$20,1)=0,"",'Base Painel'!L5)</f>
        <v/>
      </c>
      <c r="AI8" s="22" t="n"/>
      <c r="AJ8" s="22" t="n"/>
      <c r="AK8" s="23" t="n"/>
      <c r="AL8" s="5" t="n"/>
    </row>
    <row r="9">
      <c r="A9" s="5" t="n"/>
      <c r="B9" s="11" t="n"/>
      <c r="C9" s="12" t="n"/>
      <c r="D9" s="12" t="n"/>
      <c r="E9" s="12" t="n"/>
      <c r="F9" s="12" t="n"/>
      <c r="G9" s="13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 ht="22" customHeight="1">
      <c r="A10" s="5" t="n"/>
      <c r="B10" s="28" t="inlineStr">
        <is>
          <t>Selecionado</t>
        </is>
      </c>
      <c r="C10" s="12" t="n"/>
      <c r="D10" s="29" t="inlineStr">
        <is>
          <t>Todos</t>
        </is>
      </c>
      <c r="E10" s="30" t="n"/>
      <c r="F10" s="30" t="n"/>
      <c r="G10" s="31" t="n"/>
      <c r="H10" s="5" t="n"/>
      <c r="I10" s="32" t="inlineStr">
        <is>
          <t>Carteira e proventos</t>
        </is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5" t="n"/>
      <c r="B11" s="11" t="n"/>
      <c r="C11" s="12" t="n"/>
      <c r="D11" s="12" t="n"/>
      <c r="E11" s="12" t="n"/>
      <c r="F11" s="12" t="n"/>
      <c r="G11" s="13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 ht="24" customHeight="1">
      <c r="A12" s="5" t="n"/>
      <c r="B12" s="33" t="inlineStr">
        <is>
          <t>Atalhos</t>
        </is>
      </c>
      <c r="C12" s="12" t="n"/>
      <c r="D12" s="12" t="n"/>
      <c r="E12" s="12" t="n"/>
      <c r="F12" s="12" t="n"/>
      <c r="G12" s="13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 ht="21" customHeight="1">
      <c r="A13" s="5" t="n"/>
      <c r="B13" s="34" t="inlineStr">
        <is>
          <t>✚  Lançar compra ou provento</t>
        </is>
      </c>
      <c r="C13" s="35" t="n"/>
      <c r="D13" s="35" t="n"/>
      <c r="E13" s="35" t="n"/>
      <c r="F13" s="35" t="n"/>
      <c r="G13" s="3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 ht="21" customHeight="1">
      <c r="A14" s="5" t="n"/>
      <c r="B14" s="34" t="inlineStr">
        <is>
          <t>◧  Carteira completa</t>
        </is>
      </c>
      <c r="C14" s="35" t="n"/>
      <c r="D14" s="35" t="n"/>
      <c r="E14" s="35" t="n"/>
      <c r="F14" s="35" t="n"/>
      <c r="G14" s="3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</row>
    <row r="15" ht="21" customHeight="1">
      <c r="A15" s="5" t="n"/>
      <c r="B15" s="34" t="inlineStr">
        <is>
          <t>◎  Meta de renda por ativo</t>
        </is>
      </c>
      <c r="C15" s="35" t="n"/>
      <c r="D15" s="35" t="n"/>
      <c r="E15" s="35" t="n"/>
      <c r="F15" s="35" t="n"/>
      <c r="G15" s="3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 ht="21" customHeight="1">
      <c r="A16" s="5" t="n"/>
      <c r="B16" s="34" t="inlineStr">
        <is>
          <t>∑  Análise quantitativa</t>
        </is>
      </c>
      <c r="C16" s="35" t="n"/>
      <c r="D16" s="35" t="n"/>
      <c r="E16" s="35" t="n"/>
      <c r="F16" s="35" t="n"/>
      <c r="G16" s="3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</row>
    <row r="17" ht="21" customHeight="1">
      <c r="A17" s="5" t="n"/>
      <c r="B17" s="34" t="inlineStr">
        <is>
          <t>λ  Modelos matemáticos</t>
        </is>
      </c>
      <c r="C17" s="35" t="n"/>
      <c r="D17" s="35" t="n"/>
      <c r="E17" s="35" t="n"/>
      <c r="F17" s="35" t="n"/>
      <c r="G17" s="3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 ht="21" customHeight="1">
      <c r="A18" s="5" t="n"/>
      <c r="B18" s="34" t="inlineStr">
        <is>
          <t>↗  Projeção futura</t>
        </is>
      </c>
      <c r="C18" s="35" t="n"/>
      <c r="D18" s="35" t="n"/>
      <c r="E18" s="35" t="n"/>
      <c r="F18" s="35" t="n"/>
      <c r="G18" s="3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21" customHeight="1">
      <c r="A19" s="5" t="n"/>
      <c r="B19" s="34" t="inlineStr">
        <is>
          <t>⚙  Premissas e metas</t>
        </is>
      </c>
      <c r="C19" s="35" t="n"/>
      <c r="D19" s="35" t="n"/>
      <c r="E19" s="35" t="n"/>
      <c r="F19" s="35" t="n"/>
      <c r="G19" s="3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21" customHeight="1">
      <c r="A20" s="5" t="n"/>
      <c r="B20" s="34" t="inlineStr">
        <is>
          <t>⚠  Verificar dados</t>
        </is>
      </c>
      <c r="C20" s="35" t="n"/>
      <c r="D20" s="35" t="n"/>
      <c r="E20" s="35" t="n"/>
      <c r="F20" s="35" t="n"/>
      <c r="G20" s="36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>
      <c r="A21" s="5" t="n"/>
      <c r="B21" s="11" t="n"/>
      <c r="C21" s="12" t="n"/>
      <c r="D21" s="12" t="n"/>
      <c r="E21" s="12" t="n"/>
      <c r="F21" s="12" t="n"/>
      <c r="G21" s="13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</row>
    <row r="22" ht="24" customHeight="1">
      <c r="A22" s="5" t="n"/>
      <c r="B22" s="33" t="inlineStr">
        <is>
          <t>Meta de renda</t>
        </is>
      </c>
      <c r="C22" s="12" t="n"/>
      <c r="D22" s="12" t="n"/>
      <c r="E22" s="12" t="n"/>
      <c r="F22" s="12" t="n"/>
      <c r="G22" s="13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</row>
    <row r="23" ht="28" customHeight="1">
      <c r="A23" s="5" t="n"/>
      <c r="B23" s="37">
        <f>Carteira!W21</f>
        <v/>
      </c>
      <c r="G23" s="19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5" t="n"/>
      <c r="B24" s="38">
        <f>Carteira!W21</f>
        <v/>
      </c>
      <c r="G24" s="19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</row>
    <row r="25">
      <c r="A25" s="5" t="n"/>
      <c r="B25" s="39">
        <f>"Renda de R$ "&amp;FIXED(Carteira!V21,0)&amp;" por mês"</f>
        <v/>
      </c>
      <c r="G25" s="19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>
      <c r="A26" s="5" t="n"/>
      <c r="B26" s="11" t="n"/>
      <c r="C26" s="12" t="n"/>
      <c r="D26" s="12" t="n"/>
      <c r="E26" s="12" t="n"/>
      <c r="F26" s="12" t="n"/>
      <c r="G26" s="13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</row>
    <row r="27" ht="22" customHeight="1">
      <c r="A27" s="5" t="n"/>
      <c r="B27" s="11" t="n"/>
      <c r="C27" s="12" t="n"/>
      <c r="D27" s="12" t="n"/>
      <c r="E27" s="12" t="n"/>
      <c r="F27" s="12" t="n"/>
      <c r="G27" s="13" t="n"/>
      <c r="H27" s="5" t="n"/>
      <c r="I27" s="32" t="inlineStr">
        <is>
          <t>Alocação e meta de renda</t>
        </is>
      </c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</row>
    <row r="28">
      <c r="A28" s="5" t="n"/>
      <c r="B28" s="11" t="n"/>
      <c r="C28" s="12" t="n"/>
      <c r="D28" s="12" t="n"/>
      <c r="E28" s="12" t="n"/>
      <c r="F28" s="12" t="n"/>
      <c r="G28" s="13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>
      <c r="A29" s="5" t="n"/>
      <c r="B29" s="11" t="n"/>
      <c r="C29" s="12" t="n"/>
      <c r="D29" s="12" t="n"/>
      <c r="E29" s="12" t="n"/>
      <c r="F29" s="12" t="n"/>
      <c r="G29" s="13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5" t="n"/>
      <c r="B30" s="11" t="n"/>
      <c r="C30" s="12" t="n"/>
      <c r="D30" s="12" t="n"/>
      <c r="E30" s="12" t="n"/>
      <c r="F30" s="12" t="n"/>
      <c r="G30" s="13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</row>
    <row r="31">
      <c r="A31" s="5" t="n"/>
      <c r="B31" s="11" t="n"/>
      <c r="C31" s="12" t="n"/>
      <c r="D31" s="12" t="n"/>
      <c r="E31" s="12" t="n"/>
      <c r="F31" s="12" t="n"/>
      <c r="G31" s="13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</row>
    <row r="32">
      <c r="A32" s="5" t="n"/>
      <c r="B32" s="11" t="n"/>
      <c r="C32" s="12" t="n"/>
      <c r="D32" s="12" t="n"/>
      <c r="E32" s="12" t="n"/>
      <c r="F32" s="12" t="n"/>
      <c r="G32" s="13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>
      <c r="A33" s="5" t="n"/>
      <c r="B33" s="11" t="n"/>
      <c r="C33" s="12" t="n"/>
      <c r="D33" s="12" t="n"/>
      <c r="E33" s="12" t="n"/>
      <c r="F33" s="12" t="n"/>
      <c r="G33" s="13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>
      <c r="A34" s="5" t="n"/>
      <c r="B34" s="11" t="n"/>
      <c r="C34" s="12" t="n"/>
      <c r="D34" s="12" t="n"/>
      <c r="E34" s="12" t="n"/>
      <c r="F34" s="12" t="n"/>
      <c r="G34" s="13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>
      <c r="A35" s="5" t="n"/>
      <c r="B35" s="11" t="n"/>
      <c r="C35" s="12" t="n"/>
      <c r="D35" s="12" t="n"/>
      <c r="E35" s="12" t="n"/>
      <c r="F35" s="12" t="n"/>
      <c r="G35" s="13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</row>
    <row r="36">
      <c r="A36" s="5" t="n"/>
      <c r="B36" s="11" t="n"/>
      <c r="C36" s="12" t="n"/>
      <c r="D36" s="12" t="n"/>
      <c r="E36" s="12" t="n"/>
      <c r="F36" s="12" t="n"/>
      <c r="G36" s="13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>
      <c r="A37" s="5" t="n"/>
      <c r="B37" s="11" t="n"/>
      <c r="C37" s="12" t="n"/>
      <c r="D37" s="12" t="n"/>
      <c r="E37" s="12" t="n"/>
      <c r="F37" s="12" t="n"/>
      <c r="G37" s="13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5" t="n"/>
      <c r="B38" s="11" t="n"/>
      <c r="C38" s="12" t="n"/>
      <c r="D38" s="12" t="n"/>
      <c r="E38" s="12" t="n"/>
      <c r="F38" s="12" t="n"/>
      <c r="G38" s="13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</row>
    <row r="39">
      <c r="A39" s="5" t="n"/>
      <c r="B39" s="11" t="n"/>
      <c r="C39" s="12" t="n"/>
      <c r="D39" s="12" t="n"/>
      <c r="E39" s="12" t="n"/>
      <c r="F39" s="12" t="n"/>
      <c r="G39" s="13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</row>
    <row r="40">
      <c r="A40" s="5" t="n"/>
      <c r="B40" s="11" t="n"/>
      <c r="C40" s="12" t="n"/>
      <c r="D40" s="12" t="n"/>
      <c r="E40" s="12" t="n"/>
      <c r="F40" s="12" t="n"/>
      <c r="G40" s="13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</row>
    <row r="41">
      <c r="A41" s="5" t="n"/>
      <c r="B41" s="11" t="n"/>
      <c r="C41" s="12" t="n"/>
      <c r="D41" s="12" t="n"/>
      <c r="E41" s="12" t="n"/>
      <c r="F41" s="12" t="n"/>
      <c r="G41" s="13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</row>
    <row r="42">
      <c r="A42" s="5" t="n"/>
      <c r="B42" s="11" t="n"/>
      <c r="C42" s="12" t="n"/>
      <c r="D42" s="12" t="n"/>
      <c r="E42" s="12" t="n"/>
      <c r="F42" s="12" t="n"/>
      <c r="G42" s="13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</row>
    <row r="43">
      <c r="A43" s="5" t="n"/>
      <c r="B43" s="11" t="n"/>
      <c r="C43" s="12" t="n"/>
      <c r="D43" s="12" t="n"/>
      <c r="E43" s="12" t="n"/>
      <c r="F43" s="12" t="n"/>
      <c r="G43" s="13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 ht="22" customHeight="1">
      <c r="A44" s="5" t="n"/>
      <c r="B44" s="11" t="n"/>
      <c r="C44" s="12" t="n"/>
      <c r="D44" s="12" t="n"/>
      <c r="E44" s="12" t="n"/>
      <c r="F44" s="12" t="n"/>
      <c r="G44" s="13" t="n"/>
      <c r="H44" s="5" t="n"/>
      <c r="I44" s="32" t="inlineStr">
        <is>
          <t>Meta de renda</t>
        </is>
      </c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40" t="inlineStr">
        <is>
          <t>meta e prazo de cada ativo: aba Meta (padrão nas Premissas)</t>
        </is>
      </c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</row>
    <row r="45" ht="20" customHeight="1">
      <c r="A45" s="5" t="n"/>
      <c r="B45" s="11" t="n"/>
      <c r="C45" s="12" t="n"/>
      <c r="D45" s="12" t="n"/>
      <c r="E45" s="12" t="n"/>
      <c r="F45" s="12" t="n"/>
      <c r="G45" s="13" t="n"/>
      <c r="H45" s="5" t="n"/>
      <c r="I45" s="14" t="inlineStr">
        <is>
          <t>RENDA MENSAL</t>
        </is>
      </c>
      <c r="J45" s="15" t="n"/>
      <c r="K45" s="15" t="n"/>
      <c r="L45" s="16" t="n"/>
      <c r="M45" s="5" t="n"/>
      <c r="N45" s="14" t="inlineStr">
        <is>
          <t>META MENSAL</t>
        </is>
      </c>
      <c r="O45" s="15" t="n"/>
      <c r="P45" s="15" t="n"/>
      <c r="Q45" s="16" t="n"/>
      <c r="R45" s="5" t="n"/>
      <c r="S45" s="14" t="inlineStr">
        <is>
          <t>PROGRESSO DA META</t>
        </is>
      </c>
      <c r="T45" s="15" t="n"/>
      <c r="U45" s="15" t="n"/>
      <c r="V45" s="16" t="n"/>
      <c r="W45" s="5" t="n"/>
      <c r="X45" s="14" t="inlineStr">
        <is>
          <t>ATIVOS NA META</t>
        </is>
      </c>
      <c r="Y45" s="15" t="n"/>
      <c r="Z45" s="15" t="n"/>
      <c r="AA45" s="16" t="n"/>
      <c r="AB45" s="5" t="n"/>
      <c r="AC45" s="14" t="inlineStr">
        <is>
          <t>APORTE P/ META</t>
        </is>
      </c>
      <c r="AD45" s="15" t="n"/>
      <c r="AE45" s="15" t="n"/>
      <c r="AF45" s="16" t="n"/>
      <c r="AG45" s="5" t="n"/>
      <c r="AH45" s="14" t="inlineStr">
        <is>
          <t>TEMPO ATÉ A META</t>
        </is>
      </c>
      <c r="AI45" s="15" t="n"/>
      <c r="AJ45" s="15" t="n"/>
      <c r="AK45" s="16" t="n"/>
      <c r="AL45" s="5" t="n"/>
    </row>
    <row r="46" ht="32" customHeight="1">
      <c r="A46" s="5" t="n"/>
      <c r="B46" s="11" t="n"/>
      <c r="C46" s="12" t="n"/>
      <c r="D46" s="12" t="n"/>
      <c r="E46" s="12" t="n"/>
      <c r="F46" s="12" t="n"/>
      <c r="G46" s="13" t="n"/>
      <c r="H46" s="5" t="n"/>
      <c r="I46" s="18">
        <f>Carteira!V21</f>
        <v/>
      </c>
      <c r="L46" s="19" t="n"/>
      <c r="M46" s="5" t="n"/>
      <c r="N46" s="18">
        <f>SUM(Meta!G5:G20)</f>
        <v/>
      </c>
      <c r="Q46" s="19" t="n"/>
      <c r="R46" s="5" t="n"/>
      <c r="S46" s="41">
        <f>Carteira!W21</f>
        <v/>
      </c>
      <c r="V46" s="19" t="n"/>
      <c r="W46" s="5" t="n"/>
      <c r="X46" s="20">
        <f>Carteira!X21</f>
        <v/>
      </c>
      <c r="AA46" s="19" t="n"/>
      <c r="AB46" s="5" t="n"/>
      <c r="AC46" s="18">
        <f>Carteira!Z21</f>
        <v/>
      </c>
      <c r="AF46" s="19" t="n"/>
      <c r="AG46" s="5" t="n"/>
      <c r="AH46" s="42">
        <f>Carteira!AA21</f>
        <v/>
      </c>
      <c r="AK46" s="19" t="n"/>
      <c r="AL46" s="5" t="n"/>
    </row>
    <row r="47" ht="18" customHeight="1">
      <c r="A47" s="5" t="n"/>
      <c r="B47" s="43" t="n"/>
      <c r="C47" s="4" t="n"/>
      <c r="D47" s="4" t="n"/>
      <c r="E47" s="4" t="n"/>
      <c r="F47" s="4" t="n"/>
      <c r="G47" s="44" t="n"/>
      <c r="H47" s="5" t="n"/>
      <c r="I47" s="45">
        <f>Carteira!V21*12</f>
        <v/>
      </c>
      <c r="J47" s="22" t="n"/>
      <c r="K47" s="22" t="n"/>
      <c r="L47" s="23" t="n"/>
      <c r="M47" s="5" t="n"/>
      <c r="N47" s="46">
        <f>Meta!S21</f>
        <v/>
      </c>
      <c r="O47" s="22" t="n"/>
      <c r="P47" s="22" t="n"/>
      <c r="Q47" s="23" t="n"/>
      <c r="R47" s="5" t="n"/>
      <c r="S47" s="47">
        <f>IF(SUM(Meta!G5:G20)&gt;0,Carteira!V21/SUM(Meta!G5:G20),0)</f>
        <v/>
      </c>
      <c r="T47" s="22" t="n"/>
      <c r="U47" s="22" t="n"/>
      <c r="V47" s="23" t="n"/>
      <c r="W47" s="5" t="n"/>
      <c r="X47" s="48">
        <f>Carteira!Y21</f>
        <v/>
      </c>
      <c r="Y47" s="22" t="n"/>
      <c r="Z47" s="22" t="n"/>
      <c r="AA47" s="23" t="n"/>
      <c r="AB47" s="5" t="n"/>
      <c r="AC47" s="49">
        <f>APORTE_MENSAL</f>
        <v/>
      </c>
      <c r="AD47" s="22" t="n"/>
      <c r="AE47" s="22" t="n"/>
      <c r="AF47" s="23" t="n"/>
      <c r="AG47" s="5" t="n"/>
      <c r="AH47" s="50">
        <f>IF(APORTE_MENSAL&gt;0,Carteira!Z21/APORTE_MENSAL/12,0)</f>
        <v/>
      </c>
      <c r="AI47" s="22" t="n"/>
      <c r="AJ47" s="22" t="n"/>
      <c r="AK47" s="23" t="n"/>
      <c r="A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</row>
    <row r="49" ht="22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32" t="inlineStr">
        <is>
          <t>Destaques</t>
        </is>
      </c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40" t="inlineStr">
        <is>
          <t>rankings no filtro escolhido</t>
        </is>
      </c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 ht="24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1" t="inlineStr">
        <is>
          <t>Maiores posições</t>
        </is>
      </c>
      <c r="J50" s="15" t="n"/>
      <c r="K50" s="15" t="n"/>
      <c r="L50" s="15" t="n"/>
      <c r="M50" s="15" t="n"/>
      <c r="N50" s="15" t="n"/>
      <c r="O50" s="15" t="n"/>
      <c r="P50" s="15" t="n"/>
      <c r="Q50" s="16" t="n"/>
      <c r="R50" s="5" t="n"/>
      <c r="S50" s="51" t="inlineStr">
        <is>
          <t>Maiores altas</t>
        </is>
      </c>
      <c r="T50" s="15" t="n"/>
      <c r="U50" s="15" t="n"/>
      <c r="V50" s="15" t="n"/>
      <c r="W50" s="15" t="n"/>
      <c r="X50" s="15" t="n"/>
      <c r="Y50" s="15" t="n"/>
      <c r="Z50" s="15" t="n"/>
      <c r="AA50" s="16" t="n"/>
      <c r="AB50" s="5" t="n"/>
      <c r="AC50" s="51" t="inlineStr">
        <is>
          <t>Maiores quedas</t>
        </is>
      </c>
      <c r="AD50" s="15" t="n"/>
      <c r="AE50" s="15" t="n"/>
      <c r="AF50" s="15" t="n"/>
      <c r="AG50" s="15" t="n"/>
      <c r="AH50" s="15" t="n"/>
      <c r="AI50" s="15" t="n"/>
      <c r="AJ50" s="15" t="n"/>
      <c r="AK50" s="16" t="n"/>
      <c r="A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2" t="inlineStr">
        <is>
          <t>#</t>
        </is>
      </c>
      <c r="J51" s="53" t="inlineStr">
        <is>
          <t>ATIVO</t>
        </is>
      </c>
      <c r="K51" s="54" t="n"/>
      <c r="L51" s="55" t="inlineStr">
        <is>
          <t>POSIÇÃO</t>
        </is>
      </c>
      <c r="M51" s="54" t="n"/>
      <c r="N51" s="54" t="n"/>
      <c r="O51" s="56" t="inlineStr">
        <is>
          <t>PARTICIPAÇÃO</t>
        </is>
      </c>
      <c r="P51" s="54" t="n"/>
      <c r="Q51" s="57" t="n"/>
      <c r="R51" s="5" t="n"/>
      <c r="S51" s="52" t="inlineStr">
        <is>
          <t>#</t>
        </is>
      </c>
      <c r="T51" s="53" t="inlineStr">
        <is>
          <t>ATIVO</t>
        </is>
      </c>
      <c r="U51" s="54" t="n"/>
      <c r="V51" s="55" t="inlineStr">
        <is>
          <t>VALORIZAÇÃO</t>
        </is>
      </c>
      <c r="W51" s="54" t="n"/>
      <c r="X51" s="54" t="n"/>
      <c r="Y51" s="56" t="inlineStr">
        <is>
          <t>LUCRO</t>
        </is>
      </c>
      <c r="Z51" s="54" t="n"/>
      <c r="AA51" s="57" t="n"/>
      <c r="AB51" s="5" t="n"/>
      <c r="AC51" s="52" t="inlineStr">
        <is>
          <t>#</t>
        </is>
      </c>
      <c r="AD51" s="53" t="inlineStr">
        <is>
          <t>ATIVO</t>
        </is>
      </c>
      <c r="AE51" s="54" t="n"/>
      <c r="AF51" s="55" t="inlineStr">
        <is>
          <t>VALORIZAÇÃO</t>
        </is>
      </c>
      <c r="AG51" s="54" t="n"/>
      <c r="AH51" s="54" t="n"/>
      <c r="AI51" s="56" t="inlineStr">
        <is>
          <t>LUCRO</t>
        </is>
      </c>
      <c r="AJ51" s="54" t="n"/>
      <c r="AK51" s="57" t="n"/>
      <c r="A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8" t="n">
        <v>1</v>
      </c>
      <c r="J52" s="59">
        <f>IF(SUMIFS(Carteira!$C$5:$C$20,Carteira!$AC$5:$AC$20,1)=0,"",'Base Painel'!G5)</f>
        <v/>
      </c>
      <c r="K52" s="60" t="n"/>
      <c r="L52" s="61">
        <f>IF(SUMIFS(Carteira!$C$5:$C$20,Carteira!$AC$5:$AC$20,1)=0,"",'Base Painel'!H5)</f>
        <v/>
      </c>
      <c r="M52" s="60" t="n"/>
      <c r="N52" s="60" t="n"/>
      <c r="O52" s="62">
        <f>IF(OR(SUMIFS(Carteira!$C$5:$C$20,Carteira!$AC$5:$AC$20,1)=0,Carteira!$G$21=0),"",'Base Painel'!H5/Carteira!$G$21)</f>
        <v/>
      </c>
      <c r="P52" s="60" t="n"/>
      <c r="Q52" s="63" t="n"/>
      <c r="R52" s="5" t="n"/>
      <c r="S52" s="58" t="n">
        <v>1</v>
      </c>
      <c r="T52" s="59">
        <f>IF(SUMIFS(Carteira!$C$5:$C$20,Carteira!$AC$5:$AC$20,1)=0,"",'Base Painel'!K5)</f>
        <v/>
      </c>
      <c r="U52" s="60" t="n"/>
      <c r="V52" s="64">
        <f>IF(SUMIFS(Carteira!$C$5:$C$20,Carteira!$AC$5:$AC$20,1)=0,"",'Base Painel'!L5)</f>
        <v/>
      </c>
      <c r="W52" s="60" t="n"/>
      <c r="X52" s="60" t="n"/>
      <c r="Y52" s="65">
        <f>IF(SUMIFS(Carteira!$C$5:$C$20,Carteira!$AC$5:$AC$20,1)=0,"",'Base Painel'!M5)</f>
        <v/>
      </c>
      <c r="Z52" s="60" t="n"/>
      <c r="AA52" s="63" t="n"/>
      <c r="AB52" s="5" t="n"/>
      <c r="AC52" s="58" t="n">
        <v>1</v>
      </c>
      <c r="AD52" s="59">
        <f>IF(SUMIFS(Carteira!$C$5:$C$20,Carteira!$AC$5:$AC$20,1)=0,"",'Base Painel'!P5)</f>
        <v/>
      </c>
      <c r="AE52" s="60" t="n"/>
      <c r="AF52" s="64">
        <f>IF(SUMIFS(Carteira!$C$5:$C$20,Carteira!$AC$5:$AC$20,1)=0,"",'Base Painel'!Q5)</f>
        <v/>
      </c>
      <c r="AG52" s="60" t="n"/>
      <c r="AH52" s="60" t="n"/>
      <c r="AI52" s="65">
        <f>IF(SUMIFS(Carteira!$C$5:$C$20,Carteira!$AC$5:$AC$20,1)=0,"",'Base Painel'!R5)</f>
        <v/>
      </c>
      <c r="AJ52" s="60" t="n"/>
      <c r="AK52" s="63" t="n"/>
      <c r="A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8" t="n">
        <v>2</v>
      </c>
      <c r="J53" s="59">
        <f>IF(SUMIFS(Carteira!$C$5:$C$20,Carteira!$AC$5:$AC$20,1)=0,"",'Base Painel'!G6)</f>
        <v/>
      </c>
      <c r="K53" s="60" t="n"/>
      <c r="L53" s="61">
        <f>IF(SUMIFS(Carteira!$C$5:$C$20,Carteira!$AC$5:$AC$20,1)=0,"",'Base Painel'!H6)</f>
        <v/>
      </c>
      <c r="M53" s="60" t="n"/>
      <c r="N53" s="60" t="n"/>
      <c r="O53" s="62">
        <f>IF(OR(SUMIFS(Carteira!$C$5:$C$20,Carteira!$AC$5:$AC$20,1)=0,Carteira!$G$21=0),"",'Base Painel'!H6/Carteira!$G$21)</f>
        <v/>
      </c>
      <c r="P53" s="60" t="n"/>
      <c r="Q53" s="63" t="n"/>
      <c r="R53" s="5" t="n"/>
      <c r="S53" s="58" t="n">
        <v>2</v>
      </c>
      <c r="T53" s="59">
        <f>IF(SUMIFS(Carteira!$C$5:$C$20,Carteira!$AC$5:$AC$20,1)=0,"",'Base Painel'!K6)</f>
        <v/>
      </c>
      <c r="U53" s="60" t="n"/>
      <c r="V53" s="64">
        <f>IF(SUMIFS(Carteira!$C$5:$C$20,Carteira!$AC$5:$AC$20,1)=0,"",'Base Painel'!L6)</f>
        <v/>
      </c>
      <c r="W53" s="60" t="n"/>
      <c r="X53" s="60" t="n"/>
      <c r="Y53" s="65">
        <f>IF(SUMIFS(Carteira!$C$5:$C$20,Carteira!$AC$5:$AC$20,1)=0,"",'Base Painel'!M6)</f>
        <v/>
      </c>
      <c r="Z53" s="60" t="n"/>
      <c r="AA53" s="63" t="n"/>
      <c r="AB53" s="5" t="n"/>
      <c r="AC53" s="58" t="n">
        <v>2</v>
      </c>
      <c r="AD53" s="59">
        <f>IF(SUMIFS(Carteira!$C$5:$C$20,Carteira!$AC$5:$AC$20,1)=0,"",'Base Painel'!P6)</f>
        <v/>
      </c>
      <c r="AE53" s="60" t="n"/>
      <c r="AF53" s="64">
        <f>IF(SUMIFS(Carteira!$C$5:$C$20,Carteira!$AC$5:$AC$20,1)=0,"",'Base Painel'!Q6)</f>
        <v/>
      </c>
      <c r="AG53" s="60" t="n"/>
      <c r="AH53" s="60" t="n"/>
      <c r="AI53" s="65">
        <f>IF(SUMIFS(Carteira!$C$5:$C$20,Carteira!$AC$5:$AC$20,1)=0,"",'Base Painel'!R6)</f>
        <v/>
      </c>
      <c r="AJ53" s="60" t="n"/>
      <c r="AK53" s="63" t="n"/>
      <c r="A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8" t="n">
        <v>3</v>
      </c>
      <c r="J54" s="59">
        <f>IF(SUMIFS(Carteira!$C$5:$C$20,Carteira!$AC$5:$AC$20,1)=0,"",'Base Painel'!G7)</f>
        <v/>
      </c>
      <c r="K54" s="60" t="n"/>
      <c r="L54" s="61">
        <f>IF(SUMIFS(Carteira!$C$5:$C$20,Carteira!$AC$5:$AC$20,1)=0,"",'Base Painel'!H7)</f>
        <v/>
      </c>
      <c r="M54" s="60" t="n"/>
      <c r="N54" s="60" t="n"/>
      <c r="O54" s="62">
        <f>IF(OR(SUMIFS(Carteira!$C$5:$C$20,Carteira!$AC$5:$AC$20,1)=0,Carteira!$G$21=0),"",'Base Painel'!H7/Carteira!$G$21)</f>
        <v/>
      </c>
      <c r="P54" s="60" t="n"/>
      <c r="Q54" s="63" t="n"/>
      <c r="R54" s="5" t="n"/>
      <c r="S54" s="58" t="n">
        <v>3</v>
      </c>
      <c r="T54" s="59">
        <f>IF(SUMIFS(Carteira!$C$5:$C$20,Carteira!$AC$5:$AC$20,1)=0,"",'Base Painel'!K7)</f>
        <v/>
      </c>
      <c r="U54" s="60" t="n"/>
      <c r="V54" s="64">
        <f>IF(SUMIFS(Carteira!$C$5:$C$20,Carteira!$AC$5:$AC$20,1)=0,"",'Base Painel'!L7)</f>
        <v/>
      </c>
      <c r="W54" s="60" t="n"/>
      <c r="X54" s="60" t="n"/>
      <c r="Y54" s="65">
        <f>IF(SUMIFS(Carteira!$C$5:$C$20,Carteira!$AC$5:$AC$20,1)=0,"",'Base Painel'!M7)</f>
        <v/>
      </c>
      <c r="Z54" s="60" t="n"/>
      <c r="AA54" s="63" t="n"/>
      <c r="AB54" s="5" t="n"/>
      <c r="AC54" s="58" t="n">
        <v>3</v>
      </c>
      <c r="AD54" s="59">
        <f>IF(SUMIFS(Carteira!$C$5:$C$20,Carteira!$AC$5:$AC$20,1)=0,"",'Base Painel'!P7)</f>
        <v/>
      </c>
      <c r="AE54" s="60" t="n"/>
      <c r="AF54" s="64">
        <f>IF(SUMIFS(Carteira!$C$5:$C$20,Carteira!$AC$5:$AC$20,1)=0,"",'Base Painel'!Q7)</f>
        <v/>
      </c>
      <c r="AG54" s="60" t="n"/>
      <c r="AH54" s="60" t="n"/>
      <c r="AI54" s="65">
        <f>IF(SUMIFS(Carteira!$C$5:$C$20,Carteira!$AC$5:$AC$20,1)=0,"",'Base Painel'!R7)</f>
        <v/>
      </c>
      <c r="AJ54" s="60" t="n"/>
      <c r="AK54" s="63" t="n"/>
      <c r="A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8" t="n">
        <v>4</v>
      </c>
      <c r="J55" s="59">
        <f>IF(SUMIFS(Carteira!$C$5:$C$20,Carteira!$AC$5:$AC$20,1)=0,"",'Base Painel'!G8)</f>
        <v/>
      </c>
      <c r="K55" s="60" t="n"/>
      <c r="L55" s="61">
        <f>IF(SUMIFS(Carteira!$C$5:$C$20,Carteira!$AC$5:$AC$20,1)=0,"",'Base Painel'!H8)</f>
        <v/>
      </c>
      <c r="M55" s="60" t="n"/>
      <c r="N55" s="60" t="n"/>
      <c r="O55" s="62">
        <f>IF(OR(SUMIFS(Carteira!$C$5:$C$20,Carteira!$AC$5:$AC$20,1)=0,Carteira!$G$21=0),"",'Base Painel'!H8/Carteira!$G$21)</f>
        <v/>
      </c>
      <c r="P55" s="60" t="n"/>
      <c r="Q55" s="63" t="n"/>
      <c r="R55" s="5" t="n"/>
      <c r="S55" s="58" t="n">
        <v>4</v>
      </c>
      <c r="T55" s="59">
        <f>IF(SUMIFS(Carteira!$C$5:$C$20,Carteira!$AC$5:$AC$20,1)=0,"",'Base Painel'!K8)</f>
        <v/>
      </c>
      <c r="U55" s="60" t="n"/>
      <c r="V55" s="64">
        <f>IF(SUMIFS(Carteira!$C$5:$C$20,Carteira!$AC$5:$AC$20,1)=0,"",'Base Painel'!L8)</f>
        <v/>
      </c>
      <c r="W55" s="60" t="n"/>
      <c r="X55" s="60" t="n"/>
      <c r="Y55" s="65">
        <f>IF(SUMIFS(Carteira!$C$5:$C$20,Carteira!$AC$5:$AC$20,1)=0,"",'Base Painel'!M8)</f>
        <v/>
      </c>
      <c r="Z55" s="60" t="n"/>
      <c r="AA55" s="63" t="n"/>
      <c r="AB55" s="5" t="n"/>
      <c r="AC55" s="58" t="n">
        <v>4</v>
      </c>
      <c r="AD55" s="59">
        <f>IF(SUMIFS(Carteira!$C$5:$C$20,Carteira!$AC$5:$AC$20,1)=0,"",'Base Painel'!P8)</f>
        <v/>
      </c>
      <c r="AE55" s="60" t="n"/>
      <c r="AF55" s="64">
        <f>IF(SUMIFS(Carteira!$C$5:$C$20,Carteira!$AC$5:$AC$20,1)=0,"",'Base Painel'!Q8)</f>
        <v/>
      </c>
      <c r="AG55" s="60" t="n"/>
      <c r="AH55" s="60" t="n"/>
      <c r="AI55" s="65">
        <f>IF(SUMIFS(Carteira!$C$5:$C$20,Carteira!$AC$5:$AC$20,1)=0,"",'Base Painel'!R8)</f>
        <v/>
      </c>
      <c r="AJ55" s="60" t="n"/>
      <c r="AK55" s="63" t="n"/>
      <c r="A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66" t="n">
        <v>5</v>
      </c>
      <c r="J56" s="67">
        <f>IF(SUMIFS(Carteira!$C$5:$C$20,Carteira!$AC$5:$AC$20,1)=0,"",'Base Painel'!G9)</f>
        <v/>
      </c>
      <c r="K56" s="68" t="n"/>
      <c r="L56" s="69">
        <f>IF(SUMIFS(Carteira!$C$5:$C$20,Carteira!$AC$5:$AC$20,1)=0,"",'Base Painel'!H9)</f>
        <v/>
      </c>
      <c r="M56" s="68" t="n"/>
      <c r="N56" s="68" t="n"/>
      <c r="O56" s="70">
        <f>IF(OR(SUMIFS(Carteira!$C$5:$C$20,Carteira!$AC$5:$AC$20,1)=0,Carteira!$G$21=0),"",'Base Painel'!H9/Carteira!$G$21)</f>
        <v/>
      </c>
      <c r="P56" s="68" t="n"/>
      <c r="Q56" s="71" t="n"/>
      <c r="R56" s="5" t="n"/>
      <c r="S56" s="66" t="n">
        <v>5</v>
      </c>
      <c r="T56" s="67">
        <f>IF(SUMIFS(Carteira!$C$5:$C$20,Carteira!$AC$5:$AC$20,1)=0,"",'Base Painel'!K9)</f>
        <v/>
      </c>
      <c r="U56" s="68" t="n"/>
      <c r="V56" s="72">
        <f>IF(SUMIFS(Carteira!$C$5:$C$20,Carteira!$AC$5:$AC$20,1)=0,"",'Base Painel'!L9)</f>
        <v/>
      </c>
      <c r="W56" s="68" t="n"/>
      <c r="X56" s="68" t="n"/>
      <c r="Y56" s="73">
        <f>IF(SUMIFS(Carteira!$C$5:$C$20,Carteira!$AC$5:$AC$20,1)=0,"",'Base Painel'!M9)</f>
        <v/>
      </c>
      <c r="Z56" s="68" t="n"/>
      <c r="AA56" s="71" t="n"/>
      <c r="AB56" s="5" t="n"/>
      <c r="AC56" s="66" t="n">
        <v>5</v>
      </c>
      <c r="AD56" s="67">
        <f>IF(SUMIFS(Carteira!$C$5:$C$20,Carteira!$AC$5:$AC$20,1)=0,"",'Base Painel'!P9)</f>
        <v/>
      </c>
      <c r="AE56" s="68" t="n"/>
      <c r="AF56" s="72">
        <f>IF(SUMIFS(Carteira!$C$5:$C$20,Carteira!$AC$5:$AC$20,1)=0,"",'Base Painel'!Q9)</f>
        <v/>
      </c>
      <c r="AG56" s="68" t="n"/>
      <c r="AH56" s="68" t="n"/>
      <c r="AI56" s="73">
        <f>IF(SUMIFS(Carteira!$C$5:$C$20,Carteira!$AC$5:$AC$20,1)=0,"",'Base Painel'!R9)</f>
        <v/>
      </c>
      <c r="AJ56" s="68" t="n"/>
      <c r="AK56" s="71" t="n"/>
      <c r="A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32" t="inlineStr">
        <is>
          <t>Alocação por classe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40" t="inlineStr">
        <is>
          <t>valores de outras classes e pesos ideais: aba Premissas</t>
        </is>
      </c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</row>
    <row r="79" ht="22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74" t="inlineStr">
        <is>
          <t>CLASSE</t>
        </is>
      </c>
      <c r="J79" s="75" t="n"/>
      <c r="K79" s="75" t="n"/>
      <c r="L79" s="75" t="n"/>
      <c r="M79" s="75" t="n"/>
      <c r="N79" s="76" t="inlineStr">
        <is>
          <t>VALOR (R$)</t>
        </is>
      </c>
      <c r="O79" s="75" t="n"/>
      <c r="P79" s="75" t="n"/>
      <c r="Q79" s="75" t="n"/>
      <c r="R79" s="75" t="n"/>
      <c r="S79" s="76" t="inlineStr">
        <is>
          <t>PESO ATUAL</t>
        </is>
      </c>
      <c r="T79" s="75" t="n"/>
      <c r="U79" s="75" t="n"/>
      <c r="V79" s="75" t="n"/>
      <c r="W79" s="76" t="inlineStr">
        <is>
          <t>PESO IDEAL</t>
        </is>
      </c>
      <c r="X79" s="75" t="n"/>
      <c r="Y79" s="75" t="n"/>
      <c r="Z79" s="75" t="n"/>
      <c r="AA79" s="76" t="inlineStr">
        <is>
          <t>DESVIO</t>
        </is>
      </c>
      <c r="AB79" s="75" t="n"/>
      <c r="AC79" s="75" t="n"/>
      <c r="AD79" s="75" t="n"/>
      <c r="AE79" s="76" t="inlineStr">
        <is>
          <t>APORTE P/ IDEAL (R$)</t>
        </is>
      </c>
      <c r="AF79" s="75" t="n"/>
      <c r="AG79" s="75" t="n"/>
      <c r="AH79" s="75" t="n"/>
      <c r="AI79" s="75" t="n"/>
      <c r="AJ79" s="75" t="n"/>
      <c r="AK79" s="77" t="n"/>
      <c r="AL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78" t="inlineStr">
        <is>
          <t>Ações</t>
        </is>
      </c>
      <c r="J80" s="60" t="n"/>
      <c r="K80" s="60" t="n"/>
      <c r="L80" s="60" t="n"/>
      <c r="M80" s="60" t="n"/>
      <c r="N80" s="61">
        <f>Carteira!G23</f>
        <v/>
      </c>
      <c r="O80" s="60" t="n"/>
      <c r="P80" s="60" t="n"/>
      <c r="Q80" s="60" t="n"/>
      <c r="R80" s="60" t="n"/>
      <c r="S80" s="79">
        <f>IF($N$85&gt;0,N80/$N$85,0)</f>
        <v/>
      </c>
      <c r="T80" s="60" t="n"/>
      <c r="U80" s="60" t="n"/>
      <c r="V80" s="60" t="n"/>
      <c r="W80" s="79">
        <f>PESO_RV*SUMIFS(Ativos!$F$5:$F$20,Ativos!$B$5:$B$20,"AÇÃO")/Ativos!$F$21</f>
        <v/>
      </c>
      <c r="X80" s="60" t="n"/>
      <c r="Y80" s="60" t="n"/>
      <c r="Z80" s="60" t="n"/>
      <c r="AA80" s="80">
        <f>S80-W80</f>
        <v/>
      </c>
      <c r="AB80" s="60" t="n"/>
      <c r="AC80" s="60" t="n"/>
      <c r="AD80" s="60" t="n"/>
      <c r="AE80" s="65">
        <f>MAX(0,W80*$N$85-N80)</f>
        <v/>
      </c>
      <c r="AF80" s="60" t="n"/>
      <c r="AG80" s="60" t="n"/>
      <c r="AH80" s="60" t="n"/>
      <c r="AI80" s="60" t="n"/>
      <c r="AJ80" s="60" t="n"/>
      <c r="AK80" s="63" t="n"/>
      <c r="AL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78" t="inlineStr">
        <is>
          <t>FIIs</t>
        </is>
      </c>
      <c r="J81" s="60" t="n"/>
      <c r="K81" s="60" t="n"/>
      <c r="L81" s="60" t="n"/>
      <c r="M81" s="60" t="n"/>
      <c r="N81" s="61">
        <f>Carteira!G24</f>
        <v/>
      </c>
      <c r="O81" s="60" t="n"/>
      <c r="P81" s="60" t="n"/>
      <c r="Q81" s="60" t="n"/>
      <c r="R81" s="60" t="n"/>
      <c r="S81" s="79">
        <f>IF($N$85&gt;0,N81/$N$85,0)</f>
        <v/>
      </c>
      <c r="T81" s="60" t="n"/>
      <c r="U81" s="60" t="n"/>
      <c r="V81" s="60" t="n"/>
      <c r="W81" s="79">
        <f>PESO_RV*SUMIFS(Ativos!$F$5:$F$20,Ativos!$B$5:$B$20,"FII")/Ativos!$F$21</f>
        <v/>
      </c>
      <c r="X81" s="60" t="n"/>
      <c r="Y81" s="60" t="n"/>
      <c r="Z81" s="60" t="n"/>
      <c r="AA81" s="80">
        <f>S81-W81</f>
        <v/>
      </c>
      <c r="AB81" s="60" t="n"/>
      <c r="AC81" s="60" t="n"/>
      <c r="AD81" s="60" t="n"/>
      <c r="AE81" s="65">
        <f>MAX(0,W81*$N$85-N81)</f>
        <v/>
      </c>
      <c r="AF81" s="60" t="n"/>
      <c r="AG81" s="60" t="n"/>
      <c r="AH81" s="60" t="n"/>
      <c r="AI81" s="60" t="n"/>
      <c r="AJ81" s="60" t="n"/>
      <c r="AK81" s="63" t="n"/>
      <c r="AL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78">
        <f>Premissas!A12</f>
        <v/>
      </c>
      <c r="J82" s="60" t="n"/>
      <c r="K82" s="60" t="n"/>
      <c r="L82" s="60" t="n"/>
      <c r="M82" s="60" t="n"/>
      <c r="N82" s="61">
        <f>Premissas!B12</f>
        <v/>
      </c>
      <c r="O82" s="60" t="n"/>
      <c r="P82" s="60" t="n"/>
      <c r="Q82" s="60" t="n"/>
      <c r="R82" s="60" t="n"/>
      <c r="S82" s="79">
        <f>IF($N$85&gt;0,N82/$N$85,0)</f>
        <v/>
      </c>
      <c r="T82" s="60" t="n"/>
      <c r="U82" s="60" t="n"/>
      <c r="V82" s="60" t="n"/>
      <c r="W82" s="79">
        <f>Premissas!C12</f>
        <v/>
      </c>
      <c r="X82" s="60" t="n"/>
      <c r="Y82" s="60" t="n"/>
      <c r="Z82" s="60" t="n"/>
      <c r="AA82" s="80">
        <f>S82-W82</f>
        <v/>
      </c>
      <c r="AB82" s="60" t="n"/>
      <c r="AC82" s="60" t="n"/>
      <c r="AD82" s="60" t="n"/>
      <c r="AE82" s="65">
        <f>MAX(0,W82*$N$85-N82)</f>
        <v/>
      </c>
      <c r="AF82" s="60" t="n"/>
      <c r="AG82" s="60" t="n"/>
      <c r="AH82" s="60" t="n"/>
      <c r="AI82" s="60" t="n"/>
      <c r="AJ82" s="60" t="n"/>
      <c r="AK82" s="63" t="n"/>
      <c r="AL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78">
        <f>Premissas!A13</f>
        <v/>
      </c>
      <c r="J83" s="60" t="n"/>
      <c r="K83" s="60" t="n"/>
      <c r="L83" s="60" t="n"/>
      <c r="M83" s="60" t="n"/>
      <c r="N83" s="61">
        <f>Premissas!B13</f>
        <v/>
      </c>
      <c r="O83" s="60" t="n"/>
      <c r="P83" s="60" t="n"/>
      <c r="Q83" s="60" t="n"/>
      <c r="R83" s="60" t="n"/>
      <c r="S83" s="79">
        <f>IF($N$85&gt;0,N83/$N$85,0)</f>
        <v/>
      </c>
      <c r="T83" s="60" t="n"/>
      <c r="U83" s="60" t="n"/>
      <c r="V83" s="60" t="n"/>
      <c r="W83" s="79">
        <f>Premissas!C13</f>
        <v/>
      </c>
      <c r="X83" s="60" t="n"/>
      <c r="Y83" s="60" t="n"/>
      <c r="Z83" s="60" t="n"/>
      <c r="AA83" s="80">
        <f>S83-W83</f>
        <v/>
      </c>
      <c r="AB83" s="60" t="n"/>
      <c r="AC83" s="60" t="n"/>
      <c r="AD83" s="60" t="n"/>
      <c r="AE83" s="65">
        <f>MAX(0,W83*$N$85-N83)</f>
        <v/>
      </c>
      <c r="AF83" s="60" t="n"/>
      <c r="AG83" s="60" t="n"/>
      <c r="AH83" s="60" t="n"/>
      <c r="AI83" s="60" t="n"/>
      <c r="AJ83" s="60" t="n"/>
      <c r="AK83" s="63" t="n"/>
      <c r="AL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78">
        <f>Premissas!A14</f>
        <v/>
      </c>
      <c r="J84" s="60" t="n"/>
      <c r="K84" s="60" t="n"/>
      <c r="L84" s="60" t="n"/>
      <c r="M84" s="60" t="n"/>
      <c r="N84" s="61">
        <f>Premissas!B14</f>
        <v/>
      </c>
      <c r="O84" s="60" t="n"/>
      <c r="P84" s="60" t="n"/>
      <c r="Q84" s="60" t="n"/>
      <c r="R84" s="60" t="n"/>
      <c r="S84" s="79">
        <f>IF($N$85&gt;0,N84/$N$85,0)</f>
        <v/>
      </c>
      <c r="T84" s="60" t="n"/>
      <c r="U84" s="60" t="n"/>
      <c r="V84" s="60" t="n"/>
      <c r="W84" s="79">
        <f>Premissas!C14</f>
        <v/>
      </c>
      <c r="X84" s="60" t="n"/>
      <c r="Y84" s="60" t="n"/>
      <c r="Z84" s="60" t="n"/>
      <c r="AA84" s="80">
        <f>S84-W84</f>
        <v/>
      </c>
      <c r="AB84" s="60" t="n"/>
      <c r="AC84" s="60" t="n"/>
      <c r="AD84" s="60" t="n"/>
      <c r="AE84" s="65">
        <f>MAX(0,W84*$N$85-N84)</f>
        <v/>
      </c>
      <c r="AF84" s="60" t="n"/>
      <c r="AG84" s="60" t="n"/>
      <c r="AH84" s="60" t="n"/>
      <c r="AI84" s="60" t="n"/>
      <c r="AJ84" s="60" t="n"/>
      <c r="AK84" s="63" t="n"/>
      <c r="AL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81" t="inlineStr">
        <is>
          <t>TOTAL</t>
        </is>
      </c>
      <c r="J85" s="82" t="n"/>
      <c r="K85" s="82" t="n"/>
      <c r="L85" s="82" t="n"/>
      <c r="M85" s="82" t="n"/>
      <c r="N85" s="83">
        <f>SUM(N80:N84)</f>
        <v/>
      </c>
      <c r="O85" s="82" t="n"/>
      <c r="P85" s="82" t="n"/>
      <c r="Q85" s="82" t="n"/>
      <c r="R85" s="82" t="n"/>
      <c r="S85" s="84">
        <f>SUM(S80:S84)</f>
        <v/>
      </c>
      <c r="T85" s="82" t="n"/>
      <c r="U85" s="82" t="n"/>
      <c r="V85" s="82" t="n"/>
      <c r="W85" s="84">
        <f>SUM(W80:W84)</f>
        <v/>
      </c>
      <c r="X85" s="82" t="n"/>
      <c r="Y85" s="82" t="n"/>
      <c r="Z85" s="82" t="n"/>
      <c r="AA85" s="85" t="n"/>
      <c r="AB85" s="82" t="n"/>
      <c r="AC85" s="82" t="n"/>
      <c r="AD85" s="82" t="n"/>
      <c r="AE85" s="86">
        <f>SUM(AE80:AE84)</f>
        <v/>
      </c>
      <c r="AF85" s="82" t="n"/>
      <c r="AG85" s="82" t="n"/>
      <c r="AH85" s="82" t="n"/>
      <c r="AI85" s="82" t="n"/>
      <c r="AJ85" s="82" t="n"/>
      <c r="AK85" s="87" t="n"/>
      <c r="A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</row>
  </sheetData>
  <mergeCells count="168">
    <mergeCell ref="AF54:AH54"/>
    <mergeCell ref="AA80:AD80"/>
    <mergeCell ref="S45:V45"/>
    <mergeCell ref="I51"/>
    <mergeCell ref="AC6:AF6"/>
    <mergeCell ref="I80:M80"/>
    <mergeCell ref="AE83:AK83"/>
    <mergeCell ref="AH7:AK7"/>
    <mergeCell ref="S54"/>
    <mergeCell ref="AA79:AD79"/>
    <mergeCell ref="AI54:AK54"/>
    <mergeCell ref="S79:V79"/>
    <mergeCell ref="O51:Q51"/>
    <mergeCell ref="AC50:AK50"/>
    <mergeCell ref="J53:K53"/>
    <mergeCell ref="S56"/>
    <mergeCell ref="O56:Q56"/>
    <mergeCell ref="AC45:AF45"/>
    <mergeCell ref="AA81:AD81"/>
    <mergeCell ref="AI56:AK56"/>
    <mergeCell ref="S81:V81"/>
    <mergeCell ref="V53:X53"/>
    <mergeCell ref="AC47:AF47"/>
    <mergeCell ref="T51:U51"/>
    <mergeCell ref="S7:V7"/>
    <mergeCell ref="N46:Q46"/>
    <mergeCell ref="I79:M79"/>
    <mergeCell ref="AC8:AF8"/>
    <mergeCell ref="I82:M82"/>
    <mergeCell ref="T56:U56"/>
    <mergeCell ref="I5:AK5"/>
    <mergeCell ref="X6:AA6"/>
    <mergeCell ref="N80:R80"/>
    <mergeCell ref="AH6:AK6"/>
    <mergeCell ref="S53"/>
    <mergeCell ref="AH46:AK46"/>
    <mergeCell ref="AA84:AD84"/>
    <mergeCell ref="S83:V83"/>
    <mergeCell ref="B14:G14"/>
    <mergeCell ref="B23:G23"/>
    <mergeCell ref="AD51:AE51"/>
    <mergeCell ref="S55"/>
    <mergeCell ref="B13:G13"/>
    <mergeCell ref="AH45:AK45"/>
    <mergeCell ref="AI55:AK55"/>
    <mergeCell ref="L51:N51"/>
    <mergeCell ref="AC51"/>
    <mergeCell ref="S85:V85"/>
    <mergeCell ref="T53:U53"/>
    <mergeCell ref="N81:R81"/>
    <mergeCell ref="V54:X54"/>
    <mergeCell ref="AH47:AK47"/>
    <mergeCell ref="S47:V47"/>
    <mergeCell ref="T55:U55"/>
    <mergeCell ref="I6:L6"/>
    <mergeCell ref="O52:Q52"/>
    <mergeCell ref="I46:L46"/>
    <mergeCell ref="AE85:AK85"/>
    <mergeCell ref="S46:V46"/>
    <mergeCell ref="L52:N52"/>
    <mergeCell ref="X8:AA8"/>
    <mergeCell ref="AF52:AH52"/>
    <mergeCell ref="W80:Z80"/>
    <mergeCell ref="AH8:AK8"/>
    <mergeCell ref="N82:R82"/>
    <mergeCell ref="S50:AA50"/>
    <mergeCell ref="I7:L7"/>
    <mergeCell ref="V55:X55"/>
    <mergeCell ref="Y56:AA56"/>
    <mergeCell ref="B25:G25"/>
    <mergeCell ref="I53"/>
    <mergeCell ref="V52:X52"/>
    <mergeCell ref="J51:K51"/>
    <mergeCell ref="I55"/>
    <mergeCell ref="B3:AK3"/>
    <mergeCell ref="I52"/>
    <mergeCell ref="X45:AA45"/>
    <mergeCell ref="AD56:AE56"/>
    <mergeCell ref="AE84:AK84"/>
    <mergeCell ref="AA83:AD83"/>
    <mergeCell ref="N6:Q6"/>
    <mergeCell ref="W82:Z82"/>
    <mergeCell ref="L55:N55"/>
    <mergeCell ref="AI51:AK51"/>
    <mergeCell ref="AF55:AH55"/>
    <mergeCell ref="AA85:AD85"/>
    <mergeCell ref="X46:AA46"/>
    <mergeCell ref="V51:X51"/>
    <mergeCell ref="AC52"/>
    <mergeCell ref="AF51:AH51"/>
    <mergeCell ref="L54:N54"/>
    <mergeCell ref="T54:U54"/>
    <mergeCell ref="AE79:AK79"/>
    <mergeCell ref="I85:M85"/>
    <mergeCell ref="AA82:AD82"/>
    <mergeCell ref="D10:G10"/>
    <mergeCell ref="N7:Q7"/>
    <mergeCell ref="B15:G15"/>
    <mergeCell ref="AE81:AK81"/>
    <mergeCell ref="I45:L45"/>
    <mergeCell ref="L56:N56"/>
    <mergeCell ref="B24:G24"/>
    <mergeCell ref="W84:Z84"/>
    <mergeCell ref="I54"/>
    <mergeCell ref="I50:Q50"/>
    <mergeCell ref="I47:L47"/>
    <mergeCell ref="B16:G16"/>
    <mergeCell ref="I56"/>
    <mergeCell ref="O53:Q53"/>
    <mergeCell ref="W79:Z79"/>
    <mergeCell ref="AD53:AE53"/>
    <mergeCell ref="N8:Q8"/>
    <mergeCell ref="AI53:AK53"/>
    <mergeCell ref="L53:N53"/>
    <mergeCell ref="Q1:Z1"/>
    <mergeCell ref="B18:G18"/>
    <mergeCell ref="AC54"/>
    <mergeCell ref="AF53:AH53"/>
    <mergeCell ref="W81:Z81"/>
    <mergeCell ref="J52:K52"/>
    <mergeCell ref="S6:V6"/>
    <mergeCell ref="N83:R83"/>
    <mergeCell ref="AD55:AE55"/>
    <mergeCell ref="AD52:AE52"/>
    <mergeCell ref="Y51:AA51"/>
    <mergeCell ref="S80:V80"/>
    <mergeCell ref="AC46:AF46"/>
    <mergeCell ref="I8:L8"/>
    <mergeCell ref="I81:M81"/>
    <mergeCell ref="O54:Q54"/>
    <mergeCell ref="AC56"/>
    <mergeCell ref="B17:G17"/>
    <mergeCell ref="N85:R85"/>
    <mergeCell ref="B19:G19"/>
    <mergeCell ref="AE80:AK80"/>
    <mergeCell ref="N45:Q45"/>
    <mergeCell ref="O55:Q55"/>
    <mergeCell ref="S51"/>
    <mergeCell ref="Y52:AA52"/>
    <mergeCell ref="AC7:AF7"/>
    <mergeCell ref="N47:Q47"/>
    <mergeCell ref="J55:K55"/>
    <mergeCell ref="B20:G20"/>
    <mergeCell ref="S52"/>
    <mergeCell ref="W83:Z83"/>
    <mergeCell ref="J54:K54"/>
    <mergeCell ref="S8:V8"/>
    <mergeCell ref="AI52:AK52"/>
    <mergeCell ref="AD54:AE54"/>
    <mergeCell ref="X7:AA7"/>
    <mergeCell ref="Y53:AA53"/>
    <mergeCell ref="S82:V82"/>
    <mergeCell ref="V56:X56"/>
    <mergeCell ref="AC53"/>
    <mergeCell ref="AF56:AH56"/>
    <mergeCell ref="N84:R84"/>
    <mergeCell ref="I83:M83"/>
    <mergeCell ref="W85:Z85"/>
    <mergeCell ref="J56:K56"/>
    <mergeCell ref="X47:AA47"/>
    <mergeCell ref="Y55:AA55"/>
    <mergeCell ref="T52:U52"/>
    <mergeCell ref="AC55"/>
    <mergeCell ref="AE82:AK82"/>
    <mergeCell ref="Y54:AA54"/>
    <mergeCell ref="I84:M84"/>
    <mergeCell ref="N79:R79"/>
    <mergeCell ref="S84:V84"/>
  </mergeCells>
  <conditionalFormatting sqref="Q1">
    <cfRule type="expression" priority="1" dxfId="0">
      <formula>LEFT(Q1,1)="⚠"</formula>
    </cfRule>
    <cfRule type="expression" priority="2" dxfId="1">
      <formula>LEFT(Q1,1)="●"</formula>
    </cfRule>
  </conditionalFormatting>
  <conditionalFormatting sqref="B24">
    <cfRule type="dataBar" priority="3">
      <dataBar showValue="0">
        <cfvo type="num" val="0"/>
        <cfvo type="num" val="1"/>
        <color rgb="00C9A43A"/>
      </dataBar>
    </cfRule>
  </conditionalFormatting>
  <conditionalFormatting sqref="S8">
    <cfRule type="cellIs" priority="4" operator="lessThan" dxfId="2">
      <formula>0</formula>
    </cfRule>
    <cfRule type="cellIs" priority="5" operator="greaterThan" dxfId="3">
      <formula>0</formula>
    </cfRule>
  </conditionalFormatting>
  <conditionalFormatting sqref="AH8">
    <cfRule type="cellIs" priority="6" operator="lessThan" dxfId="2">
      <formula>0</formula>
    </cfRule>
    <cfRule type="cellIs" priority="7" operator="greaterThan" dxfId="3">
      <formula>0</formula>
    </cfRule>
  </conditionalFormatting>
  <conditionalFormatting sqref="S7">
    <cfRule type="cellIs" priority="8" operator="lessThan" dxfId="4">
      <formula>0</formula>
    </cfRule>
    <cfRule type="cellIs" priority="9" operator="greaterThan" dxfId="5">
      <formula>0</formula>
    </cfRule>
  </conditionalFormatting>
  <conditionalFormatting sqref="AA80:AA84">
    <cfRule type="cellIs" priority="10" operator="lessThan" dxfId="2">
      <formula>0</formula>
    </cfRule>
    <cfRule type="cellIs" priority="11" operator="greaterThan" dxfId="3">
      <formula>0</formula>
    </cfRule>
  </conditionalFormatting>
  <conditionalFormatting sqref="V52:AA56">
    <cfRule type="cellIs" priority="12" operator="lessThan" dxfId="6">
      <formula>0</formula>
    </cfRule>
    <cfRule type="cellIs" priority="13" operator="greaterThan" dxfId="7">
      <formula>0</formula>
    </cfRule>
  </conditionalFormatting>
  <conditionalFormatting sqref="AF52:AK56">
    <cfRule type="cellIs" priority="14" operator="lessThan" dxfId="6">
      <formula>0</formula>
    </cfRule>
    <cfRule type="cellIs" priority="15" operator="greaterThan" dxfId="7">
      <formula>0</formula>
    </cfRule>
  </conditionalFormatting>
  <dataValidations count="1">
    <dataValidation sqref="D10" showDropDown="0" showInputMessage="0" showErrorMessage="0" allowBlank="0" type="list">
      <formula1>"Todos,AÇÃO,FII"</formula1>
    </dataValidation>
  </dataValidations>
  <hyperlinks>
    <hyperlink xmlns:r="http://schemas.openxmlformats.org/officeDocument/2006/relationships" ref="Q1" r:id="rId1"/>
    <hyperlink xmlns:r="http://schemas.openxmlformats.org/officeDocument/2006/relationships" ref="I5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</hyperlinks>
  <pageMargins left="0.75" right="0.75" top="1" bottom="1" header="0.5" footer="0.5"/>
  <pageSetup orientation="landscape" fitToHeight="0" fitToWidth="1"/>
  <rowBreaks count="1" manualBreakCount="1">
    <brk id="43" min="0" max="16383" man="1"/>
  </rowBreaks>
  <drawing xmlns:r="http://schemas.openxmlformats.org/officeDocument/2006/relationships" r:id="rId1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A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2" customWidth="1" min="4" max="4"/>
    <col width="15" customWidth="1" min="5" max="5"/>
    <col width="11" customWidth="1" min="6" max="6"/>
    <col width="15" customWidth="1" min="7" max="7"/>
    <col width="15" customWidth="1" min="8" max="8"/>
    <col width="11" customWidth="1" min="9" max="9"/>
    <col width="14" customWidth="1" min="10" max="10"/>
    <col width="13" customWidth="1" min="11" max="11"/>
    <col width="14" customWidth="1" min="12" max="12"/>
    <col width="11" customWidth="1" min="13" max="13"/>
    <col width="10" customWidth="1" min="14" max="14"/>
    <col width="9" customWidth="1" min="15" max="15"/>
    <col width="9" customWidth="1" min="16" max="16"/>
    <col width="9" customWidth="1" min="17" max="17"/>
    <col width="10" customWidth="1" min="18" max="18"/>
    <col width="15" customWidth="1" min="19" max="19"/>
    <col width="13" customWidth="1" min="20" max="20"/>
    <col width="13" customWidth="1" min="21" max="21"/>
    <col width="13" customWidth="1" min="22" max="22"/>
    <col width="10" customWidth="1" min="23" max="23"/>
    <col width="11" customWidth="1" min="24" max="24"/>
    <col width="11" customWidth="1" min="25" max="25"/>
    <col width="14" customWidth="1" min="26" max="26"/>
    <col width="12" customWidth="1" min="27" max="27"/>
    <col width="22" customWidth="1" min="28" max="28"/>
    <col hidden="1" width="8" customWidth="1" min="29" max="29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Carteira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Cada ação/FII em uma linha só: posição, proventos, peso e meta de renda — calculado, não digite aqui.</t>
        </is>
      </c>
    </row>
    <row r="4" ht="32" customHeight="1">
      <c r="A4" s="89" t="inlineStr">
        <is>
          <t>Ticker</t>
        </is>
      </c>
      <c r="B4" s="89" t="inlineStr">
        <is>
          <t>Tipo</t>
        </is>
      </c>
      <c r="C4" s="89" t="inlineStr">
        <is>
          <t>Qtd atual</t>
        </is>
      </c>
      <c r="D4" s="89" t="inlineStr">
        <is>
          <t>Preço médio (R$)</t>
        </is>
      </c>
      <c r="E4" s="89" t="inlineStr">
        <is>
          <t>Valor investido (R$)</t>
        </is>
      </c>
      <c r="F4" s="89" t="inlineStr">
        <is>
          <t>Cotação (R$)</t>
        </is>
      </c>
      <c r="G4" s="89" t="inlineStr">
        <is>
          <t>Posição atual (R$)</t>
        </is>
      </c>
      <c r="H4" s="89" t="inlineStr">
        <is>
          <t>Lucro / prejuízo (R$)</t>
        </is>
      </c>
      <c r="I4" s="89" t="inlineStr">
        <is>
          <t>Valorização</t>
        </is>
      </c>
      <c r="J4" s="89" t="inlineStr">
        <is>
          <t>Proventos recebidos (R$)</t>
        </is>
      </c>
      <c r="K4" s="89" t="inlineStr">
        <is>
          <t>Proventos 12m (R$)</t>
        </is>
      </c>
      <c r="L4" s="89" t="inlineStr">
        <is>
          <t>Retorno total (R$)</t>
        </is>
      </c>
      <c r="M4" s="89" t="inlineStr">
        <is>
          <t>Retorno total %</t>
        </is>
      </c>
      <c r="N4" s="89" t="inlineStr">
        <is>
          <t>Yield on cost</t>
        </is>
      </c>
      <c r="O4" s="89" t="inlineStr">
        <is>
          <t>DY atual</t>
        </is>
      </c>
      <c r="P4" s="89" t="inlineStr">
        <is>
          <t>Peso atual</t>
        </is>
      </c>
      <c r="Q4" s="89" t="inlineStr">
        <is>
          <t>Peso ideal</t>
        </is>
      </c>
      <c r="R4" s="89" t="inlineStr">
        <is>
          <t>Desvio do peso</t>
        </is>
      </c>
      <c r="S4" s="89" t="inlineStr">
        <is>
          <t>Aporte p/ peso ideal (R$)</t>
        </is>
      </c>
      <c r="T4" s="89" t="inlineStr">
        <is>
          <t>Provento 12m por cota (R$)</t>
        </is>
      </c>
      <c r="U4" s="89" t="inlineStr">
        <is>
          <t>Provento mensal por cota (R$)</t>
        </is>
      </c>
      <c r="V4" s="89" t="inlineStr">
        <is>
          <t>Renda mensal (R$)</t>
        </is>
      </c>
      <c r="W4" s="89" t="inlineStr">
        <is>
          <t>% da meta</t>
        </is>
      </c>
      <c r="X4" s="89" t="inlineStr">
        <is>
          <t>Cotas p/ meta</t>
        </is>
      </c>
      <c r="Y4" s="89" t="inlineStr">
        <is>
          <t>Cotas faltantes</t>
        </is>
      </c>
      <c r="Z4" s="89" t="inlineStr">
        <is>
          <t>Aporte p/ meta (R$)</t>
        </is>
      </c>
      <c r="AA4" s="89" t="inlineStr">
        <is>
          <t>Meses p/ meta</t>
        </is>
      </c>
      <c r="AB4" s="89" t="inlineStr">
        <is>
          <t>Segmento</t>
        </is>
      </c>
      <c r="AC4" s="89" t="inlineStr">
        <is>
          <t>No filtro</t>
        </is>
      </c>
    </row>
    <row r="5">
      <c r="A5" s="90">
        <f>IF(Ativos!A5="","",Ativos!A5)</f>
        <v/>
      </c>
      <c r="B5" s="90">
        <f>IF(Ativos!B5="","",Ativos!B5)</f>
        <v/>
      </c>
      <c r="C5" s="91">
        <f>SUMIFS('Lançamentos'!$D$5:$D$5000,'Lançamentos'!$B$5:$B$5000,A5,'Lançamentos'!$C$5:$C$5000,"COMPRA")-SUMIFS('Lançamentos'!$D$5:$D$5000,'Lançamentos'!$B$5:$B$5000,A5,'Lançamentos'!$C$5:$C$5000,"VENDA")</f>
        <v/>
      </c>
      <c r="D5" s="92">
        <f>IFERROR(SUMIFS('Lançamentos'!$G$5:$G$5000,'Lançamentos'!$B$5:$B$5000,A5,'Lançamentos'!$C$5:$C$5000,"COMPRA")/SUMIFS('Lançamentos'!$D$5:$D$5000,'Lançamentos'!$B$5:$B$5000,A5,'Lançamentos'!$C$5:$C$5000,"COMPRA"),0)</f>
        <v/>
      </c>
      <c r="E5" s="92">
        <f>C5*D5</f>
        <v/>
      </c>
      <c r="F5" s="93">
        <f>N(Ativos!D5)</f>
        <v/>
      </c>
      <c r="G5" s="92">
        <f>C5*F5</f>
        <v/>
      </c>
      <c r="H5" s="92">
        <f>G5-E5</f>
        <v/>
      </c>
      <c r="I5" s="94">
        <f>IF(E5&gt;0,H5/E5,0)</f>
        <v/>
      </c>
      <c r="J5" s="92">
        <f>SUMIFS(Proventos!$F$5:$F$5000,Proventos!$B$5:$B$5000,A5)</f>
        <v/>
      </c>
      <c r="K5" s="92">
        <f>SUMIFS(Proventos!$F$5:$F$5000,Proventos!$B$5:$B$5000,A5,Proventos!$A$5:$A$5000,"&gt;="&amp;(TODAY()-365))</f>
        <v/>
      </c>
      <c r="L5" s="92">
        <f>H5+J5</f>
        <v/>
      </c>
      <c r="M5" s="94">
        <f>IF(E5&gt;0,L5/E5,0)</f>
        <v/>
      </c>
      <c r="N5" s="94">
        <f>IF(D5&gt;0,T5/D5,0)</f>
        <v/>
      </c>
      <c r="O5" s="94">
        <f>IF(F5&gt;0,T5/F5,0)</f>
        <v/>
      </c>
      <c r="P5" s="94">
        <f>IF($G$21&gt;0,G5/$G$21,0)</f>
        <v/>
      </c>
      <c r="Q5" s="95">
        <f>N(Ativos!F5)</f>
        <v/>
      </c>
      <c r="R5" s="94">
        <f>P5-Q5</f>
        <v/>
      </c>
      <c r="S5" s="92">
        <f>MAX(0,Q5*$G$21-G5)</f>
        <v/>
      </c>
      <c r="T5" s="93">
        <f>N(Ativos!E5)</f>
        <v/>
      </c>
      <c r="U5" s="96">
        <f>T5/12</f>
        <v/>
      </c>
      <c r="V5" s="92">
        <f>C5*U5</f>
        <v/>
      </c>
      <c r="W5" s="94">
        <f>IF(N(Meta!G5)&gt;0,MIN(1,V5/Meta!G5),0)</f>
        <v/>
      </c>
      <c r="X5" s="91">
        <f>IF(U5&gt;0,ROUNDUP(N(Meta!G5)/U5,0),0)</f>
        <v/>
      </c>
      <c r="Y5" s="91">
        <f>MAX(0,X5-C5)</f>
        <v/>
      </c>
      <c r="Z5" s="97">
        <f>Y5*F5</f>
        <v/>
      </c>
      <c r="AA5" s="98">
        <f>IF(APORTE_MENSAL&gt;0,ROUNDUP(Z5/APORTE_MENSAL,0),0)</f>
        <v/>
      </c>
      <c r="AB5" s="90">
        <f>IF(Ativos!C5="","",Ativos!C5)</f>
        <v/>
      </c>
      <c r="AC5" s="99">
        <f>IF(A5="",0,IF(OR(FILTRO_TIPO="Todos",B5=FILTRO_TIPO),1,0))</f>
        <v/>
      </c>
    </row>
    <row r="6">
      <c r="A6" s="100">
        <f>IF(Ativos!A6="","",Ativos!A6)</f>
        <v/>
      </c>
      <c r="B6" s="100">
        <f>IF(Ativos!B6="","",Ativos!B6)</f>
        <v/>
      </c>
      <c r="C6" s="101">
        <f>SUMIFS('Lançamentos'!$D$5:$D$5000,'Lançamentos'!$B$5:$B$5000,A6,'Lançamentos'!$C$5:$C$5000,"COMPRA")-SUMIFS('Lançamentos'!$D$5:$D$5000,'Lançamentos'!$B$5:$B$5000,A6,'Lançamentos'!$C$5:$C$5000,"VENDA")</f>
        <v/>
      </c>
      <c r="D6" s="102">
        <f>IFERROR(SUMIFS('Lançamentos'!$G$5:$G$5000,'Lançamentos'!$B$5:$B$5000,A6,'Lançamentos'!$C$5:$C$5000,"COMPRA")/SUMIFS('Lançamentos'!$D$5:$D$5000,'Lançamentos'!$B$5:$B$5000,A6,'Lançamentos'!$C$5:$C$5000,"COMPRA"),0)</f>
        <v/>
      </c>
      <c r="E6" s="102">
        <f>C6*D6</f>
        <v/>
      </c>
      <c r="F6" s="103">
        <f>N(Ativos!D6)</f>
        <v/>
      </c>
      <c r="G6" s="102">
        <f>C6*F6</f>
        <v/>
      </c>
      <c r="H6" s="102">
        <f>G6-E6</f>
        <v/>
      </c>
      <c r="I6" s="104">
        <f>IF(E6&gt;0,H6/E6,0)</f>
        <v/>
      </c>
      <c r="J6" s="102">
        <f>SUMIFS(Proventos!$F$5:$F$5000,Proventos!$B$5:$B$5000,A6)</f>
        <v/>
      </c>
      <c r="K6" s="102">
        <f>SUMIFS(Proventos!$F$5:$F$5000,Proventos!$B$5:$B$5000,A6,Proventos!$A$5:$A$5000,"&gt;="&amp;(TODAY()-365))</f>
        <v/>
      </c>
      <c r="L6" s="102">
        <f>H6+J6</f>
        <v/>
      </c>
      <c r="M6" s="104">
        <f>IF(E6&gt;0,L6/E6,0)</f>
        <v/>
      </c>
      <c r="N6" s="104">
        <f>IF(D6&gt;0,T6/D6,0)</f>
        <v/>
      </c>
      <c r="O6" s="104">
        <f>IF(F6&gt;0,T6/F6,0)</f>
        <v/>
      </c>
      <c r="P6" s="104">
        <f>IF($G$21&gt;0,G6/$G$21,0)</f>
        <v/>
      </c>
      <c r="Q6" s="105">
        <f>N(Ativos!F6)</f>
        <v/>
      </c>
      <c r="R6" s="104">
        <f>P6-Q6</f>
        <v/>
      </c>
      <c r="S6" s="102">
        <f>MAX(0,Q6*$G$21-G6)</f>
        <v/>
      </c>
      <c r="T6" s="103">
        <f>N(Ativos!E6)</f>
        <v/>
      </c>
      <c r="U6" s="106">
        <f>T6/12</f>
        <v/>
      </c>
      <c r="V6" s="102">
        <f>C6*U6</f>
        <v/>
      </c>
      <c r="W6" s="104">
        <f>IF(N(Meta!G6)&gt;0,MIN(1,V6/Meta!G6),0)</f>
        <v/>
      </c>
      <c r="X6" s="101">
        <f>IF(U6&gt;0,ROUNDUP(N(Meta!G6)/U6,0),0)</f>
        <v/>
      </c>
      <c r="Y6" s="101">
        <f>MAX(0,X6-C6)</f>
        <v/>
      </c>
      <c r="Z6" s="107">
        <f>Y6*F6</f>
        <v/>
      </c>
      <c r="AA6" s="108">
        <f>IF(APORTE_MENSAL&gt;0,ROUNDUP(Z6/APORTE_MENSAL,0),0)</f>
        <v/>
      </c>
      <c r="AB6" s="100">
        <f>IF(Ativos!C6="","",Ativos!C6)</f>
        <v/>
      </c>
      <c r="AC6" s="109">
        <f>IF(A6="",0,IF(OR(FILTRO_TIPO="Todos",B6=FILTRO_TIPO),1,0))</f>
        <v/>
      </c>
    </row>
    <row r="7">
      <c r="A7" s="90">
        <f>IF(Ativos!A7="","",Ativos!A7)</f>
        <v/>
      </c>
      <c r="B7" s="90">
        <f>IF(Ativos!B7="","",Ativos!B7)</f>
        <v/>
      </c>
      <c r="C7" s="91">
        <f>SUMIFS('Lançamentos'!$D$5:$D$5000,'Lançamentos'!$B$5:$B$5000,A7,'Lançamentos'!$C$5:$C$5000,"COMPRA")-SUMIFS('Lançamentos'!$D$5:$D$5000,'Lançamentos'!$B$5:$B$5000,A7,'Lançamentos'!$C$5:$C$5000,"VENDA")</f>
        <v/>
      </c>
      <c r="D7" s="92">
        <f>IFERROR(SUMIFS('Lançamentos'!$G$5:$G$5000,'Lançamentos'!$B$5:$B$5000,A7,'Lançamentos'!$C$5:$C$5000,"COMPRA")/SUMIFS('Lançamentos'!$D$5:$D$5000,'Lançamentos'!$B$5:$B$5000,A7,'Lançamentos'!$C$5:$C$5000,"COMPRA"),0)</f>
        <v/>
      </c>
      <c r="E7" s="92">
        <f>C7*D7</f>
        <v/>
      </c>
      <c r="F7" s="93">
        <f>N(Ativos!D7)</f>
        <v/>
      </c>
      <c r="G7" s="92">
        <f>C7*F7</f>
        <v/>
      </c>
      <c r="H7" s="92">
        <f>G7-E7</f>
        <v/>
      </c>
      <c r="I7" s="94">
        <f>IF(E7&gt;0,H7/E7,0)</f>
        <v/>
      </c>
      <c r="J7" s="92">
        <f>SUMIFS(Proventos!$F$5:$F$5000,Proventos!$B$5:$B$5000,A7)</f>
        <v/>
      </c>
      <c r="K7" s="92">
        <f>SUMIFS(Proventos!$F$5:$F$5000,Proventos!$B$5:$B$5000,A7,Proventos!$A$5:$A$5000,"&gt;="&amp;(TODAY()-365))</f>
        <v/>
      </c>
      <c r="L7" s="92">
        <f>H7+J7</f>
        <v/>
      </c>
      <c r="M7" s="94">
        <f>IF(E7&gt;0,L7/E7,0)</f>
        <v/>
      </c>
      <c r="N7" s="94">
        <f>IF(D7&gt;0,T7/D7,0)</f>
        <v/>
      </c>
      <c r="O7" s="94">
        <f>IF(F7&gt;0,T7/F7,0)</f>
        <v/>
      </c>
      <c r="P7" s="94">
        <f>IF($G$21&gt;0,G7/$G$21,0)</f>
        <v/>
      </c>
      <c r="Q7" s="95">
        <f>N(Ativos!F7)</f>
        <v/>
      </c>
      <c r="R7" s="94">
        <f>P7-Q7</f>
        <v/>
      </c>
      <c r="S7" s="92">
        <f>MAX(0,Q7*$G$21-G7)</f>
        <v/>
      </c>
      <c r="T7" s="93">
        <f>N(Ativos!E7)</f>
        <v/>
      </c>
      <c r="U7" s="96">
        <f>T7/12</f>
        <v/>
      </c>
      <c r="V7" s="92">
        <f>C7*U7</f>
        <v/>
      </c>
      <c r="W7" s="94">
        <f>IF(N(Meta!G7)&gt;0,MIN(1,V7/Meta!G7),0)</f>
        <v/>
      </c>
      <c r="X7" s="91">
        <f>IF(U7&gt;0,ROUNDUP(N(Meta!G7)/U7,0),0)</f>
        <v/>
      </c>
      <c r="Y7" s="91">
        <f>MAX(0,X7-C7)</f>
        <v/>
      </c>
      <c r="Z7" s="97">
        <f>Y7*F7</f>
        <v/>
      </c>
      <c r="AA7" s="98">
        <f>IF(APORTE_MENSAL&gt;0,ROUNDUP(Z7/APORTE_MENSAL,0),0)</f>
        <v/>
      </c>
      <c r="AB7" s="90">
        <f>IF(Ativos!C7="","",Ativos!C7)</f>
        <v/>
      </c>
      <c r="AC7" s="99">
        <f>IF(A7="",0,IF(OR(FILTRO_TIPO="Todos",B7=FILTRO_TIPO),1,0))</f>
        <v/>
      </c>
    </row>
    <row r="8">
      <c r="A8" s="100">
        <f>IF(Ativos!A8="","",Ativos!A8)</f>
        <v/>
      </c>
      <c r="B8" s="100">
        <f>IF(Ativos!B8="","",Ativos!B8)</f>
        <v/>
      </c>
      <c r="C8" s="101">
        <f>SUMIFS('Lançamentos'!$D$5:$D$5000,'Lançamentos'!$B$5:$B$5000,A8,'Lançamentos'!$C$5:$C$5000,"COMPRA")-SUMIFS('Lançamentos'!$D$5:$D$5000,'Lançamentos'!$B$5:$B$5000,A8,'Lançamentos'!$C$5:$C$5000,"VENDA")</f>
        <v/>
      </c>
      <c r="D8" s="102">
        <f>IFERROR(SUMIFS('Lançamentos'!$G$5:$G$5000,'Lançamentos'!$B$5:$B$5000,A8,'Lançamentos'!$C$5:$C$5000,"COMPRA")/SUMIFS('Lançamentos'!$D$5:$D$5000,'Lançamentos'!$B$5:$B$5000,A8,'Lançamentos'!$C$5:$C$5000,"COMPRA"),0)</f>
        <v/>
      </c>
      <c r="E8" s="102">
        <f>C8*D8</f>
        <v/>
      </c>
      <c r="F8" s="103">
        <f>N(Ativos!D8)</f>
        <v/>
      </c>
      <c r="G8" s="102">
        <f>C8*F8</f>
        <v/>
      </c>
      <c r="H8" s="102">
        <f>G8-E8</f>
        <v/>
      </c>
      <c r="I8" s="104">
        <f>IF(E8&gt;0,H8/E8,0)</f>
        <v/>
      </c>
      <c r="J8" s="102">
        <f>SUMIFS(Proventos!$F$5:$F$5000,Proventos!$B$5:$B$5000,A8)</f>
        <v/>
      </c>
      <c r="K8" s="102">
        <f>SUMIFS(Proventos!$F$5:$F$5000,Proventos!$B$5:$B$5000,A8,Proventos!$A$5:$A$5000,"&gt;="&amp;(TODAY()-365))</f>
        <v/>
      </c>
      <c r="L8" s="102">
        <f>H8+J8</f>
        <v/>
      </c>
      <c r="M8" s="104">
        <f>IF(E8&gt;0,L8/E8,0)</f>
        <v/>
      </c>
      <c r="N8" s="104">
        <f>IF(D8&gt;0,T8/D8,0)</f>
        <v/>
      </c>
      <c r="O8" s="104">
        <f>IF(F8&gt;0,T8/F8,0)</f>
        <v/>
      </c>
      <c r="P8" s="104">
        <f>IF($G$21&gt;0,G8/$G$21,0)</f>
        <v/>
      </c>
      <c r="Q8" s="105">
        <f>N(Ativos!F8)</f>
        <v/>
      </c>
      <c r="R8" s="104">
        <f>P8-Q8</f>
        <v/>
      </c>
      <c r="S8" s="102">
        <f>MAX(0,Q8*$G$21-G8)</f>
        <v/>
      </c>
      <c r="T8" s="103">
        <f>N(Ativos!E8)</f>
        <v/>
      </c>
      <c r="U8" s="106">
        <f>T8/12</f>
        <v/>
      </c>
      <c r="V8" s="102">
        <f>C8*U8</f>
        <v/>
      </c>
      <c r="W8" s="104">
        <f>IF(N(Meta!G8)&gt;0,MIN(1,V8/Meta!G8),0)</f>
        <v/>
      </c>
      <c r="X8" s="101">
        <f>IF(U8&gt;0,ROUNDUP(N(Meta!G8)/U8,0),0)</f>
        <v/>
      </c>
      <c r="Y8" s="101">
        <f>MAX(0,X8-C8)</f>
        <v/>
      </c>
      <c r="Z8" s="107">
        <f>Y8*F8</f>
        <v/>
      </c>
      <c r="AA8" s="108">
        <f>IF(APORTE_MENSAL&gt;0,ROUNDUP(Z8/APORTE_MENSAL,0),0)</f>
        <v/>
      </c>
      <c r="AB8" s="100">
        <f>IF(Ativos!C8="","",Ativos!C8)</f>
        <v/>
      </c>
      <c r="AC8" s="109">
        <f>IF(A8="",0,IF(OR(FILTRO_TIPO="Todos",B8=FILTRO_TIPO),1,0))</f>
        <v/>
      </c>
    </row>
    <row r="9">
      <c r="A9" s="90">
        <f>IF(Ativos!A9="","",Ativos!A9)</f>
        <v/>
      </c>
      <c r="B9" s="90">
        <f>IF(Ativos!B9="","",Ativos!B9)</f>
        <v/>
      </c>
      <c r="C9" s="91">
        <f>SUMIFS('Lançamentos'!$D$5:$D$5000,'Lançamentos'!$B$5:$B$5000,A9,'Lançamentos'!$C$5:$C$5000,"COMPRA")-SUMIFS('Lançamentos'!$D$5:$D$5000,'Lançamentos'!$B$5:$B$5000,A9,'Lançamentos'!$C$5:$C$5000,"VENDA")</f>
        <v/>
      </c>
      <c r="D9" s="92">
        <f>IFERROR(SUMIFS('Lançamentos'!$G$5:$G$5000,'Lançamentos'!$B$5:$B$5000,A9,'Lançamentos'!$C$5:$C$5000,"COMPRA")/SUMIFS('Lançamentos'!$D$5:$D$5000,'Lançamentos'!$B$5:$B$5000,A9,'Lançamentos'!$C$5:$C$5000,"COMPRA"),0)</f>
        <v/>
      </c>
      <c r="E9" s="92">
        <f>C9*D9</f>
        <v/>
      </c>
      <c r="F9" s="93">
        <f>N(Ativos!D9)</f>
        <v/>
      </c>
      <c r="G9" s="92">
        <f>C9*F9</f>
        <v/>
      </c>
      <c r="H9" s="92">
        <f>G9-E9</f>
        <v/>
      </c>
      <c r="I9" s="94">
        <f>IF(E9&gt;0,H9/E9,0)</f>
        <v/>
      </c>
      <c r="J9" s="92">
        <f>SUMIFS(Proventos!$F$5:$F$5000,Proventos!$B$5:$B$5000,A9)</f>
        <v/>
      </c>
      <c r="K9" s="92">
        <f>SUMIFS(Proventos!$F$5:$F$5000,Proventos!$B$5:$B$5000,A9,Proventos!$A$5:$A$5000,"&gt;="&amp;(TODAY()-365))</f>
        <v/>
      </c>
      <c r="L9" s="92">
        <f>H9+J9</f>
        <v/>
      </c>
      <c r="M9" s="94">
        <f>IF(E9&gt;0,L9/E9,0)</f>
        <v/>
      </c>
      <c r="N9" s="94">
        <f>IF(D9&gt;0,T9/D9,0)</f>
        <v/>
      </c>
      <c r="O9" s="94">
        <f>IF(F9&gt;0,T9/F9,0)</f>
        <v/>
      </c>
      <c r="P9" s="94">
        <f>IF($G$21&gt;0,G9/$G$21,0)</f>
        <v/>
      </c>
      <c r="Q9" s="95">
        <f>N(Ativos!F9)</f>
        <v/>
      </c>
      <c r="R9" s="94">
        <f>P9-Q9</f>
        <v/>
      </c>
      <c r="S9" s="92">
        <f>MAX(0,Q9*$G$21-G9)</f>
        <v/>
      </c>
      <c r="T9" s="93">
        <f>N(Ativos!E9)</f>
        <v/>
      </c>
      <c r="U9" s="96">
        <f>T9/12</f>
        <v/>
      </c>
      <c r="V9" s="92">
        <f>C9*U9</f>
        <v/>
      </c>
      <c r="W9" s="94">
        <f>IF(N(Meta!G9)&gt;0,MIN(1,V9/Meta!G9),0)</f>
        <v/>
      </c>
      <c r="X9" s="91">
        <f>IF(U9&gt;0,ROUNDUP(N(Meta!G9)/U9,0),0)</f>
        <v/>
      </c>
      <c r="Y9" s="91">
        <f>MAX(0,X9-C9)</f>
        <v/>
      </c>
      <c r="Z9" s="97">
        <f>Y9*F9</f>
        <v/>
      </c>
      <c r="AA9" s="98">
        <f>IF(APORTE_MENSAL&gt;0,ROUNDUP(Z9/APORTE_MENSAL,0),0)</f>
        <v/>
      </c>
      <c r="AB9" s="90">
        <f>IF(Ativos!C9="","",Ativos!C9)</f>
        <v/>
      </c>
      <c r="AC9" s="99">
        <f>IF(A9="",0,IF(OR(FILTRO_TIPO="Todos",B9=FILTRO_TIPO),1,0))</f>
        <v/>
      </c>
    </row>
    <row r="10">
      <c r="A10" s="100">
        <f>IF(Ativos!A10="","",Ativos!A10)</f>
        <v/>
      </c>
      <c r="B10" s="100">
        <f>IF(Ativos!B10="","",Ativos!B10)</f>
        <v/>
      </c>
      <c r="C10" s="101">
        <f>SUMIFS('Lançamentos'!$D$5:$D$5000,'Lançamentos'!$B$5:$B$5000,A10,'Lançamentos'!$C$5:$C$5000,"COMPRA")-SUMIFS('Lançamentos'!$D$5:$D$5000,'Lançamentos'!$B$5:$B$5000,A10,'Lançamentos'!$C$5:$C$5000,"VENDA")</f>
        <v/>
      </c>
      <c r="D10" s="102">
        <f>IFERROR(SUMIFS('Lançamentos'!$G$5:$G$5000,'Lançamentos'!$B$5:$B$5000,A10,'Lançamentos'!$C$5:$C$5000,"COMPRA")/SUMIFS('Lançamentos'!$D$5:$D$5000,'Lançamentos'!$B$5:$B$5000,A10,'Lançamentos'!$C$5:$C$5000,"COMPRA"),0)</f>
        <v/>
      </c>
      <c r="E10" s="102">
        <f>C10*D10</f>
        <v/>
      </c>
      <c r="F10" s="103">
        <f>N(Ativos!D10)</f>
        <v/>
      </c>
      <c r="G10" s="102">
        <f>C10*F10</f>
        <v/>
      </c>
      <c r="H10" s="102">
        <f>G10-E10</f>
        <v/>
      </c>
      <c r="I10" s="104">
        <f>IF(E10&gt;0,H10/E10,0)</f>
        <v/>
      </c>
      <c r="J10" s="102">
        <f>SUMIFS(Proventos!$F$5:$F$5000,Proventos!$B$5:$B$5000,A10)</f>
        <v/>
      </c>
      <c r="K10" s="102">
        <f>SUMIFS(Proventos!$F$5:$F$5000,Proventos!$B$5:$B$5000,A10,Proventos!$A$5:$A$5000,"&gt;="&amp;(TODAY()-365))</f>
        <v/>
      </c>
      <c r="L10" s="102">
        <f>H10+J10</f>
        <v/>
      </c>
      <c r="M10" s="104">
        <f>IF(E10&gt;0,L10/E10,0)</f>
        <v/>
      </c>
      <c r="N10" s="104">
        <f>IF(D10&gt;0,T10/D10,0)</f>
        <v/>
      </c>
      <c r="O10" s="104">
        <f>IF(F10&gt;0,T10/F10,0)</f>
        <v/>
      </c>
      <c r="P10" s="104">
        <f>IF($G$21&gt;0,G10/$G$21,0)</f>
        <v/>
      </c>
      <c r="Q10" s="105">
        <f>N(Ativos!F10)</f>
        <v/>
      </c>
      <c r="R10" s="104">
        <f>P10-Q10</f>
        <v/>
      </c>
      <c r="S10" s="102">
        <f>MAX(0,Q10*$G$21-G10)</f>
        <v/>
      </c>
      <c r="T10" s="103">
        <f>N(Ativos!E10)</f>
        <v/>
      </c>
      <c r="U10" s="106">
        <f>T10/12</f>
        <v/>
      </c>
      <c r="V10" s="102">
        <f>C10*U10</f>
        <v/>
      </c>
      <c r="W10" s="104">
        <f>IF(N(Meta!G10)&gt;0,MIN(1,V10/Meta!G10),0)</f>
        <v/>
      </c>
      <c r="X10" s="101">
        <f>IF(U10&gt;0,ROUNDUP(N(Meta!G10)/U10,0),0)</f>
        <v/>
      </c>
      <c r="Y10" s="101">
        <f>MAX(0,X10-C10)</f>
        <v/>
      </c>
      <c r="Z10" s="107">
        <f>Y10*F10</f>
        <v/>
      </c>
      <c r="AA10" s="108">
        <f>IF(APORTE_MENSAL&gt;0,ROUNDUP(Z10/APORTE_MENSAL,0),0)</f>
        <v/>
      </c>
      <c r="AB10" s="100">
        <f>IF(Ativos!C10="","",Ativos!C10)</f>
        <v/>
      </c>
      <c r="AC10" s="109">
        <f>IF(A10="",0,IF(OR(FILTRO_TIPO="Todos",B10=FILTRO_TIPO),1,0))</f>
        <v/>
      </c>
    </row>
    <row r="11">
      <c r="A11" s="90">
        <f>IF(Ativos!A11="","",Ativos!A11)</f>
        <v/>
      </c>
      <c r="B11" s="90">
        <f>IF(Ativos!B11="","",Ativos!B11)</f>
        <v/>
      </c>
      <c r="C11" s="91">
        <f>SUMIFS('Lançamentos'!$D$5:$D$5000,'Lançamentos'!$B$5:$B$5000,A11,'Lançamentos'!$C$5:$C$5000,"COMPRA")-SUMIFS('Lançamentos'!$D$5:$D$5000,'Lançamentos'!$B$5:$B$5000,A11,'Lançamentos'!$C$5:$C$5000,"VENDA")</f>
        <v/>
      </c>
      <c r="D11" s="92">
        <f>IFERROR(SUMIFS('Lançamentos'!$G$5:$G$5000,'Lançamentos'!$B$5:$B$5000,A11,'Lançamentos'!$C$5:$C$5000,"COMPRA")/SUMIFS('Lançamentos'!$D$5:$D$5000,'Lançamentos'!$B$5:$B$5000,A11,'Lançamentos'!$C$5:$C$5000,"COMPRA"),0)</f>
        <v/>
      </c>
      <c r="E11" s="92">
        <f>C11*D11</f>
        <v/>
      </c>
      <c r="F11" s="93">
        <f>N(Ativos!D11)</f>
        <v/>
      </c>
      <c r="G11" s="92">
        <f>C11*F11</f>
        <v/>
      </c>
      <c r="H11" s="92">
        <f>G11-E11</f>
        <v/>
      </c>
      <c r="I11" s="94">
        <f>IF(E11&gt;0,H11/E11,0)</f>
        <v/>
      </c>
      <c r="J11" s="92">
        <f>SUMIFS(Proventos!$F$5:$F$5000,Proventos!$B$5:$B$5000,A11)</f>
        <v/>
      </c>
      <c r="K11" s="92">
        <f>SUMIFS(Proventos!$F$5:$F$5000,Proventos!$B$5:$B$5000,A11,Proventos!$A$5:$A$5000,"&gt;="&amp;(TODAY()-365))</f>
        <v/>
      </c>
      <c r="L11" s="92">
        <f>H11+J11</f>
        <v/>
      </c>
      <c r="M11" s="94">
        <f>IF(E11&gt;0,L11/E11,0)</f>
        <v/>
      </c>
      <c r="N11" s="94">
        <f>IF(D11&gt;0,T11/D11,0)</f>
        <v/>
      </c>
      <c r="O11" s="94">
        <f>IF(F11&gt;0,T11/F11,0)</f>
        <v/>
      </c>
      <c r="P11" s="94">
        <f>IF($G$21&gt;0,G11/$G$21,0)</f>
        <v/>
      </c>
      <c r="Q11" s="95">
        <f>N(Ativos!F11)</f>
        <v/>
      </c>
      <c r="R11" s="94">
        <f>P11-Q11</f>
        <v/>
      </c>
      <c r="S11" s="92">
        <f>MAX(0,Q11*$G$21-G11)</f>
        <v/>
      </c>
      <c r="T11" s="93">
        <f>N(Ativos!E11)</f>
        <v/>
      </c>
      <c r="U11" s="96">
        <f>T11/12</f>
        <v/>
      </c>
      <c r="V11" s="92">
        <f>C11*U11</f>
        <v/>
      </c>
      <c r="W11" s="94">
        <f>IF(N(Meta!G11)&gt;0,MIN(1,V11/Meta!G11),0)</f>
        <v/>
      </c>
      <c r="X11" s="91">
        <f>IF(U11&gt;0,ROUNDUP(N(Meta!G11)/U11,0),0)</f>
        <v/>
      </c>
      <c r="Y11" s="91">
        <f>MAX(0,X11-C11)</f>
        <v/>
      </c>
      <c r="Z11" s="97">
        <f>Y11*F11</f>
        <v/>
      </c>
      <c r="AA11" s="98">
        <f>IF(APORTE_MENSAL&gt;0,ROUNDUP(Z11/APORTE_MENSAL,0),0)</f>
        <v/>
      </c>
      <c r="AB11" s="90">
        <f>IF(Ativos!C11="","",Ativos!C11)</f>
        <v/>
      </c>
      <c r="AC11" s="99">
        <f>IF(A11="",0,IF(OR(FILTRO_TIPO="Todos",B11=FILTRO_TIPO),1,0))</f>
        <v/>
      </c>
    </row>
    <row r="12">
      <c r="A12" s="100">
        <f>IF(Ativos!A12="","",Ativos!A12)</f>
        <v/>
      </c>
      <c r="B12" s="100">
        <f>IF(Ativos!B12="","",Ativos!B12)</f>
        <v/>
      </c>
      <c r="C12" s="101">
        <f>SUMIFS('Lançamentos'!$D$5:$D$5000,'Lançamentos'!$B$5:$B$5000,A12,'Lançamentos'!$C$5:$C$5000,"COMPRA")-SUMIFS('Lançamentos'!$D$5:$D$5000,'Lançamentos'!$B$5:$B$5000,A12,'Lançamentos'!$C$5:$C$5000,"VENDA")</f>
        <v/>
      </c>
      <c r="D12" s="102">
        <f>IFERROR(SUMIFS('Lançamentos'!$G$5:$G$5000,'Lançamentos'!$B$5:$B$5000,A12,'Lançamentos'!$C$5:$C$5000,"COMPRA")/SUMIFS('Lançamentos'!$D$5:$D$5000,'Lançamentos'!$B$5:$B$5000,A12,'Lançamentos'!$C$5:$C$5000,"COMPRA"),0)</f>
        <v/>
      </c>
      <c r="E12" s="102">
        <f>C12*D12</f>
        <v/>
      </c>
      <c r="F12" s="103">
        <f>N(Ativos!D12)</f>
        <v/>
      </c>
      <c r="G12" s="102">
        <f>C12*F12</f>
        <v/>
      </c>
      <c r="H12" s="102">
        <f>G12-E12</f>
        <v/>
      </c>
      <c r="I12" s="104">
        <f>IF(E12&gt;0,H12/E12,0)</f>
        <v/>
      </c>
      <c r="J12" s="102">
        <f>SUMIFS(Proventos!$F$5:$F$5000,Proventos!$B$5:$B$5000,A12)</f>
        <v/>
      </c>
      <c r="K12" s="102">
        <f>SUMIFS(Proventos!$F$5:$F$5000,Proventos!$B$5:$B$5000,A12,Proventos!$A$5:$A$5000,"&gt;="&amp;(TODAY()-365))</f>
        <v/>
      </c>
      <c r="L12" s="102">
        <f>H12+J12</f>
        <v/>
      </c>
      <c r="M12" s="104">
        <f>IF(E12&gt;0,L12/E12,0)</f>
        <v/>
      </c>
      <c r="N12" s="104">
        <f>IF(D12&gt;0,T12/D12,0)</f>
        <v/>
      </c>
      <c r="O12" s="104">
        <f>IF(F12&gt;0,T12/F12,0)</f>
        <v/>
      </c>
      <c r="P12" s="104">
        <f>IF($G$21&gt;0,G12/$G$21,0)</f>
        <v/>
      </c>
      <c r="Q12" s="105">
        <f>N(Ativos!F12)</f>
        <v/>
      </c>
      <c r="R12" s="104">
        <f>P12-Q12</f>
        <v/>
      </c>
      <c r="S12" s="102">
        <f>MAX(0,Q12*$G$21-G12)</f>
        <v/>
      </c>
      <c r="T12" s="103">
        <f>N(Ativos!E12)</f>
        <v/>
      </c>
      <c r="U12" s="106">
        <f>T12/12</f>
        <v/>
      </c>
      <c r="V12" s="102">
        <f>C12*U12</f>
        <v/>
      </c>
      <c r="W12" s="104">
        <f>IF(N(Meta!G12)&gt;0,MIN(1,V12/Meta!G12),0)</f>
        <v/>
      </c>
      <c r="X12" s="101">
        <f>IF(U12&gt;0,ROUNDUP(N(Meta!G12)/U12,0),0)</f>
        <v/>
      </c>
      <c r="Y12" s="101">
        <f>MAX(0,X12-C12)</f>
        <v/>
      </c>
      <c r="Z12" s="107">
        <f>Y12*F12</f>
        <v/>
      </c>
      <c r="AA12" s="108">
        <f>IF(APORTE_MENSAL&gt;0,ROUNDUP(Z12/APORTE_MENSAL,0),0)</f>
        <v/>
      </c>
      <c r="AB12" s="100">
        <f>IF(Ativos!C12="","",Ativos!C12)</f>
        <v/>
      </c>
      <c r="AC12" s="109">
        <f>IF(A12="",0,IF(OR(FILTRO_TIPO="Todos",B12=FILTRO_TIPO),1,0))</f>
        <v/>
      </c>
    </row>
    <row r="13">
      <c r="A13" s="90">
        <f>IF(Ativos!A13="","",Ativos!A13)</f>
        <v/>
      </c>
      <c r="B13" s="90">
        <f>IF(Ativos!B13="","",Ativos!B13)</f>
        <v/>
      </c>
      <c r="C13" s="91">
        <f>SUMIFS('Lançamentos'!$D$5:$D$5000,'Lançamentos'!$B$5:$B$5000,A13,'Lançamentos'!$C$5:$C$5000,"COMPRA")-SUMIFS('Lançamentos'!$D$5:$D$5000,'Lançamentos'!$B$5:$B$5000,A13,'Lançamentos'!$C$5:$C$5000,"VENDA")</f>
        <v/>
      </c>
      <c r="D13" s="92">
        <f>IFERROR(SUMIFS('Lançamentos'!$G$5:$G$5000,'Lançamentos'!$B$5:$B$5000,A13,'Lançamentos'!$C$5:$C$5000,"COMPRA")/SUMIFS('Lançamentos'!$D$5:$D$5000,'Lançamentos'!$B$5:$B$5000,A13,'Lançamentos'!$C$5:$C$5000,"COMPRA"),0)</f>
        <v/>
      </c>
      <c r="E13" s="92">
        <f>C13*D13</f>
        <v/>
      </c>
      <c r="F13" s="93">
        <f>N(Ativos!D13)</f>
        <v/>
      </c>
      <c r="G13" s="92">
        <f>C13*F13</f>
        <v/>
      </c>
      <c r="H13" s="92">
        <f>G13-E13</f>
        <v/>
      </c>
      <c r="I13" s="94">
        <f>IF(E13&gt;0,H13/E13,0)</f>
        <v/>
      </c>
      <c r="J13" s="92">
        <f>SUMIFS(Proventos!$F$5:$F$5000,Proventos!$B$5:$B$5000,A13)</f>
        <v/>
      </c>
      <c r="K13" s="92">
        <f>SUMIFS(Proventos!$F$5:$F$5000,Proventos!$B$5:$B$5000,A13,Proventos!$A$5:$A$5000,"&gt;="&amp;(TODAY()-365))</f>
        <v/>
      </c>
      <c r="L13" s="92">
        <f>H13+J13</f>
        <v/>
      </c>
      <c r="M13" s="94">
        <f>IF(E13&gt;0,L13/E13,0)</f>
        <v/>
      </c>
      <c r="N13" s="94">
        <f>IF(D13&gt;0,T13/D13,0)</f>
        <v/>
      </c>
      <c r="O13" s="94">
        <f>IF(F13&gt;0,T13/F13,0)</f>
        <v/>
      </c>
      <c r="P13" s="94">
        <f>IF($G$21&gt;0,G13/$G$21,0)</f>
        <v/>
      </c>
      <c r="Q13" s="95">
        <f>N(Ativos!F13)</f>
        <v/>
      </c>
      <c r="R13" s="94">
        <f>P13-Q13</f>
        <v/>
      </c>
      <c r="S13" s="92">
        <f>MAX(0,Q13*$G$21-G13)</f>
        <v/>
      </c>
      <c r="T13" s="93">
        <f>N(Ativos!E13)</f>
        <v/>
      </c>
      <c r="U13" s="96">
        <f>T13/12</f>
        <v/>
      </c>
      <c r="V13" s="92">
        <f>C13*U13</f>
        <v/>
      </c>
      <c r="W13" s="94">
        <f>IF(N(Meta!G13)&gt;0,MIN(1,V13/Meta!G13),0)</f>
        <v/>
      </c>
      <c r="X13" s="91">
        <f>IF(U13&gt;0,ROUNDUP(N(Meta!G13)/U13,0),0)</f>
        <v/>
      </c>
      <c r="Y13" s="91">
        <f>MAX(0,X13-C13)</f>
        <v/>
      </c>
      <c r="Z13" s="97">
        <f>Y13*F13</f>
        <v/>
      </c>
      <c r="AA13" s="98">
        <f>IF(APORTE_MENSAL&gt;0,ROUNDUP(Z13/APORTE_MENSAL,0),0)</f>
        <v/>
      </c>
      <c r="AB13" s="90">
        <f>IF(Ativos!C13="","",Ativos!C13)</f>
        <v/>
      </c>
      <c r="AC13" s="99">
        <f>IF(A13="",0,IF(OR(FILTRO_TIPO="Todos",B13=FILTRO_TIPO),1,0))</f>
        <v/>
      </c>
    </row>
    <row r="14">
      <c r="A14" s="100">
        <f>IF(Ativos!A14="","",Ativos!A14)</f>
        <v/>
      </c>
      <c r="B14" s="100">
        <f>IF(Ativos!B14="","",Ativos!B14)</f>
        <v/>
      </c>
      <c r="C14" s="101">
        <f>SUMIFS('Lançamentos'!$D$5:$D$5000,'Lançamentos'!$B$5:$B$5000,A14,'Lançamentos'!$C$5:$C$5000,"COMPRA")-SUMIFS('Lançamentos'!$D$5:$D$5000,'Lançamentos'!$B$5:$B$5000,A14,'Lançamentos'!$C$5:$C$5000,"VENDA")</f>
        <v/>
      </c>
      <c r="D14" s="102">
        <f>IFERROR(SUMIFS('Lançamentos'!$G$5:$G$5000,'Lançamentos'!$B$5:$B$5000,A14,'Lançamentos'!$C$5:$C$5000,"COMPRA")/SUMIFS('Lançamentos'!$D$5:$D$5000,'Lançamentos'!$B$5:$B$5000,A14,'Lançamentos'!$C$5:$C$5000,"COMPRA"),0)</f>
        <v/>
      </c>
      <c r="E14" s="102">
        <f>C14*D14</f>
        <v/>
      </c>
      <c r="F14" s="103">
        <f>N(Ativos!D14)</f>
        <v/>
      </c>
      <c r="G14" s="102">
        <f>C14*F14</f>
        <v/>
      </c>
      <c r="H14" s="102">
        <f>G14-E14</f>
        <v/>
      </c>
      <c r="I14" s="104">
        <f>IF(E14&gt;0,H14/E14,0)</f>
        <v/>
      </c>
      <c r="J14" s="102">
        <f>SUMIFS(Proventos!$F$5:$F$5000,Proventos!$B$5:$B$5000,A14)</f>
        <v/>
      </c>
      <c r="K14" s="102">
        <f>SUMIFS(Proventos!$F$5:$F$5000,Proventos!$B$5:$B$5000,A14,Proventos!$A$5:$A$5000,"&gt;="&amp;(TODAY()-365))</f>
        <v/>
      </c>
      <c r="L14" s="102">
        <f>H14+J14</f>
        <v/>
      </c>
      <c r="M14" s="104">
        <f>IF(E14&gt;0,L14/E14,0)</f>
        <v/>
      </c>
      <c r="N14" s="104">
        <f>IF(D14&gt;0,T14/D14,0)</f>
        <v/>
      </c>
      <c r="O14" s="104">
        <f>IF(F14&gt;0,T14/F14,0)</f>
        <v/>
      </c>
      <c r="P14" s="104">
        <f>IF($G$21&gt;0,G14/$G$21,0)</f>
        <v/>
      </c>
      <c r="Q14" s="105">
        <f>N(Ativos!F14)</f>
        <v/>
      </c>
      <c r="R14" s="104">
        <f>P14-Q14</f>
        <v/>
      </c>
      <c r="S14" s="102">
        <f>MAX(0,Q14*$G$21-G14)</f>
        <v/>
      </c>
      <c r="T14" s="103">
        <f>N(Ativos!E14)</f>
        <v/>
      </c>
      <c r="U14" s="106">
        <f>T14/12</f>
        <v/>
      </c>
      <c r="V14" s="102">
        <f>C14*U14</f>
        <v/>
      </c>
      <c r="W14" s="104">
        <f>IF(N(Meta!G14)&gt;0,MIN(1,V14/Meta!G14),0)</f>
        <v/>
      </c>
      <c r="X14" s="101">
        <f>IF(U14&gt;0,ROUNDUP(N(Meta!G14)/U14,0),0)</f>
        <v/>
      </c>
      <c r="Y14" s="101">
        <f>MAX(0,X14-C14)</f>
        <v/>
      </c>
      <c r="Z14" s="107">
        <f>Y14*F14</f>
        <v/>
      </c>
      <c r="AA14" s="108">
        <f>IF(APORTE_MENSAL&gt;0,ROUNDUP(Z14/APORTE_MENSAL,0),0)</f>
        <v/>
      </c>
      <c r="AB14" s="100">
        <f>IF(Ativos!C14="","",Ativos!C14)</f>
        <v/>
      </c>
      <c r="AC14" s="109">
        <f>IF(A14="",0,IF(OR(FILTRO_TIPO="Todos",B14=FILTRO_TIPO),1,0))</f>
        <v/>
      </c>
    </row>
    <row r="15">
      <c r="A15" s="90">
        <f>IF(Ativos!A15="","",Ativos!A15)</f>
        <v/>
      </c>
      <c r="B15" s="90">
        <f>IF(Ativos!B15="","",Ativos!B15)</f>
        <v/>
      </c>
      <c r="C15" s="91">
        <f>SUMIFS('Lançamentos'!$D$5:$D$5000,'Lançamentos'!$B$5:$B$5000,A15,'Lançamentos'!$C$5:$C$5000,"COMPRA")-SUMIFS('Lançamentos'!$D$5:$D$5000,'Lançamentos'!$B$5:$B$5000,A15,'Lançamentos'!$C$5:$C$5000,"VENDA")</f>
        <v/>
      </c>
      <c r="D15" s="92">
        <f>IFERROR(SUMIFS('Lançamentos'!$G$5:$G$5000,'Lançamentos'!$B$5:$B$5000,A15,'Lançamentos'!$C$5:$C$5000,"COMPRA")/SUMIFS('Lançamentos'!$D$5:$D$5000,'Lançamentos'!$B$5:$B$5000,A15,'Lançamentos'!$C$5:$C$5000,"COMPRA"),0)</f>
        <v/>
      </c>
      <c r="E15" s="92">
        <f>C15*D15</f>
        <v/>
      </c>
      <c r="F15" s="93">
        <f>N(Ativos!D15)</f>
        <v/>
      </c>
      <c r="G15" s="92">
        <f>C15*F15</f>
        <v/>
      </c>
      <c r="H15" s="92">
        <f>G15-E15</f>
        <v/>
      </c>
      <c r="I15" s="94">
        <f>IF(E15&gt;0,H15/E15,0)</f>
        <v/>
      </c>
      <c r="J15" s="92">
        <f>SUMIFS(Proventos!$F$5:$F$5000,Proventos!$B$5:$B$5000,A15)</f>
        <v/>
      </c>
      <c r="K15" s="92">
        <f>SUMIFS(Proventos!$F$5:$F$5000,Proventos!$B$5:$B$5000,A15,Proventos!$A$5:$A$5000,"&gt;="&amp;(TODAY()-365))</f>
        <v/>
      </c>
      <c r="L15" s="92">
        <f>H15+J15</f>
        <v/>
      </c>
      <c r="M15" s="94">
        <f>IF(E15&gt;0,L15/E15,0)</f>
        <v/>
      </c>
      <c r="N15" s="94">
        <f>IF(D15&gt;0,T15/D15,0)</f>
        <v/>
      </c>
      <c r="O15" s="94">
        <f>IF(F15&gt;0,T15/F15,0)</f>
        <v/>
      </c>
      <c r="P15" s="94">
        <f>IF($G$21&gt;0,G15/$G$21,0)</f>
        <v/>
      </c>
      <c r="Q15" s="95">
        <f>N(Ativos!F15)</f>
        <v/>
      </c>
      <c r="R15" s="94">
        <f>P15-Q15</f>
        <v/>
      </c>
      <c r="S15" s="92">
        <f>MAX(0,Q15*$G$21-G15)</f>
        <v/>
      </c>
      <c r="T15" s="93">
        <f>N(Ativos!E15)</f>
        <v/>
      </c>
      <c r="U15" s="96">
        <f>T15/12</f>
        <v/>
      </c>
      <c r="V15" s="92">
        <f>C15*U15</f>
        <v/>
      </c>
      <c r="W15" s="94">
        <f>IF(N(Meta!G15)&gt;0,MIN(1,V15/Meta!G15),0)</f>
        <v/>
      </c>
      <c r="X15" s="91">
        <f>IF(U15&gt;0,ROUNDUP(N(Meta!G15)/U15,0),0)</f>
        <v/>
      </c>
      <c r="Y15" s="91">
        <f>MAX(0,X15-C15)</f>
        <v/>
      </c>
      <c r="Z15" s="97">
        <f>Y15*F15</f>
        <v/>
      </c>
      <c r="AA15" s="98">
        <f>IF(APORTE_MENSAL&gt;0,ROUNDUP(Z15/APORTE_MENSAL,0),0)</f>
        <v/>
      </c>
      <c r="AB15" s="90">
        <f>IF(Ativos!C15="","",Ativos!C15)</f>
        <v/>
      </c>
      <c r="AC15" s="99">
        <f>IF(A15="",0,IF(OR(FILTRO_TIPO="Todos",B15=FILTRO_TIPO),1,0))</f>
        <v/>
      </c>
    </row>
    <row r="16">
      <c r="A16" s="100">
        <f>IF(Ativos!A16="","",Ativos!A16)</f>
        <v/>
      </c>
      <c r="B16" s="100">
        <f>IF(Ativos!B16="","",Ativos!B16)</f>
        <v/>
      </c>
      <c r="C16" s="101">
        <f>SUMIFS('Lançamentos'!$D$5:$D$5000,'Lançamentos'!$B$5:$B$5000,A16,'Lançamentos'!$C$5:$C$5000,"COMPRA")-SUMIFS('Lançamentos'!$D$5:$D$5000,'Lançamentos'!$B$5:$B$5000,A16,'Lançamentos'!$C$5:$C$5000,"VENDA")</f>
        <v/>
      </c>
      <c r="D16" s="102">
        <f>IFERROR(SUMIFS('Lançamentos'!$G$5:$G$5000,'Lançamentos'!$B$5:$B$5000,A16,'Lançamentos'!$C$5:$C$5000,"COMPRA")/SUMIFS('Lançamentos'!$D$5:$D$5000,'Lançamentos'!$B$5:$B$5000,A16,'Lançamentos'!$C$5:$C$5000,"COMPRA"),0)</f>
        <v/>
      </c>
      <c r="E16" s="102">
        <f>C16*D16</f>
        <v/>
      </c>
      <c r="F16" s="103">
        <f>N(Ativos!D16)</f>
        <v/>
      </c>
      <c r="G16" s="102">
        <f>C16*F16</f>
        <v/>
      </c>
      <c r="H16" s="102">
        <f>G16-E16</f>
        <v/>
      </c>
      <c r="I16" s="104">
        <f>IF(E16&gt;0,H16/E16,0)</f>
        <v/>
      </c>
      <c r="J16" s="102">
        <f>SUMIFS(Proventos!$F$5:$F$5000,Proventos!$B$5:$B$5000,A16)</f>
        <v/>
      </c>
      <c r="K16" s="102">
        <f>SUMIFS(Proventos!$F$5:$F$5000,Proventos!$B$5:$B$5000,A16,Proventos!$A$5:$A$5000,"&gt;="&amp;(TODAY()-365))</f>
        <v/>
      </c>
      <c r="L16" s="102">
        <f>H16+J16</f>
        <v/>
      </c>
      <c r="M16" s="104">
        <f>IF(E16&gt;0,L16/E16,0)</f>
        <v/>
      </c>
      <c r="N16" s="104">
        <f>IF(D16&gt;0,T16/D16,0)</f>
        <v/>
      </c>
      <c r="O16" s="104">
        <f>IF(F16&gt;0,T16/F16,0)</f>
        <v/>
      </c>
      <c r="P16" s="104">
        <f>IF($G$21&gt;0,G16/$G$21,0)</f>
        <v/>
      </c>
      <c r="Q16" s="105">
        <f>N(Ativos!F16)</f>
        <v/>
      </c>
      <c r="R16" s="104">
        <f>P16-Q16</f>
        <v/>
      </c>
      <c r="S16" s="102">
        <f>MAX(0,Q16*$G$21-G16)</f>
        <v/>
      </c>
      <c r="T16" s="103">
        <f>N(Ativos!E16)</f>
        <v/>
      </c>
      <c r="U16" s="106">
        <f>T16/12</f>
        <v/>
      </c>
      <c r="V16" s="102">
        <f>C16*U16</f>
        <v/>
      </c>
      <c r="W16" s="104">
        <f>IF(N(Meta!G16)&gt;0,MIN(1,V16/Meta!G16),0)</f>
        <v/>
      </c>
      <c r="X16" s="101">
        <f>IF(U16&gt;0,ROUNDUP(N(Meta!G16)/U16,0),0)</f>
        <v/>
      </c>
      <c r="Y16" s="101">
        <f>MAX(0,X16-C16)</f>
        <v/>
      </c>
      <c r="Z16" s="107">
        <f>Y16*F16</f>
        <v/>
      </c>
      <c r="AA16" s="108">
        <f>IF(APORTE_MENSAL&gt;0,ROUNDUP(Z16/APORTE_MENSAL,0),0)</f>
        <v/>
      </c>
      <c r="AB16" s="100">
        <f>IF(Ativos!C16="","",Ativos!C16)</f>
        <v/>
      </c>
      <c r="AC16" s="109">
        <f>IF(A16="",0,IF(OR(FILTRO_TIPO="Todos",B16=FILTRO_TIPO),1,0))</f>
        <v/>
      </c>
    </row>
    <row r="17">
      <c r="A17" s="90">
        <f>IF(Ativos!A17="","",Ativos!A17)</f>
        <v/>
      </c>
      <c r="B17" s="90">
        <f>IF(Ativos!B17="","",Ativos!B17)</f>
        <v/>
      </c>
      <c r="C17" s="91">
        <f>SUMIFS('Lançamentos'!$D$5:$D$5000,'Lançamentos'!$B$5:$B$5000,A17,'Lançamentos'!$C$5:$C$5000,"COMPRA")-SUMIFS('Lançamentos'!$D$5:$D$5000,'Lançamentos'!$B$5:$B$5000,A17,'Lançamentos'!$C$5:$C$5000,"VENDA")</f>
        <v/>
      </c>
      <c r="D17" s="92">
        <f>IFERROR(SUMIFS('Lançamentos'!$G$5:$G$5000,'Lançamentos'!$B$5:$B$5000,A17,'Lançamentos'!$C$5:$C$5000,"COMPRA")/SUMIFS('Lançamentos'!$D$5:$D$5000,'Lançamentos'!$B$5:$B$5000,A17,'Lançamentos'!$C$5:$C$5000,"COMPRA"),0)</f>
        <v/>
      </c>
      <c r="E17" s="92">
        <f>C17*D17</f>
        <v/>
      </c>
      <c r="F17" s="93">
        <f>N(Ativos!D17)</f>
        <v/>
      </c>
      <c r="G17" s="92">
        <f>C17*F17</f>
        <v/>
      </c>
      <c r="H17" s="92">
        <f>G17-E17</f>
        <v/>
      </c>
      <c r="I17" s="94">
        <f>IF(E17&gt;0,H17/E17,0)</f>
        <v/>
      </c>
      <c r="J17" s="92">
        <f>SUMIFS(Proventos!$F$5:$F$5000,Proventos!$B$5:$B$5000,A17)</f>
        <v/>
      </c>
      <c r="K17" s="92">
        <f>SUMIFS(Proventos!$F$5:$F$5000,Proventos!$B$5:$B$5000,A17,Proventos!$A$5:$A$5000,"&gt;="&amp;(TODAY()-365))</f>
        <v/>
      </c>
      <c r="L17" s="92">
        <f>H17+J17</f>
        <v/>
      </c>
      <c r="M17" s="94">
        <f>IF(E17&gt;0,L17/E17,0)</f>
        <v/>
      </c>
      <c r="N17" s="94">
        <f>IF(D17&gt;0,T17/D17,0)</f>
        <v/>
      </c>
      <c r="O17" s="94">
        <f>IF(F17&gt;0,T17/F17,0)</f>
        <v/>
      </c>
      <c r="P17" s="94">
        <f>IF($G$21&gt;0,G17/$G$21,0)</f>
        <v/>
      </c>
      <c r="Q17" s="95">
        <f>N(Ativos!F17)</f>
        <v/>
      </c>
      <c r="R17" s="94">
        <f>P17-Q17</f>
        <v/>
      </c>
      <c r="S17" s="92">
        <f>MAX(0,Q17*$G$21-G17)</f>
        <v/>
      </c>
      <c r="T17" s="93">
        <f>N(Ativos!E17)</f>
        <v/>
      </c>
      <c r="U17" s="96">
        <f>T17/12</f>
        <v/>
      </c>
      <c r="V17" s="92">
        <f>C17*U17</f>
        <v/>
      </c>
      <c r="W17" s="94">
        <f>IF(N(Meta!G17)&gt;0,MIN(1,V17/Meta!G17),0)</f>
        <v/>
      </c>
      <c r="X17" s="91">
        <f>IF(U17&gt;0,ROUNDUP(N(Meta!G17)/U17,0),0)</f>
        <v/>
      </c>
      <c r="Y17" s="91">
        <f>MAX(0,X17-C17)</f>
        <v/>
      </c>
      <c r="Z17" s="97">
        <f>Y17*F17</f>
        <v/>
      </c>
      <c r="AA17" s="98">
        <f>IF(APORTE_MENSAL&gt;0,ROUNDUP(Z17/APORTE_MENSAL,0),0)</f>
        <v/>
      </c>
      <c r="AB17" s="90">
        <f>IF(Ativos!C17="","",Ativos!C17)</f>
        <v/>
      </c>
      <c r="AC17" s="99">
        <f>IF(A17="",0,IF(OR(FILTRO_TIPO="Todos",B17=FILTRO_TIPO),1,0))</f>
        <v/>
      </c>
    </row>
    <row r="18">
      <c r="A18" s="100">
        <f>IF(Ativos!A18="","",Ativos!A18)</f>
        <v/>
      </c>
      <c r="B18" s="100">
        <f>IF(Ativos!B18="","",Ativos!B18)</f>
        <v/>
      </c>
      <c r="C18" s="101">
        <f>SUMIFS('Lançamentos'!$D$5:$D$5000,'Lançamentos'!$B$5:$B$5000,A18,'Lançamentos'!$C$5:$C$5000,"COMPRA")-SUMIFS('Lançamentos'!$D$5:$D$5000,'Lançamentos'!$B$5:$B$5000,A18,'Lançamentos'!$C$5:$C$5000,"VENDA")</f>
        <v/>
      </c>
      <c r="D18" s="102">
        <f>IFERROR(SUMIFS('Lançamentos'!$G$5:$G$5000,'Lançamentos'!$B$5:$B$5000,A18,'Lançamentos'!$C$5:$C$5000,"COMPRA")/SUMIFS('Lançamentos'!$D$5:$D$5000,'Lançamentos'!$B$5:$B$5000,A18,'Lançamentos'!$C$5:$C$5000,"COMPRA"),0)</f>
        <v/>
      </c>
      <c r="E18" s="102">
        <f>C18*D18</f>
        <v/>
      </c>
      <c r="F18" s="103">
        <f>N(Ativos!D18)</f>
        <v/>
      </c>
      <c r="G18" s="102">
        <f>C18*F18</f>
        <v/>
      </c>
      <c r="H18" s="102">
        <f>G18-E18</f>
        <v/>
      </c>
      <c r="I18" s="104">
        <f>IF(E18&gt;0,H18/E18,0)</f>
        <v/>
      </c>
      <c r="J18" s="102">
        <f>SUMIFS(Proventos!$F$5:$F$5000,Proventos!$B$5:$B$5000,A18)</f>
        <v/>
      </c>
      <c r="K18" s="102">
        <f>SUMIFS(Proventos!$F$5:$F$5000,Proventos!$B$5:$B$5000,A18,Proventos!$A$5:$A$5000,"&gt;="&amp;(TODAY()-365))</f>
        <v/>
      </c>
      <c r="L18" s="102">
        <f>H18+J18</f>
        <v/>
      </c>
      <c r="M18" s="104">
        <f>IF(E18&gt;0,L18/E18,0)</f>
        <v/>
      </c>
      <c r="N18" s="104">
        <f>IF(D18&gt;0,T18/D18,0)</f>
        <v/>
      </c>
      <c r="O18" s="104">
        <f>IF(F18&gt;0,T18/F18,0)</f>
        <v/>
      </c>
      <c r="P18" s="104">
        <f>IF($G$21&gt;0,G18/$G$21,0)</f>
        <v/>
      </c>
      <c r="Q18" s="105">
        <f>N(Ativos!F18)</f>
        <v/>
      </c>
      <c r="R18" s="104">
        <f>P18-Q18</f>
        <v/>
      </c>
      <c r="S18" s="102">
        <f>MAX(0,Q18*$G$21-G18)</f>
        <v/>
      </c>
      <c r="T18" s="103">
        <f>N(Ativos!E18)</f>
        <v/>
      </c>
      <c r="U18" s="106">
        <f>T18/12</f>
        <v/>
      </c>
      <c r="V18" s="102">
        <f>C18*U18</f>
        <v/>
      </c>
      <c r="W18" s="104">
        <f>IF(N(Meta!G18)&gt;0,MIN(1,V18/Meta!G18),0)</f>
        <v/>
      </c>
      <c r="X18" s="101">
        <f>IF(U18&gt;0,ROUNDUP(N(Meta!G18)/U18,0),0)</f>
        <v/>
      </c>
      <c r="Y18" s="101">
        <f>MAX(0,X18-C18)</f>
        <v/>
      </c>
      <c r="Z18" s="107">
        <f>Y18*F18</f>
        <v/>
      </c>
      <c r="AA18" s="108">
        <f>IF(APORTE_MENSAL&gt;0,ROUNDUP(Z18/APORTE_MENSAL,0),0)</f>
        <v/>
      </c>
      <c r="AB18" s="100">
        <f>IF(Ativos!C18="","",Ativos!C18)</f>
        <v/>
      </c>
      <c r="AC18" s="109">
        <f>IF(A18="",0,IF(OR(FILTRO_TIPO="Todos",B18=FILTRO_TIPO),1,0))</f>
        <v/>
      </c>
    </row>
    <row r="19">
      <c r="A19" s="90">
        <f>IF(Ativos!A19="","",Ativos!A19)</f>
        <v/>
      </c>
      <c r="B19" s="90">
        <f>IF(Ativos!B19="","",Ativos!B19)</f>
        <v/>
      </c>
      <c r="C19" s="91">
        <f>SUMIFS('Lançamentos'!$D$5:$D$5000,'Lançamentos'!$B$5:$B$5000,A19,'Lançamentos'!$C$5:$C$5000,"COMPRA")-SUMIFS('Lançamentos'!$D$5:$D$5000,'Lançamentos'!$B$5:$B$5000,A19,'Lançamentos'!$C$5:$C$5000,"VENDA")</f>
        <v/>
      </c>
      <c r="D19" s="92">
        <f>IFERROR(SUMIFS('Lançamentos'!$G$5:$G$5000,'Lançamentos'!$B$5:$B$5000,A19,'Lançamentos'!$C$5:$C$5000,"COMPRA")/SUMIFS('Lançamentos'!$D$5:$D$5000,'Lançamentos'!$B$5:$B$5000,A19,'Lançamentos'!$C$5:$C$5000,"COMPRA"),0)</f>
        <v/>
      </c>
      <c r="E19" s="92">
        <f>C19*D19</f>
        <v/>
      </c>
      <c r="F19" s="93">
        <f>N(Ativos!D19)</f>
        <v/>
      </c>
      <c r="G19" s="92">
        <f>C19*F19</f>
        <v/>
      </c>
      <c r="H19" s="92">
        <f>G19-E19</f>
        <v/>
      </c>
      <c r="I19" s="94">
        <f>IF(E19&gt;0,H19/E19,0)</f>
        <v/>
      </c>
      <c r="J19" s="92">
        <f>SUMIFS(Proventos!$F$5:$F$5000,Proventos!$B$5:$B$5000,A19)</f>
        <v/>
      </c>
      <c r="K19" s="92">
        <f>SUMIFS(Proventos!$F$5:$F$5000,Proventos!$B$5:$B$5000,A19,Proventos!$A$5:$A$5000,"&gt;="&amp;(TODAY()-365))</f>
        <v/>
      </c>
      <c r="L19" s="92">
        <f>H19+J19</f>
        <v/>
      </c>
      <c r="M19" s="94">
        <f>IF(E19&gt;0,L19/E19,0)</f>
        <v/>
      </c>
      <c r="N19" s="94">
        <f>IF(D19&gt;0,T19/D19,0)</f>
        <v/>
      </c>
      <c r="O19" s="94">
        <f>IF(F19&gt;0,T19/F19,0)</f>
        <v/>
      </c>
      <c r="P19" s="94">
        <f>IF($G$21&gt;0,G19/$G$21,0)</f>
        <v/>
      </c>
      <c r="Q19" s="95">
        <f>N(Ativos!F19)</f>
        <v/>
      </c>
      <c r="R19" s="94">
        <f>P19-Q19</f>
        <v/>
      </c>
      <c r="S19" s="92">
        <f>MAX(0,Q19*$G$21-G19)</f>
        <v/>
      </c>
      <c r="T19" s="93">
        <f>N(Ativos!E19)</f>
        <v/>
      </c>
      <c r="U19" s="96">
        <f>T19/12</f>
        <v/>
      </c>
      <c r="V19" s="92">
        <f>C19*U19</f>
        <v/>
      </c>
      <c r="W19" s="94">
        <f>IF(N(Meta!G19)&gt;0,MIN(1,V19/Meta!G19),0)</f>
        <v/>
      </c>
      <c r="X19" s="91">
        <f>IF(U19&gt;0,ROUNDUP(N(Meta!G19)/U19,0),0)</f>
        <v/>
      </c>
      <c r="Y19" s="91">
        <f>MAX(0,X19-C19)</f>
        <v/>
      </c>
      <c r="Z19" s="97">
        <f>Y19*F19</f>
        <v/>
      </c>
      <c r="AA19" s="98">
        <f>IF(APORTE_MENSAL&gt;0,ROUNDUP(Z19/APORTE_MENSAL,0),0)</f>
        <v/>
      </c>
      <c r="AB19" s="90">
        <f>IF(Ativos!C19="","",Ativos!C19)</f>
        <v/>
      </c>
      <c r="AC19" s="99">
        <f>IF(A19="",0,IF(OR(FILTRO_TIPO="Todos",B19=FILTRO_TIPO),1,0))</f>
        <v/>
      </c>
    </row>
    <row r="20">
      <c r="A20" s="100">
        <f>IF(Ativos!A20="","",Ativos!A20)</f>
        <v/>
      </c>
      <c r="B20" s="100">
        <f>IF(Ativos!B20="","",Ativos!B20)</f>
        <v/>
      </c>
      <c r="C20" s="101">
        <f>SUMIFS('Lançamentos'!$D$5:$D$5000,'Lançamentos'!$B$5:$B$5000,A20,'Lançamentos'!$C$5:$C$5000,"COMPRA")-SUMIFS('Lançamentos'!$D$5:$D$5000,'Lançamentos'!$B$5:$B$5000,A20,'Lançamentos'!$C$5:$C$5000,"VENDA")</f>
        <v/>
      </c>
      <c r="D20" s="102">
        <f>IFERROR(SUMIFS('Lançamentos'!$G$5:$G$5000,'Lançamentos'!$B$5:$B$5000,A20,'Lançamentos'!$C$5:$C$5000,"COMPRA")/SUMIFS('Lançamentos'!$D$5:$D$5000,'Lançamentos'!$B$5:$B$5000,A20,'Lançamentos'!$C$5:$C$5000,"COMPRA"),0)</f>
        <v/>
      </c>
      <c r="E20" s="102">
        <f>C20*D20</f>
        <v/>
      </c>
      <c r="F20" s="103">
        <f>N(Ativos!D20)</f>
        <v/>
      </c>
      <c r="G20" s="102">
        <f>C20*F20</f>
        <v/>
      </c>
      <c r="H20" s="102">
        <f>G20-E20</f>
        <v/>
      </c>
      <c r="I20" s="104">
        <f>IF(E20&gt;0,H20/E20,0)</f>
        <v/>
      </c>
      <c r="J20" s="102">
        <f>SUMIFS(Proventos!$F$5:$F$5000,Proventos!$B$5:$B$5000,A20)</f>
        <v/>
      </c>
      <c r="K20" s="102">
        <f>SUMIFS(Proventos!$F$5:$F$5000,Proventos!$B$5:$B$5000,A20,Proventos!$A$5:$A$5000,"&gt;="&amp;(TODAY()-365))</f>
        <v/>
      </c>
      <c r="L20" s="102">
        <f>H20+J20</f>
        <v/>
      </c>
      <c r="M20" s="104">
        <f>IF(E20&gt;0,L20/E20,0)</f>
        <v/>
      </c>
      <c r="N20" s="104">
        <f>IF(D20&gt;0,T20/D20,0)</f>
        <v/>
      </c>
      <c r="O20" s="104">
        <f>IF(F20&gt;0,T20/F20,0)</f>
        <v/>
      </c>
      <c r="P20" s="104">
        <f>IF($G$21&gt;0,G20/$G$21,0)</f>
        <v/>
      </c>
      <c r="Q20" s="105">
        <f>N(Ativos!F20)</f>
        <v/>
      </c>
      <c r="R20" s="104">
        <f>P20-Q20</f>
        <v/>
      </c>
      <c r="S20" s="102">
        <f>MAX(0,Q20*$G$21-G20)</f>
        <v/>
      </c>
      <c r="T20" s="103">
        <f>N(Ativos!E20)</f>
        <v/>
      </c>
      <c r="U20" s="106">
        <f>T20/12</f>
        <v/>
      </c>
      <c r="V20" s="102">
        <f>C20*U20</f>
        <v/>
      </c>
      <c r="W20" s="104">
        <f>IF(N(Meta!G20)&gt;0,MIN(1,V20/Meta!G20),0)</f>
        <v/>
      </c>
      <c r="X20" s="101">
        <f>IF(U20&gt;0,ROUNDUP(N(Meta!G20)/U20,0),0)</f>
        <v/>
      </c>
      <c r="Y20" s="101">
        <f>MAX(0,X20-C20)</f>
        <v/>
      </c>
      <c r="Z20" s="107">
        <f>Y20*F20</f>
        <v/>
      </c>
      <c r="AA20" s="108">
        <f>IF(APORTE_MENSAL&gt;0,ROUNDUP(Z20/APORTE_MENSAL,0),0)</f>
        <v/>
      </c>
      <c r="AB20" s="100">
        <f>IF(Ativos!C20="","",Ativos!C20)</f>
        <v/>
      </c>
      <c r="AC20" s="109">
        <f>IF(A20="",0,IF(OR(FILTRO_TIPO="Todos",B20=FILTRO_TIPO),1,0))</f>
        <v/>
      </c>
    </row>
    <row r="21">
      <c r="A21" s="110" t="inlineStr">
        <is>
          <t>TOTAL</t>
        </is>
      </c>
      <c r="B21" s="110" t="n"/>
      <c r="C21" s="110" t="n"/>
      <c r="D21" s="110" t="n"/>
      <c r="E21" s="111">
        <f>SUM(E5:E20)</f>
        <v/>
      </c>
      <c r="F21" s="110" t="n"/>
      <c r="G21" s="111">
        <f>SUM(G5:G20)</f>
        <v/>
      </c>
      <c r="H21" s="111">
        <f>SUM(H5:H20)</f>
        <v/>
      </c>
      <c r="I21" s="112">
        <f>IF(E21&gt;0,H21/E21,0)</f>
        <v/>
      </c>
      <c r="J21" s="111">
        <f>SUM(J5:J20)</f>
        <v/>
      </c>
      <c r="K21" s="111">
        <f>SUM(K5:K20)</f>
        <v/>
      </c>
      <c r="L21" s="111">
        <f>SUM(L5:L20)</f>
        <v/>
      </c>
      <c r="M21" s="112">
        <f>IF(E21&gt;0,L21/E21,0)</f>
        <v/>
      </c>
      <c r="N21" s="112">
        <f>IF(E21&gt;0,SUMPRODUCT(C5:C20,T5:T20)/E21,0)</f>
        <v/>
      </c>
      <c r="O21" s="112">
        <f>IF(G21&gt;0,SUMPRODUCT(C5:C20,T5:T20)/G21,0)</f>
        <v/>
      </c>
      <c r="P21" s="112">
        <f>SUM(P5:P20)</f>
        <v/>
      </c>
      <c r="Q21" s="112">
        <f>SUM(Q5:Q20)</f>
        <v/>
      </c>
      <c r="R21" s="110" t="n"/>
      <c r="S21" s="111">
        <f>SUM(S5:S20)</f>
        <v/>
      </c>
      <c r="T21" s="110" t="n"/>
      <c r="U21" s="110" t="n"/>
      <c r="V21" s="111">
        <f>SUM(V5:V20)</f>
        <v/>
      </c>
      <c r="W21" s="112">
        <f>IFERROR(AVERAGEIF(A5:A20,"?*",W5:W20),0)</f>
        <v/>
      </c>
      <c r="X21" s="110">
        <f>COUNTIF(W5:W20,"&gt;=1")&amp;" de "&amp;COUNTIF(A5:A20,"?*")&amp;" na meta"</f>
        <v/>
      </c>
      <c r="Y21" s="113">
        <f>SUM(Y5:Y20)</f>
        <v/>
      </c>
      <c r="Z21" s="111">
        <f>SUM(Z5:Z20)</f>
        <v/>
      </c>
      <c r="AA21" s="114">
        <f>IF(APORTE_MENSAL&gt;0,ROUNDUP(Z21/APORTE_MENSAL,0),0)</f>
        <v/>
      </c>
      <c r="AB21" s="110" t="n"/>
      <c r="AC21" s="110" t="n"/>
    </row>
    <row r="23">
      <c r="A23" s="115" t="inlineStr">
        <is>
          <t>Subtotal ações</t>
        </is>
      </c>
      <c r="E23" s="111">
        <f>SUMIFS(E5:E20,$B$5:$B$20,"AÇÃO")</f>
        <v/>
      </c>
      <c r="G23" s="111">
        <f>SUMIFS(G5:G20,$B$5:$B$20,"AÇÃO")</f>
        <v/>
      </c>
      <c r="H23" s="111">
        <f>SUMIFS(H5:H20,$B$5:$B$20,"AÇÃO")</f>
        <v/>
      </c>
      <c r="I23" s="112">
        <f>IF(E23&gt;0,H23/E23,0)</f>
        <v/>
      </c>
      <c r="J23" s="111">
        <f>SUMIFS(J5:J20,$B$5:$B$20,"AÇÃO")</f>
        <v/>
      </c>
      <c r="L23" s="111">
        <f>SUMIFS(L5:L20,$B$5:$B$20,"AÇÃO")</f>
        <v/>
      </c>
      <c r="P23" s="112">
        <f>SUMIFS(P5:P20,$B$5:$B$20,"AÇÃO")</f>
        <v/>
      </c>
      <c r="V23" s="111">
        <f>SUMIFS(V5:V20,$B$5:$B$20,"AÇÃO")</f>
        <v/>
      </c>
    </row>
    <row r="24">
      <c r="A24" s="115" t="inlineStr">
        <is>
          <t>Subtotal FIIs</t>
        </is>
      </c>
      <c r="E24" s="111">
        <f>SUMIFS(E5:E20,$B$5:$B$20,"FII")</f>
        <v/>
      </c>
      <c r="G24" s="111">
        <f>SUMIFS(G5:G20,$B$5:$B$20,"FII")</f>
        <v/>
      </c>
      <c r="H24" s="111">
        <f>SUMIFS(H5:H20,$B$5:$B$20,"FII")</f>
        <v/>
      </c>
      <c r="I24" s="112">
        <f>IF(E24&gt;0,H24/E24,0)</f>
        <v/>
      </c>
      <c r="J24" s="111">
        <f>SUMIFS(J5:J20,$B$5:$B$20,"FII")</f>
        <v/>
      </c>
      <c r="L24" s="111">
        <f>SUMIFS(L5:L20,$B$5:$B$20,"FII")</f>
        <v/>
      </c>
      <c r="P24" s="112">
        <f>SUMIFS(P5:P20,$B$5:$B$20,"FII")</f>
        <v/>
      </c>
      <c r="V24" s="111">
        <f>SUMIFS(V5:V20,$B$5:$B$20,"FII")</f>
        <v/>
      </c>
    </row>
    <row r="26">
      <c r="A26" s="115" t="inlineStr">
        <is>
          <t>Como ler</t>
        </is>
      </c>
    </row>
    <row r="27">
      <c r="A27" s="116" t="inlineStr">
        <is>
          <t>• Linhas em cinza: ativos do catálogo que você ainda não tem (a mesma lista serve de catálogo e de carteira).</t>
        </is>
      </c>
    </row>
    <row r="28">
      <c r="A28" s="116" t="inlineStr">
        <is>
          <t>• Meta de renda: cotas p/ meta = meta mensal ÷ provento mensal por cota; aporte = cotas faltantes × cotação.</t>
        </is>
      </c>
    </row>
    <row r="29">
      <c r="A29" s="116" t="inlineStr">
        <is>
          <t>• Tipo, segmento, cotação, provento 12m e peso ideal vêm de dados/ativos.csv (aba Ativos, oculta).</t>
        </is>
      </c>
    </row>
  </sheetData>
  <conditionalFormatting sqref="H5:I20">
    <cfRule type="cellIs" priority="1" operator="lessThan" dxfId="2">
      <formula>0</formula>
    </cfRule>
    <cfRule type="cellIs" priority="2" operator="greaterThan" dxfId="8">
      <formula>0</formula>
    </cfRule>
  </conditionalFormatting>
  <conditionalFormatting sqref="L5:M20">
    <cfRule type="cellIs" priority="3" operator="lessThan" dxfId="2">
      <formula>0</formula>
    </cfRule>
    <cfRule type="cellIs" priority="4" operator="greaterThan" dxfId="8">
      <formula>0</formula>
    </cfRule>
  </conditionalFormatting>
  <conditionalFormatting sqref="R5:R20">
    <cfRule type="cellIs" priority="5" operator="lessThan" dxfId="2">
      <formula>0</formula>
    </cfRule>
    <cfRule type="cellIs" priority="6" operator="greaterThan" dxfId="8">
      <formula>0</formula>
    </cfRule>
  </conditionalFormatting>
  <conditionalFormatting sqref="P5:P20">
    <cfRule type="dataBar" priority="7">
      <dataBar>
        <cfvo type="num" val="0"/>
        <cfvo type="max"/>
        <color rgb="005B8DB8"/>
      </dataBar>
    </cfRule>
  </conditionalFormatting>
  <conditionalFormatting sqref="W5:W20">
    <cfRule type="dataBar" priority="8">
      <dataBar>
        <cfvo type="num" val="0"/>
        <cfvo type="num" val="1"/>
        <color rgb="000D9488"/>
      </dataBar>
    </cfRule>
  </conditionalFormatting>
  <conditionalFormatting sqref="A5:AB20">
    <cfRule type="expression" priority="9" dxfId="9">
      <formula>$C5=0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AN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18" customWidth="1" min="7" max="7"/>
    <col width="14" customWidth="1" min="8" max="8"/>
    <col width="14" customWidth="1" min="9" max="9"/>
    <col width="14" customWidth="1" min="10" max="10"/>
    <col width="3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Análises Dinâmicas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Tabelas dinâmicas sobre Carteira, Proventos e Lançamentos — use os filtros e a segmentação.</t>
        </is>
      </c>
    </row>
    <row r="5">
      <c r="A5" s="117" t="inlineStr">
        <is>
          <t>As tabelas dinâmicas são criadas pelo Excel ao rodar gestao.py (requer Excel no Windows).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AN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12" customWidth="1" min="4" max="4"/>
    <col width="13" customWidth="1" min="5" max="5"/>
    <col width="11" customWidth="1" min="6" max="6"/>
    <col width="13" customWidth="1" min="7" max="7"/>
    <col width="10" customWidth="1" min="8" max="8"/>
    <col width="12" customWidth="1" min="9" max="9"/>
    <col width="16" customWidth="1" min="10" max="10"/>
    <col width="11" customWidth="1" min="11" max="11"/>
    <col width="12" customWidth="1" min="12" max="12"/>
    <col width="15" customWidth="1" min="13" max="13"/>
    <col width="13" customWidth="1" min="14" max="14"/>
    <col width="10" customWidth="1" min="15" max="15"/>
    <col width="11" customWidth="1" min="16" max="16"/>
    <col width="15" customWidth="1" min="17" max="17"/>
    <col width="10" customWidth="1" min="18" max="18"/>
    <col width="15" customWidth="1" min="19" max="19"/>
    <col width="17" customWidth="1" min="20" max="20"/>
    <col width="11" customWidth="1" min="21" max="21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Meta de Renda por Ativo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Amarelo = você decide: quanto cada ativo deve pagar por mês e em quantos meses (negrito = personalizado; vazio = padrão das Premissas). O resto é calculado.</t>
        </is>
      </c>
    </row>
    <row r="4" ht="44" customHeight="1">
      <c r="A4" s="89" t="inlineStr">
        <is>
          <t>Ticker</t>
        </is>
      </c>
      <c r="B4" s="89" t="inlineStr">
        <is>
          <t>Tipo</t>
        </is>
      </c>
      <c r="C4" s="89" t="inlineStr">
        <is>
          <t>Segmento</t>
        </is>
      </c>
      <c r="D4" s="89" t="inlineStr">
        <is>
          <t>Valor da cota (R$)</t>
        </is>
      </c>
      <c r="E4" s="89" t="inlineStr">
        <is>
          <t>Provento mensal por cota (R$)</t>
        </is>
      </c>
      <c r="F4" s="89" t="inlineStr">
        <is>
          <t>Rendimento mensal</t>
        </is>
      </c>
      <c r="G4" s="89" t="inlineStr">
        <is>
          <t>Meta mensal (R$)</t>
        </is>
      </c>
      <c r="H4" s="89" t="inlineStr">
        <is>
          <t>Prazo (meses)</t>
        </is>
      </c>
      <c r="I4" s="89" t="inlineStr">
        <is>
          <t>Cotas necessárias</t>
        </is>
      </c>
      <c r="J4" s="89" t="inlineStr">
        <is>
          <t>Valor total a investir (R$)</t>
        </is>
      </c>
      <c r="K4" s="89" t="inlineStr">
        <is>
          <t>Cotas que você tem</t>
        </is>
      </c>
      <c r="L4" s="89" t="inlineStr">
        <is>
          <t>Preço médio pago (R$)</t>
        </is>
      </c>
      <c r="M4" s="89" t="inlineStr">
        <is>
          <t>Valor investido hoje (R$)</t>
        </is>
      </c>
      <c r="N4" s="89" t="inlineStr">
        <is>
          <t>Renda mensal atual (R$)</t>
        </is>
      </c>
      <c r="O4" s="89" t="inlineStr">
        <is>
          <t>% da meta</t>
        </is>
      </c>
      <c r="P4" s="89" t="inlineStr">
        <is>
          <t>Cotas faltantes</t>
        </is>
      </c>
      <c r="Q4" s="89" t="inlineStr">
        <is>
          <t>Valor faltante (R$)</t>
        </is>
      </c>
      <c r="R4" s="89" t="inlineStr">
        <is>
          <t>Cotas por mês</t>
        </is>
      </c>
      <c r="S4" s="89" t="inlineStr">
        <is>
          <t>Aporte mensal no prazo (R$)</t>
        </is>
      </c>
      <c r="T4" s="89" t="inlineStr">
        <is>
          <t>Aporte mensal reinvestindo proventos (R$)</t>
        </is>
      </c>
      <c r="U4" s="89" t="inlineStr">
        <is>
          <t>Data prevista</t>
        </is>
      </c>
    </row>
    <row r="5">
      <c r="A5" s="90">
        <f>Carteira!A5</f>
        <v/>
      </c>
      <c r="B5" s="90">
        <f>Carteira!B5</f>
        <v/>
      </c>
      <c r="C5" s="90">
        <f>Carteira!AB5</f>
        <v/>
      </c>
      <c r="D5" s="93">
        <f>Carteira!F5</f>
        <v/>
      </c>
      <c r="E5" s="118">
        <f>Carteira!U5</f>
        <v/>
      </c>
      <c r="F5" s="119">
        <f>IF(D5&gt;0,E5/D5,0)</f>
        <v/>
      </c>
      <c r="G5" s="120">
        <f>IF(A5="","",META_MENSAL)</f>
        <v/>
      </c>
      <c r="H5" s="121">
        <f>IF(A5="","",PRAZO_META)</f>
        <v/>
      </c>
      <c r="I5" s="91">
        <f>IF(N(G5)=0,"",IF(E5&gt;0,ROUNDUP(G5/E5,0),"sem proventos"))</f>
        <v/>
      </c>
      <c r="J5" s="97">
        <f>IF(ISNUMBER(I5),I5*D5,"")</f>
        <v/>
      </c>
      <c r="K5" s="122">
        <f>Carteira!C5</f>
        <v/>
      </c>
      <c r="L5" s="93">
        <f>Carteira!D5</f>
        <v/>
      </c>
      <c r="M5" s="123">
        <f>Carteira!E5</f>
        <v/>
      </c>
      <c r="N5" s="93">
        <f>Carteira!V5</f>
        <v/>
      </c>
      <c r="O5" s="94">
        <f>IF(N(G5)&gt;0,MIN(1,N5/G5),0)</f>
        <v/>
      </c>
      <c r="P5" s="91">
        <f>IF(ISNUMBER(I5),MAX(0,I5-K5),"")</f>
        <v/>
      </c>
      <c r="Q5" s="97">
        <f>IF(ISNUMBER(P5),P5*D5,"")</f>
        <v/>
      </c>
      <c r="R5" s="91">
        <f>IF(AND(ISNUMBER(P5),N(H5)&gt;0),ROUNDUP(P5/H5,0),"")</f>
        <v/>
      </c>
      <c r="S5" s="97">
        <f>IF(AND(ISNUMBER(Q5),N(H5)&gt;0),Q5/H5,"")</f>
        <v/>
      </c>
      <c r="T5" s="97">
        <f>IF(NOT(ISNUMBER(S5)),"",IF(F5&gt;0,Q5*F5/((1+F5)^H5-1),S5))</f>
        <v/>
      </c>
      <c r="U5" s="124">
        <f>IF(N(H5)&gt;0,EDATE(TODAY(),H5),"")</f>
        <v/>
      </c>
    </row>
    <row r="6">
      <c r="A6" s="100">
        <f>Carteira!A6</f>
        <v/>
      </c>
      <c r="B6" s="100">
        <f>Carteira!B6</f>
        <v/>
      </c>
      <c r="C6" s="100">
        <f>Carteira!AB6</f>
        <v/>
      </c>
      <c r="D6" s="103">
        <f>Carteira!F6</f>
        <v/>
      </c>
      <c r="E6" s="125">
        <f>Carteira!U6</f>
        <v/>
      </c>
      <c r="F6" s="126">
        <f>IF(D6&gt;0,E6/D6,0)</f>
        <v/>
      </c>
      <c r="G6" s="127" t="n">
        <v>300</v>
      </c>
      <c r="H6" s="128" t="n">
        <v>48</v>
      </c>
      <c r="I6" s="101">
        <f>IF(N(G6)=0,"",IF(E6&gt;0,ROUNDUP(G6/E6,0),"sem proventos"))</f>
        <v/>
      </c>
      <c r="J6" s="107">
        <f>IF(ISNUMBER(I6),I6*D6,"")</f>
        <v/>
      </c>
      <c r="K6" s="129">
        <f>Carteira!C6</f>
        <v/>
      </c>
      <c r="L6" s="103">
        <f>Carteira!D6</f>
        <v/>
      </c>
      <c r="M6" s="130">
        <f>Carteira!E6</f>
        <v/>
      </c>
      <c r="N6" s="103">
        <f>Carteira!V6</f>
        <v/>
      </c>
      <c r="O6" s="104">
        <f>IF(N(G6)&gt;0,MIN(1,N6/G6),0)</f>
        <v/>
      </c>
      <c r="P6" s="101">
        <f>IF(ISNUMBER(I6),MAX(0,I6-K6),"")</f>
        <v/>
      </c>
      <c r="Q6" s="107">
        <f>IF(ISNUMBER(P6),P6*D6,"")</f>
        <v/>
      </c>
      <c r="R6" s="101">
        <f>IF(AND(ISNUMBER(P6),N(H6)&gt;0),ROUNDUP(P6/H6,0),"")</f>
        <v/>
      </c>
      <c r="S6" s="107">
        <f>IF(AND(ISNUMBER(Q6),N(H6)&gt;0),Q6/H6,"")</f>
        <v/>
      </c>
      <c r="T6" s="107">
        <f>IF(NOT(ISNUMBER(S6)),"",IF(F6&gt;0,Q6*F6/((1+F6)^H6-1),S6))</f>
        <v/>
      </c>
      <c r="U6" s="131">
        <f>IF(N(H6)&gt;0,EDATE(TODAY(),H6),"")</f>
        <v/>
      </c>
    </row>
    <row r="7">
      <c r="A7" s="90">
        <f>Carteira!A7</f>
        <v/>
      </c>
      <c r="B7" s="90">
        <f>Carteira!B7</f>
        <v/>
      </c>
      <c r="C7" s="90">
        <f>Carteira!AB7</f>
        <v/>
      </c>
      <c r="D7" s="93">
        <f>Carteira!F7</f>
        <v/>
      </c>
      <c r="E7" s="118">
        <f>Carteira!U7</f>
        <v/>
      </c>
      <c r="F7" s="119">
        <f>IF(D7&gt;0,E7/D7,0)</f>
        <v/>
      </c>
      <c r="G7" s="120">
        <f>IF(A7="","",META_MENSAL)</f>
        <v/>
      </c>
      <c r="H7" s="121">
        <f>IF(A7="","",PRAZO_META)</f>
        <v/>
      </c>
      <c r="I7" s="91">
        <f>IF(N(G7)=0,"",IF(E7&gt;0,ROUNDUP(G7/E7,0),"sem proventos"))</f>
        <v/>
      </c>
      <c r="J7" s="97">
        <f>IF(ISNUMBER(I7),I7*D7,"")</f>
        <v/>
      </c>
      <c r="K7" s="122">
        <f>Carteira!C7</f>
        <v/>
      </c>
      <c r="L7" s="93">
        <f>Carteira!D7</f>
        <v/>
      </c>
      <c r="M7" s="123">
        <f>Carteira!E7</f>
        <v/>
      </c>
      <c r="N7" s="93">
        <f>Carteira!V7</f>
        <v/>
      </c>
      <c r="O7" s="94">
        <f>IF(N(G7)&gt;0,MIN(1,N7/G7),0)</f>
        <v/>
      </c>
      <c r="P7" s="91">
        <f>IF(ISNUMBER(I7),MAX(0,I7-K7),"")</f>
        <v/>
      </c>
      <c r="Q7" s="97">
        <f>IF(ISNUMBER(P7),P7*D7,"")</f>
        <v/>
      </c>
      <c r="R7" s="91">
        <f>IF(AND(ISNUMBER(P7),N(H7)&gt;0),ROUNDUP(P7/H7,0),"")</f>
        <v/>
      </c>
      <c r="S7" s="97">
        <f>IF(AND(ISNUMBER(Q7),N(H7)&gt;0),Q7/H7,"")</f>
        <v/>
      </c>
      <c r="T7" s="97">
        <f>IF(NOT(ISNUMBER(S7)),"",IF(F7&gt;0,Q7*F7/((1+F7)^H7-1),S7))</f>
        <v/>
      </c>
      <c r="U7" s="124">
        <f>IF(N(H7)&gt;0,EDATE(TODAY(),H7),"")</f>
        <v/>
      </c>
    </row>
    <row r="8">
      <c r="A8" s="100">
        <f>Carteira!A8</f>
        <v/>
      </c>
      <c r="B8" s="100">
        <f>Carteira!B8</f>
        <v/>
      </c>
      <c r="C8" s="100">
        <f>Carteira!AB8</f>
        <v/>
      </c>
      <c r="D8" s="103">
        <f>Carteira!F8</f>
        <v/>
      </c>
      <c r="E8" s="125">
        <f>Carteira!U8</f>
        <v/>
      </c>
      <c r="F8" s="126">
        <f>IF(D8&gt;0,E8/D8,0)</f>
        <v/>
      </c>
      <c r="G8" s="120">
        <f>IF(A8="","",META_MENSAL)</f>
        <v/>
      </c>
      <c r="H8" s="121">
        <f>IF(A8="","",PRAZO_META)</f>
        <v/>
      </c>
      <c r="I8" s="101">
        <f>IF(N(G8)=0,"",IF(E8&gt;0,ROUNDUP(G8/E8,0),"sem proventos"))</f>
        <v/>
      </c>
      <c r="J8" s="107">
        <f>IF(ISNUMBER(I8),I8*D8,"")</f>
        <v/>
      </c>
      <c r="K8" s="129">
        <f>Carteira!C8</f>
        <v/>
      </c>
      <c r="L8" s="103">
        <f>Carteira!D8</f>
        <v/>
      </c>
      <c r="M8" s="130">
        <f>Carteira!E8</f>
        <v/>
      </c>
      <c r="N8" s="103">
        <f>Carteira!V8</f>
        <v/>
      </c>
      <c r="O8" s="104">
        <f>IF(N(G8)&gt;0,MIN(1,N8/G8),0)</f>
        <v/>
      </c>
      <c r="P8" s="101">
        <f>IF(ISNUMBER(I8),MAX(0,I8-K8),"")</f>
        <v/>
      </c>
      <c r="Q8" s="107">
        <f>IF(ISNUMBER(P8),P8*D8,"")</f>
        <v/>
      </c>
      <c r="R8" s="101">
        <f>IF(AND(ISNUMBER(P8),N(H8)&gt;0),ROUNDUP(P8/H8,0),"")</f>
        <v/>
      </c>
      <c r="S8" s="107">
        <f>IF(AND(ISNUMBER(Q8),N(H8)&gt;0),Q8/H8,"")</f>
        <v/>
      </c>
      <c r="T8" s="107">
        <f>IF(NOT(ISNUMBER(S8)),"",IF(F8&gt;0,Q8*F8/((1+F8)^H8-1),S8))</f>
        <v/>
      </c>
      <c r="U8" s="131">
        <f>IF(N(H8)&gt;0,EDATE(TODAY(),H8),"")</f>
        <v/>
      </c>
    </row>
    <row r="9">
      <c r="A9" s="90">
        <f>Carteira!A9</f>
        <v/>
      </c>
      <c r="B9" s="90">
        <f>Carteira!B9</f>
        <v/>
      </c>
      <c r="C9" s="90">
        <f>Carteira!AB9</f>
        <v/>
      </c>
      <c r="D9" s="93">
        <f>Carteira!F9</f>
        <v/>
      </c>
      <c r="E9" s="118">
        <f>Carteira!U9</f>
        <v/>
      </c>
      <c r="F9" s="119">
        <f>IF(D9&gt;0,E9/D9,0)</f>
        <v/>
      </c>
      <c r="G9" s="120">
        <f>IF(A9="","",META_MENSAL)</f>
        <v/>
      </c>
      <c r="H9" s="121">
        <f>IF(A9="","",PRAZO_META)</f>
        <v/>
      </c>
      <c r="I9" s="91">
        <f>IF(N(G9)=0,"",IF(E9&gt;0,ROUNDUP(G9/E9,0),"sem proventos"))</f>
        <v/>
      </c>
      <c r="J9" s="97">
        <f>IF(ISNUMBER(I9),I9*D9,"")</f>
        <v/>
      </c>
      <c r="K9" s="122">
        <f>Carteira!C9</f>
        <v/>
      </c>
      <c r="L9" s="93">
        <f>Carteira!D9</f>
        <v/>
      </c>
      <c r="M9" s="123">
        <f>Carteira!E9</f>
        <v/>
      </c>
      <c r="N9" s="93">
        <f>Carteira!V9</f>
        <v/>
      </c>
      <c r="O9" s="94">
        <f>IF(N(G9)&gt;0,MIN(1,N9/G9),0)</f>
        <v/>
      </c>
      <c r="P9" s="91">
        <f>IF(ISNUMBER(I9),MAX(0,I9-K9),"")</f>
        <v/>
      </c>
      <c r="Q9" s="97">
        <f>IF(ISNUMBER(P9),P9*D9,"")</f>
        <v/>
      </c>
      <c r="R9" s="91">
        <f>IF(AND(ISNUMBER(P9),N(H9)&gt;0),ROUNDUP(P9/H9,0),"")</f>
        <v/>
      </c>
      <c r="S9" s="97">
        <f>IF(AND(ISNUMBER(Q9),N(H9)&gt;0),Q9/H9,"")</f>
        <v/>
      </c>
      <c r="T9" s="97">
        <f>IF(NOT(ISNUMBER(S9)),"",IF(F9&gt;0,Q9*F9/((1+F9)^H9-1),S9))</f>
        <v/>
      </c>
      <c r="U9" s="124">
        <f>IF(N(H9)&gt;0,EDATE(TODAY(),H9),"")</f>
        <v/>
      </c>
    </row>
    <row r="10">
      <c r="A10" s="100">
        <f>Carteira!A10</f>
        <v/>
      </c>
      <c r="B10" s="100">
        <f>Carteira!B10</f>
        <v/>
      </c>
      <c r="C10" s="100">
        <f>Carteira!AB10</f>
        <v/>
      </c>
      <c r="D10" s="103">
        <f>Carteira!F10</f>
        <v/>
      </c>
      <c r="E10" s="125">
        <f>Carteira!U10</f>
        <v/>
      </c>
      <c r="F10" s="126">
        <f>IF(D10&gt;0,E10/D10,0)</f>
        <v/>
      </c>
      <c r="G10" s="120">
        <f>IF(A10="","",META_MENSAL)</f>
        <v/>
      </c>
      <c r="H10" s="121">
        <f>IF(A10="","",PRAZO_META)</f>
        <v/>
      </c>
      <c r="I10" s="101">
        <f>IF(N(G10)=0,"",IF(E10&gt;0,ROUNDUP(G10/E10,0),"sem proventos"))</f>
        <v/>
      </c>
      <c r="J10" s="107">
        <f>IF(ISNUMBER(I10),I10*D10,"")</f>
        <v/>
      </c>
      <c r="K10" s="129">
        <f>Carteira!C10</f>
        <v/>
      </c>
      <c r="L10" s="103">
        <f>Carteira!D10</f>
        <v/>
      </c>
      <c r="M10" s="130">
        <f>Carteira!E10</f>
        <v/>
      </c>
      <c r="N10" s="103">
        <f>Carteira!V10</f>
        <v/>
      </c>
      <c r="O10" s="104">
        <f>IF(N(G10)&gt;0,MIN(1,N10/G10),0)</f>
        <v/>
      </c>
      <c r="P10" s="101">
        <f>IF(ISNUMBER(I10),MAX(0,I10-K10),"")</f>
        <v/>
      </c>
      <c r="Q10" s="107">
        <f>IF(ISNUMBER(P10),P10*D10,"")</f>
        <v/>
      </c>
      <c r="R10" s="101">
        <f>IF(AND(ISNUMBER(P10),N(H10)&gt;0),ROUNDUP(P10/H10,0),"")</f>
        <v/>
      </c>
      <c r="S10" s="107">
        <f>IF(AND(ISNUMBER(Q10),N(H10)&gt;0),Q10/H10,"")</f>
        <v/>
      </c>
      <c r="T10" s="107">
        <f>IF(NOT(ISNUMBER(S10)),"",IF(F10&gt;0,Q10*F10/((1+F10)^H10-1),S10))</f>
        <v/>
      </c>
      <c r="U10" s="131">
        <f>IF(N(H10)&gt;0,EDATE(TODAY(),H10),"")</f>
        <v/>
      </c>
    </row>
    <row r="11">
      <c r="A11" s="90">
        <f>Carteira!A11</f>
        <v/>
      </c>
      <c r="B11" s="90">
        <f>Carteira!B11</f>
        <v/>
      </c>
      <c r="C11" s="90">
        <f>Carteira!AB11</f>
        <v/>
      </c>
      <c r="D11" s="93">
        <f>Carteira!F11</f>
        <v/>
      </c>
      <c r="E11" s="118">
        <f>Carteira!U11</f>
        <v/>
      </c>
      <c r="F11" s="119">
        <f>IF(D11&gt;0,E11/D11,0)</f>
        <v/>
      </c>
      <c r="G11" s="120">
        <f>IF(A11="","",META_MENSAL)</f>
        <v/>
      </c>
      <c r="H11" s="121">
        <f>IF(A11="","",PRAZO_META)</f>
        <v/>
      </c>
      <c r="I11" s="91">
        <f>IF(N(G11)=0,"",IF(E11&gt;0,ROUNDUP(G11/E11,0),"sem proventos"))</f>
        <v/>
      </c>
      <c r="J11" s="97">
        <f>IF(ISNUMBER(I11),I11*D11,"")</f>
        <v/>
      </c>
      <c r="K11" s="122">
        <f>Carteira!C11</f>
        <v/>
      </c>
      <c r="L11" s="93">
        <f>Carteira!D11</f>
        <v/>
      </c>
      <c r="M11" s="123">
        <f>Carteira!E11</f>
        <v/>
      </c>
      <c r="N11" s="93">
        <f>Carteira!V11</f>
        <v/>
      </c>
      <c r="O11" s="94">
        <f>IF(N(G11)&gt;0,MIN(1,N11/G11),0)</f>
        <v/>
      </c>
      <c r="P11" s="91">
        <f>IF(ISNUMBER(I11),MAX(0,I11-K11),"")</f>
        <v/>
      </c>
      <c r="Q11" s="97">
        <f>IF(ISNUMBER(P11),P11*D11,"")</f>
        <v/>
      </c>
      <c r="R11" s="91">
        <f>IF(AND(ISNUMBER(P11),N(H11)&gt;0),ROUNDUP(P11/H11,0),"")</f>
        <v/>
      </c>
      <c r="S11" s="97">
        <f>IF(AND(ISNUMBER(Q11),N(H11)&gt;0),Q11/H11,"")</f>
        <v/>
      </c>
      <c r="T11" s="97">
        <f>IF(NOT(ISNUMBER(S11)),"",IF(F11&gt;0,Q11*F11/((1+F11)^H11-1),S11))</f>
        <v/>
      </c>
      <c r="U11" s="124">
        <f>IF(N(H11)&gt;0,EDATE(TODAY(),H11),"")</f>
        <v/>
      </c>
    </row>
    <row r="12">
      <c r="A12" s="100">
        <f>Carteira!A12</f>
        <v/>
      </c>
      <c r="B12" s="100">
        <f>Carteira!B12</f>
        <v/>
      </c>
      <c r="C12" s="100">
        <f>Carteira!AB12</f>
        <v/>
      </c>
      <c r="D12" s="103">
        <f>Carteira!F12</f>
        <v/>
      </c>
      <c r="E12" s="125">
        <f>Carteira!U12</f>
        <v/>
      </c>
      <c r="F12" s="126">
        <f>IF(D12&gt;0,E12/D12,0)</f>
        <v/>
      </c>
      <c r="G12" s="120">
        <f>IF(A12="","",META_MENSAL)</f>
        <v/>
      </c>
      <c r="H12" s="121">
        <f>IF(A12="","",PRAZO_META)</f>
        <v/>
      </c>
      <c r="I12" s="101">
        <f>IF(N(G12)=0,"",IF(E12&gt;0,ROUNDUP(G12/E12,0),"sem proventos"))</f>
        <v/>
      </c>
      <c r="J12" s="107">
        <f>IF(ISNUMBER(I12),I12*D12,"")</f>
        <v/>
      </c>
      <c r="K12" s="129">
        <f>Carteira!C12</f>
        <v/>
      </c>
      <c r="L12" s="103">
        <f>Carteira!D12</f>
        <v/>
      </c>
      <c r="M12" s="130">
        <f>Carteira!E12</f>
        <v/>
      </c>
      <c r="N12" s="103">
        <f>Carteira!V12</f>
        <v/>
      </c>
      <c r="O12" s="104">
        <f>IF(N(G12)&gt;0,MIN(1,N12/G12),0)</f>
        <v/>
      </c>
      <c r="P12" s="101">
        <f>IF(ISNUMBER(I12),MAX(0,I12-K12),"")</f>
        <v/>
      </c>
      <c r="Q12" s="107">
        <f>IF(ISNUMBER(P12),P12*D12,"")</f>
        <v/>
      </c>
      <c r="R12" s="101">
        <f>IF(AND(ISNUMBER(P12),N(H12)&gt;0),ROUNDUP(P12/H12,0),"")</f>
        <v/>
      </c>
      <c r="S12" s="107">
        <f>IF(AND(ISNUMBER(Q12),N(H12)&gt;0),Q12/H12,"")</f>
        <v/>
      </c>
      <c r="T12" s="107">
        <f>IF(NOT(ISNUMBER(S12)),"",IF(F12&gt;0,Q12*F12/((1+F12)^H12-1),S12))</f>
        <v/>
      </c>
      <c r="U12" s="131">
        <f>IF(N(H12)&gt;0,EDATE(TODAY(),H12),"")</f>
        <v/>
      </c>
    </row>
    <row r="13">
      <c r="A13" s="90">
        <f>Carteira!A13</f>
        <v/>
      </c>
      <c r="B13" s="90">
        <f>Carteira!B13</f>
        <v/>
      </c>
      <c r="C13" s="90">
        <f>Carteira!AB13</f>
        <v/>
      </c>
      <c r="D13" s="93">
        <f>Carteira!F13</f>
        <v/>
      </c>
      <c r="E13" s="118">
        <f>Carteira!U13</f>
        <v/>
      </c>
      <c r="F13" s="119">
        <f>IF(D13&gt;0,E13/D13,0)</f>
        <v/>
      </c>
      <c r="G13" s="120">
        <f>IF(A13="","",META_MENSAL)</f>
        <v/>
      </c>
      <c r="H13" s="121">
        <f>IF(A13="","",PRAZO_META)</f>
        <v/>
      </c>
      <c r="I13" s="91">
        <f>IF(N(G13)=0,"",IF(E13&gt;0,ROUNDUP(G13/E13,0),"sem proventos"))</f>
        <v/>
      </c>
      <c r="J13" s="97">
        <f>IF(ISNUMBER(I13),I13*D13,"")</f>
        <v/>
      </c>
      <c r="K13" s="122">
        <f>Carteira!C13</f>
        <v/>
      </c>
      <c r="L13" s="93">
        <f>Carteira!D13</f>
        <v/>
      </c>
      <c r="M13" s="123">
        <f>Carteira!E13</f>
        <v/>
      </c>
      <c r="N13" s="93">
        <f>Carteira!V13</f>
        <v/>
      </c>
      <c r="O13" s="94">
        <f>IF(N(G13)&gt;0,MIN(1,N13/G13),0)</f>
        <v/>
      </c>
      <c r="P13" s="91">
        <f>IF(ISNUMBER(I13),MAX(0,I13-K13),"")</f>
        <v/>
      </c>
      <c r="Q13" s="97">
        <f>IF(ISNUMBER(P13),P13*D13,"")</f>
        <v/>
      </c>
      <c r="R13" s="91">
        <f>IF(AND(ISNUMBER(P13),N(H13)&gt;0),ROUNDUP(P13/H13,0),"")</f>
        <v/>
      </c>
      <c r="S13" s="97">
        <f>IF(AND(ISNUMBER(Q13),N(H13)&gt;0),Q13/H13,"")</f>
        <v/>
      </c>
      <c r="T13" s="97">
        <f>IF(NOT(ISNUMBER(S13)),"",IF(F13&gt;0,Q13*F13/((1+F13)^H13-1),S13))</f>
        <v/>
      </c>
      <c r="U13" s="124">
        <f>IF(N(H13)&gt;0,EDATE(TODAY(),H13),"")</f>
        <v/>
      </c>
    </row>
    <row r="14">
      <c r="A14" s="100">
        <f>Carteira!A14</f>
        <v/>
      </c>
      <c r="B14" s="100">
        <f>Carteira!B14</f>
        <v/>
      </c>
      <c r="C14" s="100">
        <f>Carteira!AB14</f>
        <v/>
      </c>
      <c r="D14" s="103">
        <f>Carteira!F14</f>
        <v/>
      </c>
      <c r="E14" s="125">
        <f>Carteira!U14</f>
        <v/>
      </c>
      <c r="F14" s="126">
        <f>IF(D14&gt;0,E14/D14,0)</f>
        <v/>
      </c>
      <c r="G14" s="120">
        <f>IF(A14="","",META_MENSAL)</f>
        <v/>
      </c>
      <c r="H14" s="121">
        <f>IF(A14="","",PRAZO_META)</f>
        <v/>
      </c>
      <c r="I14" s="101">
        <f>IF(N(G14)=0,"",IF(E14&gt;0,ROUNDUP(G14/E14,0),"sem proventos"))</f>
        <v/>
      </c>
      <c r="J14" s="107">
        <f>IF(ISNUMBER(I14),I14*D14,"")</f>
        <v/>
      </c>
      <c r="K14" s="129">
        <f>Carteira!C14</f>
        <v/>
      </c>
      <c r="L14" s="103">
        <f>Carteira!D14</f>
        <v/>
      </c>
      <c r="M14" s="130">
        <f>Carteira!E14</f>
        <v/>
      </c>
      <c r="N14" s="103">
        <f>Carteira!V14</f>
        <v/>
      </c>
      <c r="O14" s="104">
        <f>IF(N(G14)&gt;0,MIN(1,N14/G14),0)</f>
        <v/>
      </c>
      <c r="P14" s="101">
        <f>IF(ISNUMBER(I14),MAX(0,I14-K14),"")</f>
        <v/>
      </c>
      <c r="Q14" s="107">
        <f>IF(ISNUMBER(P14),P14*D14,"")</f>
        <v/>
      </c>
      <c r="R14" s="101">
        <f>IF(AND(ISNUMBER(P14),N(H14)&gt;0),ROUNDUP(P14/H14,0),"")</f>
        <v/>
      </c>
      <c r="S14" s="107">
        <f>IF(AND(ISNUMBER(Q14),N(H14)&gt;0),Q14/H14,"")</f>
        <v/>
      </c>
      <c r="T14" s="107">
        <f>IF(NOT(ISNUMBER(S14)),"",IF(F14&gt;0,Q14*F14/((1+F14)^H14-1),S14))</f>
        <v/>
      </c>
      <c r="U14" s="131">
        <f>IF(N(H14)&gt;0,EDATE(TODAY(),H14),"")</f>
        <v/>
      </c>
    </row>
    <row r="15">
      <c r="A15" s="90">
        <f>Carteira!A15</f>
        <v/>
      </c>
      <c r="B15" s="90">
        <f>Carteira!B15</f>
        <v/>
      </c>
      <c r="C15" s="90">
        <f>Carteira!AB15</f>
        <v/>
      </c>
      <c r="D15" s="93">
        <f>Carteira!F15</f>
        <v/>
      </c>
      <c r="E15" s="118">
        <f>Carteira!U15</f>
        <v/>
      </c>
      <c r="F15" s="119">
        <f>IF(D15&gt;0,E15/D15,0)</f>
        <v/>
      </c>
      <c r="G15" s="127" t="n">
        <v>500</v>
      </c>
      <c r="H15" s="128" t="n">
        <v>36</v>
      </c>
      <c r="I15" s="91">
        <f>IF(N(G15)=0,"",IF(E15&gt;0,ROUNDUP(G15/E15,0),"sem proventos"))</f>
        <v/>
      </c>
      <c r="J15" s="97">
        <f>IF(ISNUMBER(I15),I15*D15,"")</f>
        <v/>
      </c>
      <c r="K15" s="122">
        <f>Carteira!C15</f>
        <v/>
      </c>
      <c r="L15" s="93">
        <f>Carteira!D15</f>
        <v/>
      </c>
      <c r="M15" s="123">
        <f>Carteira!E15</f>
        <v/>
      </c>
      <c r="N15" s="93">
        <f>Carteira!V15</f>
        <v/>
      </c>
      <c r="O15" s="94">
        <f>IF(N(G15)&gt;0,MIN(1,N15/G15),0)</f>
        <v/>
      </c>
      <c r="P15" s="91">
        <f>IF(ISNUMBER(I15),MAX(0,I15-K15),"")</f>
        <v/>
      </c>
      <c r="Q15" s="97">
        <f>IF(ISNUMBER(P15),P15*D15,"")</f>
        <v/>
      </c>
      <c r="R15" s="91">
        <f>IF(AND(ISNUMBER(P15),N(H15)&gt;0),ROUNDUP(P15/H15,0),"")</f>
        <v/>
      </c>
      <c r="S15" s="97">
        <f>IF(AND(ISNUMBER(Q15),N(H15)&gt;0),Q15/H15,"")</f>
        <v/>
      </c>
      <c r="T15" s="97">
        <f>IF(NOT(ISNUMBER(S15)),"",IF(F15&gt;0,Q15*F15/((1+F15)^H15-1),S15))</f>
        <v/>
      </c>
      <c r="U15" s="124">
        <f>IF(N(H15)&gt;0,EDATE(TODAY(),H15),"")</f>
        <v/>
      </c>
    </row>
    <row r="16">
      <c r="A16" s="100">
        <f>Carteira!A16</f>
        <v/>
      </c>
      <c r="B16" s="100">
        <f>Carteira!B16</f>
        <v/>
      </c>
      <c r="C16" s="100">
        <f>Carteira!AB16</f>
        <v/>
      </c>
      <c r="D16" s="103">
        <f>Carteira!F16</f>
        <v/>
      </c>
      <c r="E16" s="125">
        <f>Carteira!U16</f>
        <v/>
      </c>
      <c r="F16" s="126">
        <f>IF(D16&gt;0,E16/D16,0)</f>
        <v/>
      </c>
      <c r="G16" s="120">
        <f>IF(A16="","",META_MENSAL)</f>
        <v/>
      </c>
      <c r="H16" s="121">
        <f>IF(A16="","",PRAZO_META)</f>
        <v/>
      </c>
      <c r="I16" s="101">
        <f>IF(N(G16)=0,"",IF(E16&gt;0,ROUNDUP(G16/E16,0),"sem proventos"))</f>
        <v/>
      </c>
      <c r="J16" s="107">
        <f>IF(ISNUMBER(I16),I16*D16,"")</f>
        <v/>
      </c>
      <c r="K16" s="129">
        <f>Carteira!C16</f>
        <v/>
      </c>
      <c r="L16" s="103">
        <f>Carteira!D16</f>
        <v/>
      </c>
      <c r="M16" s="130">
        <f>Carteira!E16</f>
        <v/>
      </c>
      <c r="N16" s="103">
        <f>Carteira!V16</f>
        <v/>
      </c>
      <c r="O16" s="104">
        <f>IF(N(G16)&gt;0,MIN(1,N16/G16),0)</f>
        <v/>
      </c>
      <c r="P16" s="101">
        <f>IF(ISNUMBER(I16),MAX(0,I16-K16),"")</f>
        <v/>
      </c>
      <c r="Q16" s="107">
        <f>IF(ISNUMBER(P16),P16*D16,"")</f>
        <v/>
      </c>
      <c r="R16" s="101">
        <f>IF(AND(ISNUMBER(P16),N(H16)&gt;0),ROUNDUP(P16/H16,0),"")</f>
        <v/>
      </c>
      <c r="S16" s="107">
        <f>IF(AND(ISNUMBER(Q16),N(H16)&gt;0),Q16/H16,"")</f>
        <v/>
      </c>
      <c r="T16" s="107">
        <f>IF(NOT(ISNUMBER(S16)),"",IF(F16&gt;0,Q16*F16/((1+F16)^H16-1),S16))</f>
        <v/>
      </c>
      <c r="U16" s="131">
        <f>IF(N(H16)&gt;0,EDATE(TODAY(),H16),"")</f>
        <v/>
      </c>
    </row>
    <row r="17">
      <c r="A17" s="90">
        <f>Carteira!A17</f>
        <v/>
      </c>
      <c r="B17" s="90">
        <f>Carteira!B17</f>
        <v/>
      </c>
      <c r="C17" s="90">
        <f>Carteira!AB17</f>
        <v/>
      </c>
      <c r="D17" s="93">
        <f>Carteira!F17</f>
        <v/>
      </c>
      <c r="E17" s="118">
        <f>Carteira!U17</f>
        <v/>
      </c>
      <c r="F17" s="119">
        <f>IF(D17&gt;0,E17/D17,0)</f>
        <v/>
      </c>
      <c r="G17" s="120">
        <f>IF(A17="","",META_MENSAL)</f>
        <v/>
      </c>
      <c r="H17" s="121">
        <f>IF(A17="","",PRAZO_META)</f>
        <v/>
      </c>
      <c r="I17" s="91">
        <f>IF(N(G17)=0,"",IF(E17&gt;0,ROUNDUP(G17/E17,0),"sem proventos"))</f>
        <v/>
      </c>
      <c r="J17" s="97">
        <f>IF(ISNUMBER(I17),I17*D17,"")</f>
        <v/>
      </c>
      <c r="K17" s="122">
        <f>Carteira!C17</f>
        <v/>
      </c>
      <c r="L17" s="93">
        <f>Carteira!D17</f>
        <v/>
      </c>
      <c r="M17" s="123">
        <f>Carteira!E17</f>
        <v/>
      </c>
      <c r="N17" s="93">
        <f>Carteira!V17</f>
        <v/>
      </c>
      <c r="O17" s="94">
        <f>IF(N(G17)&gt;0,MIN(1,N17/G17),0)</f>
        <v/>
      </c>
      <c r="P17" s="91">
        <f>IF(ISNUMBER(I17),MAX(0,I17-K17),"")</f>
        <v/>
      </c>
      <c r="Q17" s="97">
        <f>IF(ISNUMBER(P17),P17*D17,"")</f>
        <v/>
      </c>
      <c r="R17" s="91">
        <f>IF(AND(ISNUMBER(P17),N(H17)&gt;0),ROUNDUP(P17/H17,0),"")</f>
        <v/>
      </c>
      <c r="S17" s="97">
        <f>IF(AND(ISNUMBER(Q17),N(H17)&gt;0),Q17/H17,"")</f>
        <v/>
      </c>
      <c r="T17" s="97">
        <f>IF(NOT(ISNUMBER(S17)),"",IF(F17&gt;0,Q17*F17/((1+F17)^H17-1),S17))</f>
        <v/>
      </c>
      <c r="U17" s="124">
        <f>IF(N(H17)&gt;0,EDATE(TODAY(),H17),"")</f>
        <v/>
      </c>
    </row>
    <row r="18">
      <c r="A18" s="100">
        <f>Carteira!A18</f>
        <v/>
      </c>
      <c r="B18" s="100">
        <f>Carteira!B18</f>
        <v/>
      </c>
      <c r="C18" s="100">
        <f>Carteira!AB18</f>
        <v/>
      </c>
      <c r="D18" s="103">
        <f>Carteira!F18</f>
        <v/>
      </c>
      <c r="E18" s="125">
        <f>Carteira!U18</f>
        <v/>
      </c>
      <c r="F18" s="126">
        <f>IF(D18&gt;0,E18/D18,0)</f>
        <v/>
      </c>
      <c r="G18" s="120">
        <f>IF(A18="","",META_MENSAL)</f>
        <v/>
      </c>
      <c r="H18" s="121">
        <f>IF(A18="","",PRAZO_META)</f>
        <v/>
      </c>
      <c r="I18" s="101">
        <f>IF(N(G18)=0,"",IF(E18&gt;0,ROUNDUP(G18/E18,0),"sem proventos"))</f>
        <v/>
      </c>
      <c r="J18" s="107">
        <f>IF(ISNUMBER(I18),I18*D18,"")</f>
        <v/>
      </c>
      <c r="K18" s="129">
        <f>Carteira!C18</f>
        <v/>
      </c>
      <c r="L18" s="103">
        <f>Carteira!D18</f>
        <v/>
      </c>
      <c r="M18" s="130">
        <f>Carteira!E18</f>
        <v/>
      </c>
      <c r="N18" s="103">
        <f>Carteira!V18</f>
        <v/>
      </c>
      <c r="O18" s="104">
        <f>IF(N(G18)&gt;0,MIN(1,N18/G18),0)</f>
        <v/>
      </c>
      <c r="P18" s="101">
        <f>IF(ISNUMBER(I18),MAX(0,I18-K18),"")</f>
        <v/>
      </c>
      <c r="Q18" s="107">
        <f>IF(ISNUMBER(P18),P18*D18,"")</f>
        <v/>
      </c>
      <c r="R18" s="101">
        <f>IF(AND(ISNUMBER(P18),N(H18)&gt;0),ROUNDUP(P18/H18,0),"")</f>
        <v/>
      </c>
      <c r="S18" s="107">
        <f>IF(AND(ISNUMBER(Q18),N(H18)&gt;0),Q18/H18,"")</f>
        <v/>
      </c>
      <c r="T18" s="107">
        <f>IF(NOT(ISNUMBER(S18)),"",IF(F18&gt;0,Q18*F18/((1+F18)^H18-1),S18))</f>
        <v/>
      </c>
      <c r="U18" s="131">
        <f>IF(N(H18)&gt;0,EDATE(TODAY(),H18),"")</f>
        <v/>
      </c>
    </row>
    <row r="19">
      <c r="A19" s="90">
        <f>Carteira!A19</f>
        <v/>
      </c>
      <c r="B19" s="90">
        <f>Carteira!B19</f>
        <v/>
      </c>
      <c r="C19" s="90">
        <f>Carteira!AB19</f>
        <v/>
      </c>
      <c r="D19" s="93">
        <f>Carteira!F19</f>
        <v/>
      </c>
      <c r="E19" s="118">
        <f>Carteira!U19</f>
        <v/>
      </c>
      <c r="F19" s="119">
        <f>IF(D19&gt;0,E19/D19,0)</f>
        <v/>
      </c>
      <c r="G19" s="120">
        <f>IF(A19="","",META_MENSAL)</f>
        <v/>
      </c>
      <c r="H19" s="121">
        <f>IF(A19="","",PRAZO_META)</f>
        <v/>
      </c>
      <c r="I19" s="91">
        <f>IF(N(G19)=0,"",IF(E19&gt;0,ROUNDUP(G19/E19,0),"sem proventos"))</f>
        <v/>
      </c>
      <c r="J19" s="97">
        <f>IF(ISNUMBER(I19),I19*D19,"")</f>
        <v/>
      </c>
      <c r="K19" s="122">
        <f>Carteira!C19</f>
        <v/>
      </c>
      <c r="L19" s="93">
        <f>Carteira!D19</f>
        <v/>
      </c>
      <c r="M19" s="123">
        <f>Carteira!E19</f>
        <v/>
      </c>
      <c r="N19" s="93">
        <f>Carteira!V19</f>
        <v/>
      </c>
      <c r="O19" s="94">
        <f>IF(N(G19)&gt;0,MIN(1,N19/G19),0)</f>
        <v/>
      </c>
      <c r="P19" s="91">
        <f>IF(ISNUMBER(I19),MAX(0,I19-K19),"")</f>
        <v/>
      </c>
      <c r="Q19" s="97">
        <f>IF(ISNUMBER(P19),P19*D19,"")</f>
        <v/>
      </c>
      <c r="R19" s="91">
        <f>IF(AND(ISNUMBER(P19),N(H19)&gt;0),ROUNDUP(P19/H19,0),"")</f>
        <v/>
      </c>
      <c r="S19" s="97">
        <f>IF(AND(ISNUMBER(Q19),N(H19)&gt;0),Q19/H19,"")</f>
        <v/>
      </c>
      <c r="T19" s="97">
        <f>IF(NOT(ISNUMBER(S19)),"",IF(F19&gt;0,Q19*F19/((1+F19)^H19-1),S19))</f>
        <v/>
      </c>
      <c r="U19" s="124">
        <f>IF(N(H19)&gt;0,EDATE(TODAY(),H19),"")</f>
        <v/>
      </c>
    </row>
    <row r="20">
      <c r="A20" s="100">
        <f>Carteira!A20</f>
        <v/>
      </c>
      <c r="B20" s="100">
        <f>Carteira!B20</f>
        <v/>
      </c>
      <c r="C20" s="100">
        <f>Carteira!AB20</f>
        <v/>
      </c>
      <c r="D20" s="103">
        <f>Carteira!F20</f>
        <v/>
      </c>
      <c r="E20" s="125">
        <f>Carteira!U20</f>
        <v/>
      </c>
      <c r="F20" s="126">
        <f>IF(D20&gt;0,E20/D20,0)</f>
        <v/>
      </c>
      <c r="G20" s="120">
        <f>IF(A20="","",META_MENSAL)</f>
        <v/>
      </c>
      <c r="H20" s="121">
        <f>IF(A20="","",PRAZO_META)</f>
        <v/>
      </c>
      <c r="I20" s="101">
        <f>IF(N(G20)=0,"",IF(E20&gt;0,ROUNDUP(G20/E20,0),"sem proventos"))</f>
        <v/>
      </c>
      <c r="J20" s="107">
        <f>IF(ISNUMBER(I20),I20*D20,"")</f>
        <v/>
      </c>
      <c r="K20" s="129">
        <f>Carteira!C20</f>
        <v/>
      </c>
      <c r="L20" s="103">
        <f>Carteira!D20</f>
        <v/>
      </c>
      <c r="M20" s="130">
        <f>Carteira!E20</f>
        <v/>
      </c>
      <c r="N20" s="103">
        <f>Carteira!V20</f>
        <v/>
      </c>
      <c r="O20" s="104">
        <f>IF(N(G20)&gt;0,MIN(1,N20/G20),0)</f>
        <v/>
      </c>
      <c r="P20" s="101">
        <f>IF(ISNUMBER(I20),MAX(0,I20-K20),"")</f>
        <v/>
      </c>
      <c r="Q20" s="107">
        <f>IF(ISNUMBER(P20),P20*D20,"")</f>
        <v/>
      </c>
      <c r="R20" s="101">
        <f>IF(AND(ISNUMBER(P20),N(H20)&gt;0),ROUNDUP(P20/H20,0),"")</f>
        <v/>
      </c>
      <c r="S20" s="107">
        <f>IF(AND(ISNUMBER(Q20),N(H20)&gt;0),Q20/H20,"")</f>
        <v/>
      </c>
      <c r="T20" s="107">
        <f>IF(NOT(ISNUMBER(S20)),"",IF(F20&gt;0,Q20*F20/((1+F20)^H20-1),S20))</f>
        <v/>
      </c>
      <c r="U20" s="131">
        <f>IF(N(H20)&gt;0,EDATE(TODAY(),H20),"")</f>
        <v/>
      </c>
    </row>
    <row r="21">
      <c r="A21" s="110" t="inlineStr">
        <is>
          <t>TOTAL</t>
        </is>
      </c>
      <c r="B21" s="110" t="n"/>
      <c r="C21" s="110" t="n"/>
      <c r="D21" s="110" t="n"/>
      <c r="E21" s="110" t="n"/>
      <c r="F21" s="110" t="n"/>
      <c r="G21" s="111">
        <f>SUM(G5:G20)</f>
        <v/>
      </c>
      <c r="H21" s="110" t="n"/>
      <c r="I21" s="110" t="n"/>
      <c r="J21" s="132">
        <f>SUM(J5:J20)</f>
        <v/>
      </c>
      <c r="K21" s="110" t="n"/>
      <c r="L21" s="110" t="n"/>
      <c r="M21" s="132">
        <f>SUM(M5:M20)</f>
        <v/>
      </c>
      <c r="N21" s="111">
        <f>SUM(N5:N20)</f>
        <v/>
      </c>
      <c r="O21" s="112">
        <f>IF(G21&gt;0,N21/G21,0)</f>
        <v/>
      </c>
      <c r="P21" s="113">
        <f>SUM(P5:P20)</f>
        <v/>
      </c>
      <c r="Q21" s="132">
        <f>SUM(Q5:Q20)</f>
        <v/>
      </c>
      <c r="R21" s="113">
        <f>SUM(R5:R20)</f>
        <v/>
      </c>
      <c r="S21" s="132">
        <f>SUM(S5:S20)</f>
        <v/>
      </c>
      <c r="T21" s="132">
        <f>SUM(T5:T20)</f>
        <v/>
      </c>
      <c r="U21" s="110" t="n"/>
    </row>
    <row r="23">
      <c r="A23" s="133" t="inlineStr">
        <is>
          <t>Aporte mensal para cumprir todos os prazos</t>
        </is>
      </c>
      <c r="G23" s="132">
        <f>S21</f>
        <v/>
      </c>
    </row>
    <row r="24">
      <c r="A24" s="133" t="inlineStr">
        <is>
          <t>… reinvestindo os proventos</t>
        </is>
      </c>
      <c r="G24" s="132">
        <f>T21</f>
        <v/>
      </c>
    </row>
    <row r="25">
      <c r="A25" s="133" t="inlineStr">
        <is>
          <t>Aporte mensal disponível (Premissas)</t>
        </is>
      </c>
      <c r="G25" s="132">
        <f>APORTE_MENSAL</f>
        <v/>
      </c>
    </row>
    <row r="26">
      <c r="A26" s="133" t="inlineStr">
        <is>
          <t>Sobra (+) ou falta (−) por mês, reinvestindo</t>
        </is>
      </c>
      <c r="G26" s="132">
        <f>APORTE_MENSAL-T21</f>
        <v/>
      </c>
    </row>
    <row r="27">
      <c r="A27" s="133" t="inlineStr">
        <is>
          <t>Subtotal ações — renda desejada / a investir</t>
        </is>
      </c>
      <c r="G27" s="132">
        <f>SUMIFS(G5:G20,B5:B20,"AÇÃO")</f>
        <v/>
      </c>
      <c r="J27" s="132">
        <f>SUMIFS(J5:J20,B5:B20,"AÇÃO")</f>
        <v/>
      </c>
    </row>
    <row r="28">
      <c r="A28" s="133" t="inlineStr">
        <is>
          <t>Subtotal FIIs — renda desejada / a investir</t>
        </is>
      </c>
      <c r="G28" s="132">
        <f>SUMIFS(G5:G20,B5:B20,"FII")</f>
        <v/>
      </c>
      <c r="J28" s="132">
        <f>SUMIFS(J5:J20,B5:B20,"FII")</f>
        <v/>
      </c>
    </row>
    <row r="31">
      <c r="A31" s="115" t="inlineStr">
        <is>
          <t>Como ler</t>
        </is>
      </c>
    </row>
    <row r="32">
      <c r="A32" s="116" t="inlineStr">
        <is>
          <t>• Cotas necessárias = meta mensal ÷ provento mensal por cota (proventos dos últimos 12 meses ÷ 12), arredondado para cima.</t>
        </is>
      </c>
    </row>
    <row r="33">
      <c r="A33" s="116" t="inlineStr">
        <is>
          <t>• Valor total a investir = cotas necessárias × valor da cota hoje. Valor faltante desconta as cotas que você já tem.</t>
        </is>
      </c>
    </row>
    <row r="34">
      <c r="A34" s="116" t="inlineStr">
        <is>
          <t>• Aporte mensal no prazo = valor faltante ÷ prazo. Reinvestindo proventos: cada cota comprada passa a pagar e o provento compra mais cotas (juros compostos à taxa do rendimento mensal) — o aporte necessário fica menor.</t>
        </is>
      </c>
    </row>
    <row r="35">
      <c r="A35" s="116" t="inlineStr">
        <is>
          <t>• Para personalizar, digite por cima do campo amarelo; apague para voltar ao padrão. Salva em dados/metas.csv ao clicar em ⟳ Atualizar (ou rodar atualizar.bat).</t>
        </is>
      </c>
    </row>
    <row r="36">
      <c r="A36" s="116" t="inlineStr">
        <is>
          <t>• Cálculo com a cotação e o provento de hoje; mudanças de preço e de proventos alteram o resultado.</t>
        </is>
      </c>
    </row>
  </sheetData>
  <mergeCells count="6">
    <mergeCell ref="A24:F24"/>
    <mergeCell ref="A28:F28"/>
    <mergeCell ref="A23:F23"/>
    <mergeCell ref="A27:F27"/>
    <mergeCell ref="A26:F26"/>
    <mergeCell ref="A25:F25"/>
  </mergeCells>
  <conditionalFormatting sqref="G26">
    <cfRule type="cellIs" priority="1" operator="lessThan" dxfId="10">
      <formula>0</formula>
    </cfRule>
    <cfRule type="cellIs" priority="2" operator="greaterThanOrEqual" dxfId="11">
      <formula>0</formula>
    </cfRule>
  </conditionalFormatting>
  <conditionalFormatting sqref="O5:O20">
    <cfRule type="dataBar" priority="3">
      <dataBar>
        <cfvo type="num" val="0"/>
        <cfvo type="num" val="1"/>
        <color rgb="000D9488"/>
      </dataBar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AN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Análise Quantitativa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Histórico semanal até 28/09/2026 (Yahoo Finance) • pesos: carteira real (lançamentos) • calculado por gestao.py — não digite aqui.</t>
        </is>
      </c>
    </row>
    <row r="4" ht="44" customHeight="1">
      <c r="A4" s="89" t="inlineStr">
        <is>
          <t>Ticker</t>
        </is>
      </c>
      <c r="B4" s="89" t="inlineStr">
        <is>
          <t>Tipo</t>
        </is>
      </c>
      <c r="C4" s="89" t="inlineStr">
        <is>
          <t>Posição atual (R$)</t>
        </is>
      </c>
      <c r="D4" s="89" t="inlineStr">
        <is>
          <t>Peso atual</t>
        </is>
      </c>
      <c r="E4" s="89" t="inlineStr">
        <is>
          <t>Qualidade dos dados</t>
        </is>
      </c>
      <c r="F4" s="89" t="inlineStr">
        <is>
          <t>Semanas de histórico</t>
        </is>
      </c>
      <c r="G4" s="89" t="inlineStr">
        <is>
          <t>Última cotação</t>
        </is>
      </c>
      <c r="H4" s="89" t="inlineStr">
        <is>
          <t>Retorno 12m (preço)</t>
        </is>
      </c>
      <c r="I4" s="89" t="inlineStr">
        <is>
          <t>Retorno 12m (c/ proventos)</t>
        </is>
      </c>
      <c r="J4" s="89" t="inlineStr">
        <is>
          <t>Volatilidade anual</t>
        </is>
      </c>
      <c r="K4" s="89" t="inlineStr">
        <is>
          <t>Sharpe (vs CDI)</t>
        </is>
      </c>
      <c r="L4" s="89" t="inlineStr">
        <is>
          <t>Queda máx. 3a</t>
        </is>
      </c>
      <c r="M4" s="89" t="inlineStr">
        <is>
          <t>Beta (Ibov)</t>
        </is>
      </c>
      <c r="N4" s="89" t="inlineStr">
        <is>
          <t>Correlação Ibov</t>
        </is>
      </c>
      <c r="O4" s="89" t="inlineStr">
        <is>
          <t>Volatilidade EWMA (λ)</t>
        </is>
      </c>
      <c r="P4" s="89" t="inlineStr">
        <is>
          <t>VaR 95% semanal</t>
        </is>
      </c>
      <c r="Q4" s="89" t="inlineStr">
        <is>
          <t>CVaR 95% semanal</t>
        </is>
      </c>
      <c r="R4" s="89" t="inlineStr">
        <is>
          <t>Sortino</t>
        </is>
      </c>
      <c r="S4" s="89" t="inlineStr">
        <is>
          <t>Retorno esperado CAPM</t>
        </is>
      </c>
      <c r="T4" s="89" t="inlineStr">
        <is>
          <t>Alfa de Jensen</t>
        </is>
      </c>
      <c r="U4" s="89" t="inlineStr">
        <is>
          <t>Assimetria</t>
        </is>
      </c>
      <c r="V4" s="89" t="inlineStr">
        <is>
          <t>Curtose (excesso)</t>
        </is>
      </c>
      <c r="W4" s="89" t="inlineStr">
        <is>
          <t>Normalidade (p Jarque-Bera)</t>
        </is>
      </c>
      <c r="X4" s="89" t="inlineStr">
        <is>
          <t>Autocorrelação 1 sem.</t>
        </is>
      </c>
      <c r="Y4" s="89" t="inlineStr">
        <is>
          <t>Taxa instantânea f′(t) (anual)</t>
        </is>
      </c>
      <c r="Z4" s="89" t="inlineStr">
        <is>
          <t>Curvatura f″(t)</t>
        </is>
      </c>
      <c r="AA4" s="89" t="inlineStr">
        <is>
          <t>R² polinômio grau 3</t>
        </is>
      </c>
      <c r="AB4" s="89" t="inlineStr">
        <is>
          <t>Leitura da tendência</t>
        </is>
      </c>
      <c r="AC4" s="89" t="inlineStr">
        <is>
          <t>Tendência anual (regressão 3a)</t>
        </is>
      </c>
      <c r="AD4" s="89" t="inlineStr">
        <is>
          <t>R² da regressão</t>
        </is>
      </c>
      <c r="AE4" s="89" t="inlineStr">
        <is>
          <t>Preço vs tendência</t>
        </is>
      </c>
      <c r="AF4" s="89" t="inlineStr">
        <is>
          <t>Preço projetado 12m (R$)</t>
        </is>
      </c>
      <c r="AG4" s="89" t="inlineStr">
        <is>
          <t>Faixa mín. 12m (R$)</t>
        </is>
      </c>
      <c r="AH4" s="89" t="inlineStr">
        <is>
          <t>Faixa máx. 12m (R$)</t>
        </is>
      </c>
      <c r="AI4" s="89" t="inlineStr">
        <is>
          <t>Proventos 12m hist. (R$)</t>
        </is>
      </c>
      <c r="AJ4" s="89" t="inlineStr">
        <is>
          <t>Crescimento proventos a/a</t>
        </is>
      </c>
      <c r="AK4" s="89" t="inlineStr">
        <is>
          <t>Peso na análise</t>
        </is>
      </c>
      <c r="AL4" s="89" t="inlineStr">
        <is>
          <t>Contribuição ao risco</t>
        </is>
      </c>
    </row>
    <row r="5">
      <c r="A5" s="90">
        <f>Carteira!A5</f>
        <v/>
      </c>
      <c r="B5" s="90">
        <f>Carteira!B5</f>
        <v/>
      </c>
      <c r="C5" s="93">
        <f>Carteira!G5</f>
        <v/>
      </c>
      <c r="D5" s="95">
        <f>Carteira!P5</f>
        <v/>
      </c>
      <c r="E5" s="99" t="inlineStr">
        <is>
          <t>Alta</t>
        </is>
      </c>
      <c r="F5" s="91" t="n">
        <v>262</v>
      </c>
      <c r="G5" s="134" t="n">
        <v>46293</v>
      </c>
      <c r="H5" s="94" t="n">
        <v>0.1880867042157364</v>
      </c>
      <c r="I5" s="94" t="n">
        <v>0.2857153933744918</v>
      </c>
      <c r="J5" s="94" t="n">
        <v>0.2432706270491074</v>
      </c>
      <c r="K5" s="135" t="n">
        <v>-0.1237474531135237</v>
      </c>
      <c r="L5" s="94" t="n">
        <v>-0.2697072486723729</v>
      </c>
      <c r="M5" s="135" t="n">
        <v>0.8642506769787194</v>
      </c>
      <c r="N5" s="135" t="n">
        <v>0.5245363929610207</v>
      </c>
      <c r="O5" s="94" t="n">
        <v>0.2533157358414846</v>
      </c>
      <c r="P5" s="94" t="n">
        <v>0.05211427655598841</v>
      </c>
      <c r="Q5" s="94" t="n">
        <v>0.06791478566871643</v>
      </c>
      <c r="R5" s="135" t="n">
        <v>-0.1715654026425718</v>
      </c>
      <c r="S5" s="94" t="n">
        <v>0.1677150043107089</v>
      </c>
      <c r="T5" s="94" t="n">
        <v>-0.05781912482536586</v>
      </c>
      <c r="U5" s="135" t="n">
        <v>-0.1235552685234299</v>
      </c>
      <c r="V5" s="135" t="n">
        <v>0.5325251257573145</v>
      </c>
      <c r="W5" s="136" t="n">
        <v>0.3262466665013226</v>
      </c>
      <c r="X5" s="135" t="n">
        <v>0.01163284834399908</v>
      </c>
      <c r="Y5" s="94" t="n">
        <v>-0.241665507744343</v>
      </c>
      <c r="Z5" s="135" t="n">
        <v>1.15878809536987</v>
      </c>
      <c r="AA5" s="135" t="n">
        <v>0.8262573189832894</v>
      </c>
      <c r="AB5" s="99" t="inlineStr">
        <is>
          <t>Queda perdendo força</t>
        </is>
      </c>
      <c r="AC5" s="94" t="n">
        <v>0.06686018058505398</v>
      </c>
      <c r="AD5" s="135" t="n">
        <v>0.1374786561668428</v>
      </c>
      <c r="AE5" s="94" t="n">
        <v>-0.02568104109457203</v>
      </c>
      <c r="AF5" s="92" t="n">
        <v>76.22158687536538</v>
      </c>
      <c r="AG5" s="92" t="n">
        <v>66.17806205903041</v>
      </c>
      <c r="AH5" s="92" t="n">
        <v>87.78936893946259</v>
      </c>
      <c r="AI5" s="92" t="n">
        <v>5.612493</v>
      </c>
      <c r="AJ5" s="94" t="n">
        <v>0.2314134230264175</v>
      </c>
      <c r="AK5" s="94" t="n">
        <v>0.1165135945923498</v>
      </c>
      <c r="AL5" s="94" t="n">
        <v>0.1144489456755191</v>
      </c>
    </row>
    <row r="6">
      <c r="A6" s="100">
        <f>Carteira!A6</f>
        <v/>
      </c>
      <c r="B6" s="100">
        <f>Carteira!B6</f>
        <v/>
      </c>
      <c r="C6" s="103">
        <f>Carteira!G6</f>
        <v/>
      </c>
      <c r="D6" s="105">
        <f>Carteira!P6</f>
        <v/>
      </c>
      <c r="E6" s="109" t="inlineStr">
        <is>
          <t>Alta</t>
        </is>
      </c>
      <c r="F6" s="101" t="n">
        <v>262</v>
      </c>
      <c r="G6" s="137" t="n">
        <v>46293</v>
      </c>
      <c r="H6" s="104" t="n">
        <v>0.1051771117166211</v>
      </c>
      <c r="I6" s="104" t="n">
        <v>0.1893102217506744</v>
      </c>
      <c r="J6" s="104" t="n">
        <v>0.1783702525510037</v>
      </c>
      <c r="K6" s="138" t="n">
        <v>0.07243401169235414</v>
      </c>
      <c r="L6" s="104" t="n">
        <v>-0.1305464249106838</v>
      </c>
      <c r="M6" s="138" t="n">
        <v>0.7873655902003955</v>
      </c>
      <c r="N6" s="138" t="n">
        <v>0.6517478024881397</v>
      </c>
      <c r="O6" s="104" t="n">
        <v>0.2176248371855392</v>
      </c>
      <c r="P6" s="104" t="n">
        <v>0.03274552933740491</v>
      </c>
      <c r="Q6" s="104" t="n">
        <v>0.04115403261075068</v>
      </c>
      <c r="R6" s="138" t="n">
        <v>0.1159666055172014</v>
      </c>
      <c r="S6" s="104" t="n">
        <v>0.1652494343455923</v>
      </c>
      <c r="T6" s="104" t="n">
        <v>-0.0123293613867447</v>
      </c>
      <c r="U6" s="138" t="n">
        <v>0.8861276709551965</v>
      </c>
      <c r="V6" s="138" t="n">
        <v>2.360736280117174</v>
      </c>
      <c r="W6" s="139" t="n">
        <v>5.018949606369963e-13</v>
      </c>
      <c r="X6" s="138" t="n">
        <v>0.04038081947624063</v>
      </c>
      <c r="Y6" s="104" t="n">
        <v>0.6401270387699911</v>
      </c>
      <c r="Z6" s="138" t="n">
        <v>3.595082683105341</v>
      </c>
      <c r="AA6" s="138" t="n">
        <v>0.4501922872634286</v>
      </c>
      <c r="AB6" s="109" t="inlineStr">
        <is>
          <t>Alta acelerando</t>
        </is>
      </c>
      <c r="AC6" s="104" t="n">
        <v>0.06492788542185804</v>
      </c>
      <c r="AD6" s="138" t="n">
        <v>0.3888201956028575</v>
      </c>
      <c r="AE6" s="104" t="n">
        <v>0.006061477781310387</v>
      </c>
      <c r="AF6" s="102" t="n">
        <v>42.93323617555271</v>
      </c>
      <c r="AG6" s="102" t="n">
        <v>40.08100378039738</v>
      </c>
      <c r="AH6" s="102" t="n">
        <v>45.9884382787659</v>
      </c>
      <c r="AI6" s="102" t="n">
        <v>3.006456</v>
      </c>
      <c r="AJ6" s="104" t="n">
        <v>0.01572959608743285</v>
      </c>
      <c r="AK6" s="104" t="n">
        <v>0</v>
      </c>
      <c r="AL6" s="104" t="n">
        <v>0</v>
      </c>
    </row>
    <row r="7">
      <c r="A7" s="90">
        <f>Carteira!A7</f>
        <v/>
      </c>
      <c r="B7" s="90">
        <f>Carteira!B7</f>
        <v/>
      </c>
      <c r="C7" s="93">
        <f>Carteira!G7</f>
        <v/>
      </c>
      <c r="D7" s="95">
        <f>Carteira!P7</f>
        <v/>
      </c>
      <c r="E7" s="99" t="inlineStr">
        <is>
          <t>Alta</t>
        </is>
      </c>
      <c r="F7" s="91" t="n">
        <v>262</v>
      </c>
      <c r="G7" s="134" t="n">
        <v>46293</v>
      </c>
      <c r="H7" s="94" t="n">
        <v>0.5838709677419356</v>
      </c>
      <c r="I7" s="94" t="n">
        <v>0.7369809127065052</v>
      </c>
      <c r="J7" s="94" t="n">
        <v>0.2768811555839228</v>
      </c>
      <c r="K7" s="135" t="n">
        <v>0.5890655833442194</v>
      </c>
      <c r="L7" s="94" t="n">
        <v>-0.2112375997243883</v>
      </c>
      <c r="M7" s="135" t="n">
        <v>0.6095514864203159</v>
      </c>
      <c r="N7" s="135" t="n">
        <v>0.3250443095717164</v>
      </c>
      <c r="O7" s="94" t="n">
        <v>0.2859581375197547</v>
      </c>
      <c r="P7" s="94" t="n">
        <v>0.05802845871748866</v>
      </c>
      <c r="Q7" s="94" t="n">
        <v>0.07690809863638932</v>
      </c>
      <c r="R7" s="135" t="n">
        <v>0.8737730981078234</v>
      </c>
      <c r="S7" s="94" t="n">
        <v>0.1595472477184465</v>
      </c>
      <c r="T7" s="94" t="n">
        <v>0.1435539117126186</v>
      </c>
      <c r="U7" s="135" t="n">
        <v>-0.1853085071247015</v>
      </c>
      <c r="V7" s="135" t="n">
        <v>0.1594618065306341</v>
      </c>
      <c r="W7" s="136" t="n">
        <v>0.5891635989732336</v>
      </c>
      <c r="X7" s="135" t="n">
        <v>0.09604077363636965</v>
      </c>
      <c r="Y7" s="94" t="n">
        <v>0.1271716406114041</v>
      </c>
      <c r="Z7" s="135" t="n">
        <v>0.173009706813274</v>
      </c>
      <c r="AA7" s="135" t="n">
        <v>0.7209273418718685</v>
      </c>
      <c r="AB7" s="99" t="inlineStr">
        <is>
          <t>Alta acelerando</t>
        </is>
      </c>
      <c r="AC7" s="94" t="n">
        <v>0.02597520685469575</v>
      </c>
      <c r="AD7" s="135" t="n">
        <v>0.02956600096015505</v>
      </c>
      <c r="AE7" s="94" t="n">
        <v>0.2819060150054036</v>
      </c>
      <c r="AF7" s="92" t="n">
        <v>39.29725117668101</v>
      </c>
      <c r="AG7" s="92" t="n">
        <v>34.57399410226571</v>
      </c>
      <c r="AH7" s="92" t="n">
        <v>44.66576657227917</v>
      </c>
      <c r="AI7" s="92" t="n">
        <v>3.664347</v>
      </c>
      <c r="AJ7" s="94" t="n">
        <v>-0.3004106261839296</v>
      </c>
      <c r="AK7" s="94" t="n">
        <v>0.1145809300308148</v>
      </c>
      <c r="AL7" s="94" t="n">
        <v>0.1028283371822925</v>
      </c>
    </row>
    <row r="8">
      <c r="A8" s="100">
        <f>Carteira!A8</f>
        <v/>
      </c>
      <c r="B8" s="100">
        <f>Carteira!B8</f>
        <v/>
      </c>
      <c r="C8" s="103">
        <f>Carteira!G8</f>
        <v/>
      </c>
      <c r="D8" s="105">
        <f>Carteira!P8</f>
        <v/>
      </c>
      <c r="E8" s="109" t="inlineStr">
        <is>
          <t>Alta</t>
        </is>
      </c>
      <c r="F8" s="101" t="n">
        <v>262</v>
      </c>
      <c r="G8" s="137" t="n">
        <v>46293</v>
      </c>
      <c r="H8" s="104" t="n">
        <v>0.02131603336422616</v>
      </c>
      <c r="I8" s="104" t="n">
        <v>0.05087851085034356</v>
      </c>
      <c r="J8" s="104" t="n">
        <v>0.262263453447858</v>
      </c>
      <c r="K8" s="138" t="n">
        <v>-0.4623573336908683</v>
      </c>
      <c r="L8" s="104" t="n">
        <v>-0.3664417705265182</v>
      </c>
      <c r="M8" s="138" t="n">
        <v>1.114557374600764</v>
      </c>
      <c r="N8" s="138" t="n">
        <v>0.6274660400552976</v>
      </c>
      <c r="O8" s="104" t="n">
        <v>0.3731459895813295</v>
      </c>
      <c r="P8" s="104" t="n">
        <v>0.05553823802051591</v>
      </c>
      <c r="Q8" s="104" t="n">
        <v>0.08048439979124798</v>
      </c>
      <c r="R8" s="138" t="n">
        <v>-0.6503889812989667</v>
      </c>
      <c r="S8" s="104" t="n">
        <v>0.1757419013538745</v>
      </c>
      <c r="T8" s="104" t="n">
        <v>-0.1570013324145852</v>
      </c>
      <c r="U8" s="138" t="n">
        <v>0.1989118796916813</v>
      </c>
      <c r="V8" s="138" t="n">
        <v>2.339252545574369</v>
      </c>
      <c r="W8" s="139" t="n">
        <v>1.129743418376262e-08</v>
      </c>
      <c r="X8" s="138" t="n">
        <v>0.1292470842050735</v>
      </c>
      <c r="Y8" s="104" t="n">
        <v>1.682130807085922</v>
      </c>
      <c r="Z8" s="138" t="n">
        <v>6.663443933681288</v>
      </c>
      <c r="AA8" s="138" t="n">
        <v>0.4934353399788673</v>
      </c>
      <c r="AB8" s="109" t="inlineStr">
        <is>
          <t>Alta acelerando</t>
        </is>
      </c>
      <c r="AC8" s="104" t="n">
        <v>-0.1036912381456324</v>
      </c>
      <c r="AD8" s="138" t="n">
        <v>0.5482528684794126</v>
      </c>
      <c r="AE8" s="104" t="n">
        <v>0.06148510192383361</v>
      </c>
      <c r="AF8" s="102" t="n">
        <v>18.61038376842687</v>
      </c>
      <c r="AG8" s="102" t="n">
        <v>17.06633560327547</v>
      </c>
      <c r="AH8" s="102" t="n">
        <v>20.29412710843759</v>
      </c>
      <c r="AI8" s="102" t="n">
        <v>0.6549509999999999</v>
      </c>
      <c r="AJ8" s="104" t="n">
        <v>-0.6203010918754588</v>
      </c>
      <c r="AK8" s="104" t="n">
        <v>0.07868999161380764</v>
      </c>
      <c r="AL8" s="104" t="n">
        <v>0.1088318567185917</v>
      </c>
    </row>
    <row r="9">
      <c r="A9" s="90">
        <f>Carteira!A9</f>
        <v/>
      </c>
      <c r="B9" s="90">
        <f>Carteira!B9</f>
        <v/>
      </c>
      <c r="C9" s="93">
        <f>Carteira!G9</f>
        <v/>
      </c>
      <c r="D9" s="95">
        <f>Carteira!P9</f>
        <v/>
      </c>
      <c r="E9" s="99" t="inlineStr">
        <is>
          <t>Alta</t>
        </is>
      </c>
      <c r="F9" s="91" t="n">
        <v>262</v>
      </c>
      <c r="G9" s="134" t="n">
        <v>46293</v>
      </c>
      <c r="H9" s="94" t="n">
        <v>-0.1818181818181818</v>
      </c>
      <c r="I9" s="94" t="n">
        <v>-0.1165197855046848</v>
      </c>
      <c r="J9" s="94" t="n">
        <v>0.2755498419997157</v>
      </c>
      <c r="K9" s="135" t="n">
        <v>0.1335449454184906</v>
      </c>
      <c r="L9" s="94" t="n">
        <v>-0.4101238780505896</v>
      </c>
      <c r="M9" s="135" t="n">
        <v>1.136897362931719</v>
      </c>
      <c r="N9" s="135" t="n">
        <v>0.609181441726542</v>
      </c>
      <c r="O9" s="94" t="n">
        <v>0.3316780421738248</v>
      </c>
      <c r="P9" s="94" t="n">
        <v>0.05779433826251298</v>
      </c>
      <c r="Q9" s="94" t="n">
        <v>0.07065713646473033</v>
      </c>
      <c r="R9" s="135" t="n">
        <v>0.2004342200020549</v>
      </c>
      <c r="S9" s="94" t="n">
        <v>0.1764583056210462</v>
      </c>
      <c r="T9" s="94" t="n">
        <v>0.000339982988879578</v>
      </c>
      <c r="U9" s="135" t="n">
        <v>0.1855389793642336</v>
      </c>
      <c r="V9" s="135" t="n">
        <v>0.08647528328322851</v>
      </c>
      <c r="W9" s="136" t="n">
        <v>0.6238628760149894</v>
      </c>
      <c r="X9" s="135" t="n">
        <v>0.05243192477087151</v>
      </c>
      <c r="Y9" s="94" t="n">
        <v>0.01549841717980398</v>
      </c>
      <c r="Z9" s="135" t="n">
        <v>4.059424868300196</v>
      </c>
      <c r="AA9" s="135" t="n">
        <v>0.8381014165679951</v>
      </c>
      <c r="AB9" s="99" t="inlineStr">
        <is>
          <t>Alta acelerando</t>
        </is>
      </c>
      <c r="AC9" s="94" t="n">
        <v>0.06587615768564954</v>
      </c>
      <c r="AD9" s="135" t="n">
        <v>0.1729503082219518</v>
      </c>
      <c r="AE9" s="94" t="n">
        <v>-0.1405198297036252</v>
      </c>
      <c r="AF9" s="92" t="n">
        <v>18.19286095670663</v>
      </c>
      <c r="AG9" s="92" t="n">
        <v>16.10983987964987</v>
      </c>
      <c r="AH9" s="92" t="n">
        <v>20.54521908738263</v>
      </c>
      <c r="AI9" s="92" t="n">
        <v>1.38</v>
      </c>
      <c r="AJ9" s="94" t="n">
        <v>-0.3333333333333335</v>
      </c>
      <c r="AK9" s="94" t="n">
        <v>0.03971310112580985</v>
      </c>
      <c r="AL9" s="94" t="n">
        <v>0.05495688309147327</v>
      </c>
    </row>
    <row r="10">
      <c r="A10" s="100">
        <f>Carteira!A10</f>
        <v/>
      </c>
      <c r="B10" s="100">
        <f>Carteira!B10</f>
        <v/>
      </c>
      <c r="C10" s="103">
        <f>Carteira!G10</f>
        <v/>
      </c>
      <c r="D10" s="105">
        <f>Carteira!P10</f>
        <v/>
      </c>
      <c r="E10" s="109" t="inlineStr">
        <is>
          <t>Alta</t>
        </is>
      </c>
      <c r="F10" s="101" t="n">
        <v>262</v>
      </c>
      <c r="G10" s="137" t="n">
        <v>46293</v>
      </c>
      <c r="H10" s="104" t="n">
        <v>0.039766081871345</v>
      </c>
      <c r="I10" s="104" t="n">
        <v>0.1093777760434251</v>
      </c>
      <c r="J10" s="104" t="n">
        <v>0.2605656172525797</v>
      </c>
      <c r="K10" s="138" t="n">
        <v>0.1072649768907465</v>
      </c>
      <c r="L10" s="104" t="n">
        <v>-0.2855729577329322</v>
      </c>
      <c r="M10" s="138" t="n">
        <v>1.234127189935124</v>
      </c>
      <c r="N10" s="138" t="n">
        <v>0.6993078189958432</v>
      </c>
      <c r="O10" s="104" t="n">
        <v>0.2570125371475463</v>
      </c>
      <c r="P10" s="104" t="n">
        <v>0.05231595247273993</v>
      </c>
      <c r="Q10" s="104" t="n">
        <v>0.07466299589271294</v>
      </c>
      <c r="R10" s="138" t="n">
        <v>0.1590575838656444</v>
      </c>
      <c r="S10" s="104" t="n">
        <v>0.1795762957439457</v>
      </c>
      <c r="T10" s="104" t="n">
        <v>-0.01162673083082461</v>
      </c>
      <c r="U10" s="138" t="n">
        <v>0.318262930335444</v>
      </c>
      <c r="V10" s="138" t="n">
        <v>2.614419132558924</v>
      </c>
      <c r="W10" s="139" t="n">
        <v>6.03327610353864e-11</v>
      </c>
      <c r="X10" s="138" t="n">
        <v>0.1633865552756226</v>
      </c>
      <c r="Y10" s="104" t="n">
        <v>0.3458875621387546</v>
      </c>
      <c r="Z10" s="138" t="n">
        <v>3.213737514217859</v>
      </c>
      <c r="AA10" s="138" t="n">
        <v>0.4993451889994355</v>
      </c>
      <c r="AB10" s="109" t="inlineStr">
        <is>
          <t>Alta acelerando</t>
        </is>
      </c>
      <c r="AC10" s="104" t="n">
        <v>0.1282310223360583</v>
      </c>
      <c r="AD10" s="138" t="n">
        <v>0.3918827788091193</v>
      </c>
      <c r="AE10" s="104" t="n">
        <v>-0.0448086817027038</v>
      </c>
      <c r="AF10" s="102" t="n">
        <v>21.00097351480701</v>
      </c>
      <c r="AG10" s="102" t="n">
        <v>18.42243491406963</v>
      </c>
      <c r="AH10" s="102" t="n">
        <v>23.94042321912576</v>
      </c>
      <c r="AI10" s="102" t="n">
        <v>1.552753</v>
      </c>
      <c r="AJ10" s="104" t="n">
        <v>0.2501634407909568</v>
      </c>
      <c r="AK10" s="104" t="n">
        <v>0.04311044677834164</v>
      </c>
      <c r="AL10" s="104" t="n">
        <v>0.05619767333029143</v>
      </c>
    </row>
    <row r="11">
      <c r="A11" s="90">
        <f>Carteira!A11</f>
        <v/>
      </c>
      <c r="B11" s="90">
        <f>Carteira!B11</f>
        <v/>
      </c>
      <c r="C11" s="93">
        <f>Carteira!G11</f>
        <v/>
      </c>
      <c r="D11" s="95">
        <f>Carteira!P11</f>
        <v/>
      </c>
      <c r="E11" s="99" t="inlineStr">
        <is>
          <t>Alta</t>
        </is>
      </c>
      <c r="F11" s="91" t="n">
        <v>262</v>
      </c>
      <c r="G11" s="134" t="n">
        <v>46293</v>
      </c>
      <c r="H11" s="94" t="n">
        <v>0.2872727272727273</v>
      </c>
      <c r="I11" s="94" t="n">
        <v>0.4114275135147769</v>
      </c>
      <c r="J11" s="94" t="n">
        <v>0.2053167918754737</v>
      </c>
      <c r="K11" s="135" t="n">
        <v>0.9032170372323202</v>
      </c>
      <c r="L11" s="94" t="n">
        <v>-0.1897419036174703</v>
      </c>
      <c r="M11" s="135" t="n">
        <v>1.192607282883147</v>
      </c>
      <c r="N11" s="135" t="n">
        <v>0.8576272249759949</v>
      </c>
      <c r="O11" s="94" t="n">
        <v>0.2488142723175378</v>
      </c>
      <c r="P11" s="94" t="n">
        <v>0.04383909782434942</v>
      </c>
      <c r="Q11" s="94" t="n">
        <v>0.05261235459366773</v>
      </c>
      <c r="R11" s="135" t="n">
        <v>1.429793093852485</v>
      </c>
      <c r="S11" s="94" t="n">
        <v>0.1782448251028713</v>
      </c>
      <c r="T11" s="94" t="n">
        <v>0.1472007993489389</v>
      </c>
      <c r="U11" s="135" t="n">
        <v>0.1735948862479871</v>
      </c>
      <c r="V11" s="135" t="n">
        <v>0.6256957217182975</v>
      </c>
      <c r="W11" s="136" t="n">
        <v>0.1893578644655674</v>
      </c>
      <c r="X11" s="135" t="n">
        <v>0.1915408555908941</v>
      </c>
      <c r="Y11" s="94" t="n">
        <v>0.4248724519500919</v>
      </c>
      <c r="Z11" s="135" t="n">
        <v>2.416312938495999</v>
      </c>
      <c r="AA11" s="135" t="n">
        <v>0.662860936193187</v>
      </c>
      <c r="AB11" s="99" t="inlineStr">
        <is>
          <t>Alta acelerando</t>
        </is>
      </c>
      <c r="AC11" s="94" t="n">
        <v>0.182944027656142</v>
      </c>
      <c r="AD11" s="135" t="n">
        <v>0.7739357550722444</v>
      </c>
      <c r="AE11" s="94" t="n">
        <v>0.03958536976954341</v>
      </c>
      <c r="AF11" s="92" t="n">
        <v>16.11266175795091</v>
      </c>
      <c r="AG11" s="92" t="n">
        <v>14.8866135110174</v>
      </c>
      <c r="AH11" s="92" t="n">
        <v>17.43968624791619</v>
      </c>
      <c r="AI11" s="92" t="n">
        <v>1.127801</v>
      </c>
      <c r="AJ11" s="94" t="n">
        <v>0.1269580353895288</v>
      </c>
      <c r="AK11" s="94" t="n">
        <v>0.113789645002386</v>
      </c>
      <c r="AL11" s="94" t="n">
        <v>0.139460248905599</v>
      </c>
    </row>
    <row r="12">
      <c r="A12" s="100">
        <f>Carteira!A12</f>
        <v/>
      </c>
      <c r="B12" s="100">
        <f>Carteira!B12</f>
        <v/>
      </c>
      <c r="C12" s="103">
        <f>Carteira!G12</f>
        <v/>
      </c>
      <c r="D12" s="105">
        <f>Carteira!P12</f>
        <v/>
      </c>
      <c r="E12" s="109" t="inlineStr">
        <is>
          <t>Alta</t>
        </is>
      </c>
      <c r="F12" s="101" t="n">
        <v>262</v>
      </c>
      <c r="G12" s="137" t="n">
        <v>46293</v>
      </c>
      <c r="H12" s="104" t="n">
        <v>0.01107011070110708</v>
      </c>
      <c r="I12" s="104" t="n">
        <v>0.1157565047912337</v>
      </c>
      <c r="J12" s="104" t="n">
        <v>0.2600079702074396</v>
      </c>
      <c r="K12" s="138" t="n">
        <v>0.2396685083581099</v>
      </c>
      <c r="L12" s="104" t="n">
        <v>-0.2434776386580811</v>
      </c>
      <c r="M12" s="138" t="n">
        <v>0.9525927490010931</v>
      </c>
      <c r="N12" s="138" t="n">
        <v>0.5409363697164262</v>
      </c>
      <c r="O12" s="104" t="n">
        <v>0.2503234205091078</v>
      </c>
      <c r="P12" s="104" t="n">
        <v>0.0423103617456651</v>
      </c>
      <c r="Q12" s="104" t="n">
        <v>0.06732148291872367</v>
      </c>
      <c r="R12" s="138" t="n">
        <v>0.3373958711318656</v>
      </c>
      <c r="S12" s="104" t="n">
        <v>0.1705479797102496</v>
      </c>
      <c r="T12" s="104" t="n">
        <v>0.03176774267058738</v>
      </c>
      <c r="U12" s="138" t="n">
        <v>-0.9695432265051416</v>
      </c>
      <c r="V12" s="138" t="n">
        <v>6.945292122708061</v>
      </c>
      <c r="W12" s="139" t="n">
        <v>4.057614827483763e-74</v>
      </c>
      <c r="X12" s="138" t="n">
        <v>-0.119969041218968</v>
      </c>
      <c r="Y12" s="104" t="n">
        <v>-0.1716987585326391</v>
      </c>
      <c r="Z12" s="138" t="n">
        <v>0.55654393118462</v>
      </c>
      <c r="AA12" s="138" t="n">
        <v>0.3229859476823569</v>
      </c>
      <c r="AB12" s="109" t="inlineStr">
        <is>
          <t>Queda perdendo força</t>
        </is>
      </c>
      <c r="AC12" s="104" t="n">
        <v>0.07385821743210735</v>
      </c>
      <c r="AD12" s="138" t="n">
        <v>0.4285775832469669</v>
      </c>
      <c r="AE12" s="104" t="n">
        <v>-0.07705755736973408</v>
      </c>
      <c r="AF12" s="102" t="n">
        <v>12.75213439043327</v>
      </c>
      <c r="AG12" s="102" t="n">
        <v>11.86961579307957</v>
      </c>
      <c r="AH12" s="102" t="n">
        <v>13.70026918701804</v>
      </c>
      <c r="AI12" s="102" t="n">
        <v>1.350748</v>
      </c>
      <c r="AJ12" s="104" t="n">
        <v>-0.04712295253702314</v>
      </c>
      <c r="AK12" s="104" t="n">
        <v>0.1004691841914866</v>
      </c>
      <c r="AL12" s="104" t="n">
        <v>0.1266923357817267</v>
      </c>
    </row>
    <row r="13">
      <c r="A13" s="90">
        <f>Carteira!A13</f>
        <v/>
      </c>
      <c r="B13" s="90">
        <f>Carteira!B13</f>
        <v/>
      </c>
      <c r="C13" s="93">
        <f>Carteira!G13</f>
        <v/>
      </c>
      <c r="D13" s="95">
        <f>Carteira!P13</f>
        <v/>
      </c>
      <c r="E13" s="99" t="inlineStr">
        <is>
          <t>Alta</t>
        </is>
      </c>
      <c r="F13" s="91" t="n">
        <v>262</v>
      </c>
      <c r="G13" s="134" t="n">
        <v>46293</v>
      </c>
      <c r="H13" s="94" t="n">
        <v>0.2332254158119766</v>
      </c>
      <c r="I13" s="94" t="n">
        <v>0.406305445297352</v>
      </c>
      <c r="J13" s="94" t="n">
        <v>0.2767286162061129</v>
      </c>
      <c r="K13" s="135" t="n">
        <v>0.3859810470570753</v>
      </c>
      <c r="L13" s="94" t="n">
        <v>-0.3805493375590359</v>
      </c>
      <c r="M13" s="135" t="n">
        <v>1.099594329559277</v>
      </c>
      <c r="N13" s="135" t="n">
        <v>0.5866836588709269</v>
      </c>
      <c r="O13" s="94" t="n">
        <v>0.3248563722013182</v>
      </c>
      <c r="P13" s="94" t="n">
        <v>0.05388232184404843</v>
      </c>
      <c r="Q13" s="94" t="n">
        <v>0.06843146412451356</v>
      </c>
      <c r="R13" s="135" t="n">
        <v>0.6342004103139744</v>
      </c>
      <c r="S13" s="94" t="n">
        <v>0.1752620627273363</v>
      </c>
      <c r="T13" s="94" t="n">
        <v>0.07154993830655471</v>
      </c>
      <c r="U13" s="135" t="n">
        <v>0.7975475250853329</v>
      </c>
      <c r="V13" s="135" t="n">
        <v>2.662652310869251</v>
      </c>
      <c r="W13" s="136" t="n">
        <v>2.523238693081602e-14</v>
      </c>
      <c r="X13" s="135" t="n">
        <v>0.1277394040475801</v>
      </c>
      <c r="Y13" s="94" t="n">
        <v>-0.8311085231812525</v>
      </c>
      <c r="Z13" s="135" t="n">
        <v>-5.534629377401195</v>
      </c>
      <c r="AA13" s="135" t="n">
        <v>0.7064116790591755</v>
      </c>
      <c r="AB13" s="99" t="inlineStr">
        <is>
          <t>Queda acelerando</t>
        </is>
      </c>
      <c r="AC13" s="94" t="n">
        <v>0.2415768643374298</v>
      </c>
      <c r="AD13" s="135" t="n">
        <v>0.6154263083116682</v>
      </c>
      <c r="AE13" s="94" t="n">
        <v>-0.0915495209328393</v>
      </c>
      <c r="AF13" s="92" t="n">
        <v>6.819819787431419</v>
      </c>
      <c r="AG13" s="92" t="n">
        <v>5.875220340476054</v>
      </c>
      <c r="AH13" s="92" t="n">
        <v>7.91628896241065</v>
      </c>
      <c r="AI13" s="92" t="n">
        <v>0.6819770000000001</v>
      </c>
      <c r="AJ13" s="94" t="n">
        <v>1.793854132954252</v>
      </c>
      <c r="AK13" s="94" t="n">
        <v>0.1241073111104694</v>
      </c>
      <c r="AL13" s="94" t="n">
        <v>0.1893417745042929</v>
      </c>
    </row>
    <row r="14">
      <c r="A14" s="100">
        <f>Carteira!A14</f>
        <v/>
      </c>
      <c r="B14" s="100">
        <f>Carteira!B14</f>
        <v/>
      </c>
      <c r="C14" s="103">
        <f>Carteira!G14</f>
        <v/>
      </c>
      <c r="D14" s="105">
        <f>Carteira!P14</f>
        <v/>
      </c>
      <c r="E14" s="109" t="inlineStr">
        <is>
          <t>Alta</t>
        </is>
      </c>
      <c r="F14" s="101" t="n">
        <v>262</v>
      </c>
      <c r="G14" s="137" t="n">
        <v>46293</v>
      </c>
      <c r="H14" s="104" t="n">
        <v>0.01110723713702244</v>
      </c>
      <c r="I14" s="104" t="n">
        <v>0.07646309348009828</v>
      </c>
      <c r="J14" s="104" t="n">
        <v>0.2048533624765498</v>
      </c>
      <c r="K14" s="138" t="n">
        <v>-0.6400719130088213</v>
      </c>
      <c r="L14" s="104" t="n">
        <v>-0.2389658249426232</v>
      </c>
      <c r="M14" s="138" t="n">
        <v>0.5715411231516335</v>
      </c>
      <c r="N14" s="138" t="n">
        <v>0.4119362002110925</v>
      </c>
      <c r="O14" s="104" t="n">
        <v>0.1983531108393867</v>
      </c>
      <c r="P14" s="104" t="n">
        <v>0.04793677096172916</v>
      </c>
      <c r="Q14" s="104" t="n">
        <v>0.05663312470831366</v>
      </c>
      <c r="R14" s="138" t="n">
        <v>-0.8523577609660058</v>
      </c>
      <c r="S14" s="104" t="n">
        <v>0.1583283219948059</v>
      </c>
      <c r="T14" s="104" t="n">
        <v>-0.1494492056014606</v>
      </c>
      <c r="U14" s="138" t="n">
        <v>-0.02649503716911591</v>
      </c>
      <c r="V14" s="138" t="n">
        <v>-0.07163226895037056</v>
      </c>
      <c r="W14" s="139" t="n">
        <v>0.974527859161695</v>
      </c>
      <c r="X14" s="138" t="n">
        <v>0.01742023403237371</v>
      </c>
      <c r="Y14" s="104" t="n">
        <v>1.945968284799492</v>
      </c>
      <c r="Z14" s="138" t="n">
        <v>5.884261048146342</v>
      </c>
      <c r="AA14" s="138" t="n">
        <v>0.5168863419199041</v>
      </c>
      <c r="AB14" s="109" t="inlineStr">
        <is>
          <t>Alta acelerando</t>
        </is>
      </c>
      <c r="AC14" s="104" t="n">
        <v>-0.05836422998889004</v>
      </c>
      <c r="AD14" s="138" t="n">
        <v>0.4225899278849918</v>
      </c>
      <c r="AE14" s="104" t="n">
        <v>0.02748369458472544</v>
      </c>
      <c r="AF14" s="102" t="n">
        <v>16.7435119494097</v>
      </c>
      <c r="AG14" s="102" t="n">
        <v>15.74843645991495</v>
      </c>
      <c r="AH14" s="102" t="n">
        <v>17.80146194916543</v>
      </c>
      <c r="AI14" s="102" t="n">
        <v>1.161121</v>
      </c>
      <c r="AJ14" s="104" t="n">
        <v>0.07996588370323665</v>
      </c>
      <c r="AK14" s="104" t="n">
        <v>0.06123150902143325</v>
      </c>
      <c r="AL14" s="104" t="n">
        <v>0.04231393079372187</v>
      </c>
    </row>
    <row r="15">
      <c r="A15" s="90">
        <f>Carteira!A15</f>
        <v/>
      </c>
      <c r="B15" s="90">
        <f>Carteira!B15</f>
        <v/>
      </c>
      <c r="C15" s="93">
        <f>Carteira!G15</f>
        <v/>
      </c>
      <c r="D15" s="95">
        <f>Carteira!P15</f>
        <v/>
      </c>
      <c r="E15" s="99" t="inlineStr">
        <is>
          <t>Alta</t>
        </is>
      </c>
      <c r="F15" s="91" t="n">
        <v>262</v>
      </c>
      <c r="G15" s="134" t="n">
        <v>46293</v>
      </c>
      <c r="H15" s="94" t="n">
        <v>-0.05991735537190079</v>
      </c>
      <c r="I15" s="94" t="n">
        <v>0.05271263935869319</v>
      </c>
      <c r="J15" s="94" t="n">
        <v>0.0716024978371587</v>
      </c>
      <c r="K15" s="135" t="n">
        <v>-1.120381979923511</v>
      </c>
      <c r="L15" s="94" t="n">
        <v>-0.09579375602083406</v>
      </c>
      <c r="M15" s="135" t="n">
        <v>0.05612526102273128</v>
      </c>
      <c r="N15" s="135" t="n">
        <v>0.1157326166972653</v>
      </c>
      <c r="O15" s="94" t="n">
        <v>0.05299261008564764</v>
      </c>
      <c r="P15" s="94" t="n">
        <v>0.01360298723091136</v>
      </c>
      <c r="Q15" s="94" t="n">
        <v>0.0194898872532855</v>
      </c>
      <c r="R15" s="135" t="n">
        <v>-1.511649041137618</v>
      </c>
      <c r="S15" s="94" t="n">
        <v>0.1417998387419521</v>
      </c>
      <c r="T15" s="94" t="n">
        <v>-0.08202198703621691</v>
      </c>
      <c r="U15" s="135" t="n">
        <v>0.7542010047553426</v>
      </c>
      <c r="V15" s="135" t="n">
        <v>4.40810794712914</v>
      </c>
      <c r="W15" s="136" t="n">
        <v>2.301101500005734e-31</v>
      </c>
      <c r="X15" s="135" t="n">
        <v>-0.01915768006962952</v>
      </c>
      <c r="Y15" s="94" t="n">
        <v>-0.4540425154815575</v>
      </c>
      <c r="Z15" s="135" t="n">
        <v>-2.248276193823181</v>
      </c>
      <c r="AA15" s="135" t="n">
        <v>0.8527915450969137</v>
      </c>
      <c r="AB15" s="99" t="inlineStr">
        <is>
          <t>Queda acelerando</t>
        </is>
      </c>
      <c r="AC15" s="94" t="n">
        <v>-0.03541634059782643</v>
      </c>
      <c r="AD15" s="135" t="n">
        <v>0.3833932626376547</v>
      </c>
      <c r="AE15" s="94" t="n">
        <v>-0.0173080744121733</v>
      </c>
      <c r="AF15" s="92" t="n">
        <v>8.932312428749352</v>
      </c>
      <c r="AG15" s="92" t="n">
        <v>8.583289995473246</v>
      </c>
      <c r="AH15" s="92" t="n">
        <v>9.295527165791754</v>
      </c>
      <c r="AI15" s="92" t="n">
        <v>1.194302</v>
      </c>
      <c r="AJ15" s="94" t="n">
        <v>0.03933325443127855</v>
      </c>
      <c r="AK15" s="94" t="n">
        <v>0.014146278970742</v>
      </c>
      <c r="AL15" s="94" t="n">
        <v>0.001789596872778207</v>
      </c>
    </row>
    <row r="16">
      <c r="A16" s="100">
        <f>Carteira!A16</f>
        <v/>
      </c>
      <c r="B16" s="100">
        <f>Carteira!B16</f>
        <v/>
      </c>
      <c r="C16" s="103">
        <f>Carteira!G16</f>
        <v/>
      </c>
      <c r="D16" s="105">
        <f>Carteira!P16</f>
        <v/>
      </c>
      <c r="E16" s="109" t="inlineStr">
        <is>
          <t>Alta</t>
        </is>
      </c>
      <c r="F16" s="101" t="n">
        <v>262</v>
      </c>
      <c r="G16" s="137" t="n">
        <v>46293</v>
      </c>
      <c r="H16" s="104" t="n">
        <v>-0.03502304147465429</v>
      </c>
      <c r="I16" s="104" t="n">
        <v>0.07884000077990994</v>
      </c>
      <c r="J16" s="104" t="n">
        <v>0.1527426015698125</v>
      </c>
      <c r="K16" s="138" t="n">
        <v>-0.9239243147126779</v>
      </c>
      <c r="L16" s="104" t="n">
        <v>-0.271526021876251</v>
      </c>
      <c r="M16" s="138" t="n">
        <v>0.348847839644036</v>
      </c>
      <c r="N16" s="138" t="n">
        <v>0.3372107615689438</v>
      </c>
      <c r="O16" s="104" t="n">
        <v>0.1672880562323461</v>
      </c>
      <c r="P16" s="104" t="n">
        <v>0.03640901814734671</v>
      </c>
      <c r="Q16" s="104" t="n">
        <v>0.04462174868390742</v>
      </c>
      <c r="R16" s="138" t="n">
        <v>-1.227577381155669</v>
      </c>
      <c r="S16" s="104" t="n">
        <v>0.1511869387401753</v>
      </c>
      <c r="T16" s="104" t="n">
        <v>-0.1523095422229959</v>
      </c>
      <c r="U16" s="138" t="n">
        <v>0.1836070572551829</v>
      </c>
      <c r="V16" s="138" t="n">
        <v>0.950926086701029</v>
      </c>
      <c r="W16" s="139" t="n">
        <v>0.03414645374443782</v>
      </c>
      <c r="X16" s="138" t="n">
        <v>0.06249714850356144</v>
      </c>
      <c r="Y16" s="104" t="n">
        <v>0.1863090729229024</v>
      </c>
      <c r="Z16" s="138" t="n">
        <v>3.549885159422267</v>
      </c>
      <c r="AA16" s="138" t="n">
        <v>0.8326301419127924</v>
      </c>
      <c r="AB16" s="109" t="inlineStr">
        <is>
          <t>Alta acelerando</t>
        </is>
      </c>
      <c r="AC16" s="104" t="n">
        <v>-0.1035676714394557</v>
      </c>
      <c r="AD16" s="138" t="n">
        <v>0.4845669004532649</v>
      </c>
      <c r="AE16" s="104" t="n">
        <v>0.05701184735578213</v>
      </c>
      <c r="AF16" s="102" t="n">
        <v>35.51765859013977</v>
      </c>
      <c r="AG16" s="102" t="n">
        <v>32.19290742795653</v>
      </c>
      <c r="AH16" s="102" t="n">
        <v>39.18577638719984</v>
      </c>
      <c r="AI16" s="102" t="n">
        <v>4.92</v>
      </c>
      <c r="AJ16" s="104" t="n">
        <v>-0.10054844606947</v>
      </c>
      <c r="AK16" s="104" t="n">
        <v>0.01024830214584711</v>
      </c>
      <c r="AL16" s="104" t="n">
        <v>0.004383485475969309</v>
      </c>
    </row>
    <row r="17">
      <c r="A17" s="90">
        <f>Carteira!A17</f>
        <v/>
      </c>
      <c r="B17" s="90">
        <f>Carteira!B17</f>
        <v/>
      </c>
      <c r="C17" s="93">
        <f>Carteira!G17</f>
        <v/>
      </c>
      <c r="D17" s="95">
        <f>Carteira!P17</f>
        <v/>
      </c>
      <c r="E17" s="99" t="inlineStr">
        <is>
          <t>Alta</t>
        </is>
      </c>
      <c r="F17" s="91" t="n">
        <v>262</v>
      </c>
      <c r="G17" s="134" t="n">
        <v>46293</v>
      </c>
      <c r="H17" s="94" t="n">
        <v>-0.07913884182198738</v>
      </c>
      <c r="I17" s="94" t="n">
        <v>0.008878704371010793</v>
      </c>
      <c r="J17" s="94" t="n">
        <v>0.1225624696949507</v>
      </c>
      <c r="K17" s="135" t="n">
        <v>-0.9492790766777032</v>
      </c>
      <c r="L17" s="94" t="n">
        <v>-0.1375145409204541</v>
      </c>
      <c r="M17" s="135" t="n">
        <v>0.1592934961872074</v>
      </c>
      <c r="N17" s="135" t="n">
        <v>0.1918960840234985</v>
      </c>
      <c r="O17" s="94" t="n">
        <v>0.09666611355704195</v>
      </c>
      <c r="P17" s="94" t="n">
        <v>0.02329591652350133</v>
      </c>
      <c r="Q17" s="94" t="n">
        <v>0.03614226963914435</v>
      </c>
      <c r="R17" s="135" t="n">
        <v>-1.292708101092776</v>
      </c>
      <c r="S17" s="94" t="n">
        <v>0.1451082632054508</v>
      </c>
      <c r="T17" s="94" t="n">
        <v>-0.1214542512728126</v>
      </c>
      <c r="U17" s="135" t="n">
        <v>0.3806859569992461</v>
      </c>
      <c r="V17" s="135" t="n">
        <v>2.241171782790464</v>
      </c>
      <c r="W17" s="136" t="n">
        <v>1.236681709503364e-08</v>
      </c>
      <c r="X17" s="135" t="n">
        <v>-0.09755621912576809</v>
      </c>
      <c r="Y17" s="94" t="n">
        <v>0.1768031839342522</v>
      </c>
      <c r="Z17" s="135" t="n">
        <v>2.24581494396731</v>
      </c>
      <c r="AA17" s="135" t="n">
        <v>0.9209140021930152</v>
      </c>
      <c r="AB17" s="99" t="inlineStr">
        <is>
          <t>Alta acelerando</t>
        </is>
      </c>
      <c r="AC17" s="94" t="n">
        <v>-0.03852118790920636</v>
      </c>
      <c r="AD17" s="135" t="n">
        <v>0.3362739559371664</v>
      </c>
      <c r="AE17" s="94" t="n">
        <v>-0.02100843394486773</v>
      </c>
      <c r="AF17" s="92" t="n">
        <v>90.73727550791369</v>
      </c>
      <c r="AG17" s="92" t="n">
        <v>86.47584419548394</v>
      </c>
      <c r="AH17" s="92" t="n">
        <v>95.20870531182396</v>
      </c>
      <c r="AI17" s="92" t="n">
        <v>9.84</v>
      </c>
      <c r="AJ17" s="94" t="n">
        <v>0.01652892561983466</v>
      </c>
      <c r="AK17" s="94" t="n">
        <v>0.07713748919723271</v>
      </c>
      <c r="AL17" s="94" t="n">
        <v>0.02353368543017141</v>
      </c>
    </row>
    <row r="18">
      <c r="A18" s="100">
        <f>Carteira!A18</f>
        <v/>
      </c>
      <c r="B18" s="100">
        <f>Carteira!B18</f>
        <v/>
      </c>
      <c r="C18" s="103">
        <f>Carteira!G18</f>
        <v/>
      </c>
      <c r="D18" s="105">
        <f>Carteira!P18</f>
        <v/>
      </c>
      <c r="E18" s="109" t="inlineStr">
        <is>
          <t>Média</t>
        </is>
      </c>
      <c r="F18" s="101" t="n">
        <v>262</v>
      </c>
      <c r="G18" s="137" t="n">
        <v>46293</v>
      </c>
      <c r="H18" s="104" t="n">
        <v>-0.06424528301886789</v>
      </c>
      <c r="I18" s="104" t="n">
        <v>0.0385916377876856</v>
      </c>
      <c r="J18" s="104" t="n">
        <v>0.1108776581417691</v>
      </c>
      <c r="K18" s="138" t="n">
        <v>-0.6456820265345516</v>
      </c>
      <c r="L18" s="104" t="n">
        <v>-0.1308462742750738</v>
      </c>
      <c r="M18" s="138" t="n">
        <v>0.2868522778547979</v>
      </c>
      <c r="N18" s="138" t="n">
        <v>0.3819793012418281</v>
      </c>
      <c r="O18" s="104" t="n">
        <v>0.1327709133766109</v>
      </c>
      <c r="P18" s="104" t="n">
        <v>0.02139520420932195</v>
      </c>
      <c r="Q18" s="104" t="n">
        <v>0.03117795844922899</v>
      </c>
      <c r="R18" s="138" t="n">
        <v>-0.8962113383368634</v>
      </c>
      <c r="S18" s="104" t="n">
        <v>0.1491988497423858</v>
      </c>
      <c r="T18" s="104" t="n">
        <v>-0.08079056074876848</v>
      </c>
      <c r="U18" s="138" t="n">
        <v>0.3346214616355153</v>
      </c>
      <c r="V18" s="138" t="n">
        <v>1.632420055313467</v>
      </c>
      <c r="W18" s="139" t="n">
        <v>4.041884934549216e-05</v>
      </c>
      <c r="X18" s="138" t="n">
        <v>-0.03749349477920835</v>
      </c>
      <c r="Y18" s="104" t="n">
        <v>-0.2920965319166392</v>
      </c>
      <c r="Z18" s="138" t="n">
        <v>-0.4223052217353361</v>
      </c>
      <c r="AA18" s="138" t="n">
        <v>0.8260045224604383</v>
      </c>
      <c r="AB18" s="109" t="inlineStr">
        <is>
          <t>Queda acelerando</t>
        </is>
      </c>
      <c r="AC18" s="104" t="n">
        <v>-0.03040963154476907</v>
      </c>
      <c r="AD18" s="138" t="n">
        <v>0.2222734823901097</v>
      </c>
      <c r="AE18" s="104" t="n">
        <v>-0.03174447887432263</v>
      </c>
      <c r="AF18" s="102" t="n">
        <v>99.32674438588739</v>
      </c>
      <c r="AG18" s="102" t="n">
        <v>94.44952938949122</v>
      </c>
      <c r="AH18" s="102" t="n">
        <v>104.4558105696302</v>
      </c>
      <c r="AI18" s="102" t="n">
        <v>11.06936</v>
      </c>
      <c r="AJ18" s="104" t="n">
        <v>0.002833826172667697</v>
      </c>
      <c r="AK18" s="104" t="n">
        <v>0.05117294063208928</v>
      </c>
      <c r="AL18" s="104" t="n">
        <v>0.02052604244629877</v>
      </c>
    </row>
    <row r="19">
      <c r="A19" s="90">
        <f>Carteira!A19</f>
        <v/>
      </c>
      <c r="B19" s="90">
        <f>Carteira!B19</f>
        <v/>
      </c>
      <c r="C19" s="93">
        <f>Carteira!G19</f>
        <v/>
      </c>
      <c r="D19" s="95">
        <f>Carteira!P19</f>
        <v/>
      </c>
      <c r="E19" s="99" t="inlineStr">
        <is>
          <t>Alta</t>
        </is>
      </c>
      <c r="F19" s="91" t="n">
        <v>217</v>
      </c>
      <c r="G19" s="134" t="n">
        <v>46293</v>
      </c>
      <c r="H19" s="94" t="n">
        <v>0.02400835073068897</v>
      </c>
      <c r="I19" s="94" t="n">
        <v>0.19282452874376</v>
      </c>
      <c r="J19" s="94" t="n">
        <v>0.1003395171994434</v>
      </c>
      <c r="K19" s="135" t="n">
        <v>-0.07640747517111876</v>
      </c>
      <c r="L19" s="94" t="n">
        <v>-0.1282666008534268</v>
      </c>
      <c r="M19" s="135" t="n">
        <v>0.08382651570035711</v>
      </c>
      <c r="N19" s="135" t="n">
        <v>0.1233488143735469</v>
      </c>
      <c r="O19" s="94" t="n">
        <v>0.07035776316495283</v>
      </c>
      <c r="P19" s="94" t="n">
        <v>0.01404897563869878</v>
      </c>
      <c r="Q19" s="94" t="n">
        <v>0.03192002539993416</v>
      </c>
      <c r="R19" s="135" t="n">
        <v>-0.09865308324830689</v>
      </c>
      <c r="S19" s="94" t="n">
        <v>0.1426881694233771</v>
      </c>
      <c r="T19" s="94" t="n">
        <v>-0.01035485859247556</v>
      </c>
      <c r="U19" s="135" t="n">
        <v>-2.194719376484351</v>
      </c>
      <c r="V19" s="135" t="n">
        <v>19.44137139027766</v>
      </c>
      <c r="W19" s="136" t="n">
        <v>0</v>
      </c>
      <c r="X19" s="135" t="n">
        <v>-0.1483775894996309</v>
      </c>
      <c r="Y19" s="94" t="n">
        <v>0.1980589844858368</v>
      </c>
      <c r="Z19" s="135" t="n">
        <v>2.766450634607814</v>
      </c>
      <c r="AA19" s="135" t="n">
        <v>0.9273920647903205</v>
      </c>
      <c r="AB19" s="99" t="inlineStr">
        <is>
          <t>Alta acelerando</t>
        </is>
      </c>
      <c r="AC19" s="94" t="n">
        <v>0.009214577312727604</v>
      </c>
      <c r="AD19" s="135" t="n">
        <v>0.02687641452891654</v>
      </c>
      <c r="AE19" s="94" t="n">
        <v>-0.02890701200617407</v>
      </c>
      <c r="AF19" s="92" t="n">
        <v>10.19510502685331</v>
      </c>
      <c r="AG19" s="92" t="n">
        <v>9.716263840511392</v>
      </c>
      <c r="AH19" s="92" t="n">
        <v>10.69754467506299</v>
      </c>
      <c r="AI19" s="92" t="n">
        <v>1.58</v>
      </c>
      <c r="AJ19" s="94" t="n">
        <v>0.2153846153846153</v>
      </c>
      <c r="AK19" s="94" t="n">
        <v>0.01577032847855061</v>
      </c>
      <c r="AL19" s="94" t="n">
        <v>0.001995356912973922</v>
      </c>
    </row>
    <row r="20">
      <c r="A20" s="100">
        <f>Carteira!A20</f>
        <v/>
      </c>
      <c r="B20" s="100">
        <f>Carteira!B20</f>
        <v/>
      </c>
      <c r="C20" s="103">
        <f>Carteira!G20</f>
        <v/>
      </c>
      <c r="D20" s="105">
        <f>Carteira!P20</f>
        <v/>
      </c>
      <c r="E20" s="109" t="inlineStr">
        <is>
          <t>Alta</t>
        </is>
      </c>
      <c r="F20" s="101" t="n">
        <v>262</v>
      </c>
      <c r="G20" s="137" t="n">
        <v>46293</v>
      </c>
      <c r="H20" s="104" t="n">
        <v>-0.02470741222366712</v>
      </c>
      <c r="I20" s="104" t="n">
        <v>0.1228581620643965</v>
      </c>
      <c r="J20" s="104" t="n">
        <v>0.1577070237467036</v>
      </c>
      <c r="K20" s="138" t="n">
        <v>-0.7902870454827413</v>
      </c>
      <c r="L20" s="104" t="n">
        <v>-0.3641625054534232</v>
      </c>
      <c r="M20" s="138" t="n">
        <v>0.2147051358810005</v>
      </c>
      <c r="N20" s="138" t="n">
        <v>0.2010096785091377</v>
      </c>
      <c r="O20" s="104" t="n">
        <v>0.07493101914913373</v>
      </c>
      <c r="P20" s="104" t="n">
        <v>0.02221461347567544</v>
      </c>
      <c r="Q20" s="104" t="n">
        <v>0.05266288388508678</v>
      </c>
      <c r="R20" s="138" t="n">
        <v>-0.9211948926315865</v>
      </c>
      <c r="S20" s="104" t="n">
        <v>0.1468852173622536</v>
      </c>
      <c r="T20" s="104" t="n">
        <v>-0.1315190352109125</v>
      </c>
      <c r="U20" s="138" t="n">
        <v>-4.279532436418674</v>
      </c>
      <c r="V20" s="138" t="n">
        <v>41.0689416167582</v>
      </c>
      <c r="W20" s="139" t="n">
        <v>0</v>
      </c>
      <c r="X20" s="138" t="n">
        <v>0.1254985782693096</v>
      </c>
      <c r="Y20" s="104" t="n">
        <v>-0.004076007041292072</v>
      </c>
      <c r="Z20" s="138" t="n">
        <v>0.9992843838923411</v>
      </c>
      <c r="AA20" s="138" t="n">
        <v>0.6103897848466959</v>
      </c>
      <c r="AB20" s="109" t="inlineStr">
        <is>
          <t>Queda perdendo força</t>
        </is>
      </c>
      <c r="AC20" s="104" t="n">
        <v>-0.1136818411950716</v>
      </c>
      <c r="AD20" s="138" t="n">
        <v>0.4267243611148814</v>
      </c>
      <c r="AE20" s="104" t="n">
        <v>0.09763558835623654</v>
      </c>
      <c r="AF20" s="102" t="n">
        <v>6.056095722070886</v>
      </c>
      <c r="AG20" s="102" t="n">
        <v>5.360987925060093</v>
      </c>
      <c r="AH20" s="102" t="n">
        <v>6.841331468672196</v>
      </c>
      <c r="AI20" s="102" t="n">
        <v>1.08</v>
      </c>
      <c r="AJ20" s="104" t="n">
        <v>0.1344537815126052</v>
      </c>
      <c r="AK20" s="104" t="n">
        <v>0.03931894710863914</v>
      </c>
      <c r="AL20" s="104" t="n">
        <v>0.01269984687829998</v>
      </c>
    </row>
    <row r="21">
      <c r="A21" s="110" t="inlineStr">
        <is>
          <t>CARTEIRA</t>
        </is>
      </c>
      <c r="B21" s="110" t="n"/>
      <c r="C21" s="111">
        <f>SUM(C5:C20)</f>
        <v/>
      </c>
      <c r="D21" s="112">
        <f>SUM(D5:D20)</f>
        <v/>
      </c>
      <c r="E21" s="110" t="n"/>
      <c r="F21" s="110" t="n"/>
      <c r="G21" s="110" t="n"/>
      <c r="H21" s="110" t="n"/>
      <c r="I21" s="112" t="n">
        <v>0.2474638096131254</v>
      </c>
      <c r="J21" s="112" t="n">
        <v>0.129774780311401</v>
      </c>
      <c r="K21" s="140" t="n">
        <v>0.1591562687614282</v>
      </c>
      <c r="L21" s="112" t="n">
        <v>-0.176003244469834</v>
      </c>
      <c r="M21" s="140" t="n">
        <v>0.8005741190196553</v>
      </c>
      <c r="N21" s="110" t="n"/>
      <c r="O21" s="110" t="n"/>
      <c r="P21" s="110" t="n"/>
      <c r="Q21" s="110" t="n"/>
      <c r="R21" s="110" t="n"/>
      <c r="S21" s="110" t="n"/>
      <c r="T21" s="110" t="n"/>
      <c r="U21" s="110" t="n"/>
      <c r="V21" s="110" t="n"/>
      <c r="W21" s="110" t="n"/>
      <c r="X21" s="110" t="n"/>
      <c r="Y21" s="110" t="n"/>
      <c r="Z21" s="110" t="n"/>
      <c r="AA21" s="110" t="n"/>
      <c r="AB21" s="110" t="n"/>
      <c r="AC21" s="112" t="n">
        <v>0.05498198624795442</v>
      </c>
      <c r="AD21" s="140" t="n">
        <v>0.3845954138344843</v>
      </c>
      <c r="AE21" s="110" t="n"/>
      <c r="AF21" s="110" t="n"/>
      <c r="AG21" s="110" t="n"/>
      <c r="AH21" s="110" t="n"/>
      <c r="AI21" s="110" t="n"/>
      <c r="AJ21" s="110" t="n"/>
      <c r="AK21" s="112" t="n">
        <v>1</v>
      </c>
      <c r="AL21" s="112" t="n">
        <v>1</v>
      </c>
    </row>
    <row r="24" ht="32" customHeight="1">
      <c r="A24" s="89" t="inlineStr">
        <is>
          <t>Resumo da carteira</t>
        </is>
      </c>
      <c r="B24" s="89" t="inlineStr">
        <is>
          <t>Valor</t>
        </is>
      </c>
      <c r="C24" s="89" t="inlineStr">
        <is>
          <t>Leitura</t>
        </is>
      </c>
    </row>
    <row r="25">
      <c r="A25" s="133" t="inlineStr">
        <is>
          <t>Base dos pesos</t>
        </is>
      </c>
      <c r="B25" s="99" t="inlineStr">
        <is>
          <t>carteira real (lançamentos)</t>
        </is>
      </c>
      <c r="C25" s="141" t="inlineStr">
        <is>
          <t>Carteira real quando há lançamentos; senão, pesos ideais.</t>
        </is>
      </c>
      <c r="D25" s="142" t="n"/>
      <c r="E25" s="142" t="n"/>
      <c r="F25" s="142" t="n"/>
      <c r="G25" s="142" t="n"/>
      <c r="H25" s="142" t="n"/>
      <c r="I25" s="142" t="n"/>
      <c r="J25" s="143" t="n"/>
    </row>
    <row r="26">
      <c r="A26" s="133" t="inlineStr">
        <is>
          <t>Retorno anual médio (3a, c/ proventos)</t>
        </is>
      </c>
      <c r="B26" s="94" t="n">
        <v>0.1606544698136967</v>
      </c>
      <c r="C26" s="141" t="inlineStr">
        <is>
          <t>Média geométrica ponderada pelos pesos.</t>
        </is>
      </c>
      <c r="D26" s="142" t="n"/>
      <c r="E26" s="142" t="n"/>
      <c r="F26" s="142" t="n"/>
      <c r="G26" s="142" t="n"/>
      <c r="H26" s="142" t="n"/>
      <c r="I26" s="142" t="n"/>
      <c r="J26" s="143" t="n"/>
    </row>
    <row r="27">
      <c r="A27" s="133" t="inlineStr">
        <is>
          <t>Volatilidade anual da carteira</t>
        </is>
      </c>
      <c r="B27" s="94" t="n">
        <v>0.129774780311401</v>
      </c>
      <c r="C27" s="141" t="inlineStr">
        <is>
          <t>Considera as correlações entre os ativos.</t>
        </is>
      </c>
      <c r="D27" s="142" t="n"/>
      <c r="E27" s="142" t="n"/>
      <c r="F27" s="142" t="n"/>
      <c r="G27" s="142" t="n"/>
      <c r="H27" s="142" t="n"/>
      <c r="I27" s="142" t="n"/>
      <c r="J27" s="143" t="n"/>
    </row>
    <row r="28">
      <c r="A28" s="133" t="inlineStr">
        <is>
          <t>Índice de diversificação</t>
        </is>
      </c>
      <c r="B28" s="135" t="n">
        <v>1.731816003531054</v>
      </c>
      <c r="C28" s="141" t="inlineStr">
        <is>
          <t>Vol. média dos ativos ÷ vol. da carteira (&gt;1 = diversificação ajuda).</t>
        </is>
      </c>
      <c r="D28" s="142" t="n"/>
      <c r="E28" s="142" t="n"/>
      <c r="F28" s="142" t="n"/>
      <c r="G28" s="142" t="n"/>
      <c r="H28" s="142" t="n"/>
      <c r="I28" s="142" t="n"/>
      <c r="J28" s="143" t="n"/>
    </row>
    <row r="29">
      <c r="A29" s="133" t="inlineStr">
        <is>
          <t>Sharpe da carteira</t>
        </is>
      </c>
      <c r="B29" s="135" t="n">
        <v>0.1591562687614282</v>
      </c>
      <c r="C29" s="141" t="inlineStr">
        <is>
          <t>Retorno acima do CDI (14.00%) por unidade de risco.</t>
        </is>
      </c>
      <c r="D29" s="142" t="n"/>
      <c r="E29" s="142" t="n"/>
      <c r="F29" s="142" t="n"/>
      <c r="G29" s="142" t="n"/>
      <c r="H29" s="142" t="n"/>
      <c r="I29" s="142" t="n"/>
      <c r="J29" s="143" t="n"/>
    </row>
    <row r="30">
      <c r="A30" s="133" t="inlineStr">
        <is>
          <t>Beta da carteira</t>
        </is>
      </c>
      <c r="B30" s="135" t="n">
        <v>0.8005741190196553</v>
      </c>
      <c r="C30" s="141" t="inlineStr">
        <is>
          <t>1 = oscila como o Ibovespa; &lt;1 = mais defensiva.</t>
        </is>
      </c>
      <c r="D30" s="142" t="n"/>
      <c r="E30" s="142" t="n"/>
      <c r="F30" s="142" t="n"/>
      <c r="G30" s="142" t="n"/>
      <c r="H30" s="142" t="n"/>
      <c r="I30" s="142" t="n"/>
      <c r="J30" s="143" t="n"/>
    </row>
    <row r="31">
      <c r="A31" s="133" t="inlineStr">
        <is>
          <t>Queda máxima (3a)</t>
        </is>
      </c>
      <c r="B31" s="94" t="n">
        <v>-0.176003244469834</v>
      </c>
      <c r="C31" s="141" t="inlineStr">
        <is>
          <t>Pior perda do pico ao vale com os pesos atuais.</t>
        </is>
      </c>
      <c r="D31" s="142" t="n"/>
      <c r="E31" s="142" t="n"/>
      <c r="F31" s="142" t="n"/>
      <c r="G31" s="142" t="n"/>
      <c r="H31" s="142" t="n"/>
      <c r="I31" s="142" t="n"/>
      <c r="J31" s="143" t="n"/>
    </row>
    <row r="32">
      <c r="A32" s="133" t="inlineStr">
        <is>
          <t>Dividend yield da carteira</t>
        </is>
      </c>
      <c r="B32" s="94" t="n">
        <v>0.09583896010024134</v>
      </c>
      <c r="C32" s="141" t="inlineStr">
        <is>
          <t>Provento 12m ÷ cotação, ponderado.</t>
        </is>
      </c>
      <c r="D32" s="142" t="n"/>
      <c r="E32" s="142" t="n"/>
      <c r="F32" s="142" t="n"/>
      <c r="G32" s="142" t="n"/>
      <c r="H32" s="142" t="n"/>
      <c r="I32" s="142" t="n"/>
      <c r="J32" s="143" t="n"/>
    </row>
    <row r="33">
      <c r="A33" s="133" t="inlineStr">
        <is>
          <t>Retorno 12m da carteira</t>
        </is>
      </c>
      <c r="B33" s="94" t="n">
        <v>0.2474638096131254</v>
      </c>
      <c r="C33" s="141" t="inlineStr">
        <is>
          <t>Com proventos reinvestidos.</t>
        </is>
      </c>
      <c r="D33" s="142" t="n"/>
      <c r="E33" s="142" t="n"/>
      <c r="F33" s="142" t="n"/>
      <c r="G33" s="142" t="n"/>
      <c r="H33" s="142" t="n"/>
      <c r="I33" s="142" t="n"/>
      <c r="J33" s="143" t="n"/>
    </row>
    <row r="34">
      <c r="A34" s="133" t="inlineStr">
        <is>
          <t>Ibovespa 12m</t>
        </is>
      </c>
      <c r="B34" s="94" t="n">
        <v>0.2748011026275832</v>
      </c>
      <c r="C34" s="141" t="inlineStr">
        <is>
          <t>Referência de mercado.</t>
        </is>
      </c>
      <c r="D34" s="142" t="n"/>
      <c r="E34" s="142" t="n"/>
      <c r="F34" s="142" t="n"/>
      <c r="G34" s="142" t="n"/>
      <c r="H34" s="142" t="n"/>
      <c r="I34" s="142" t="n"/>
      <c r="J34" s="143" t="n"/>
    </row>
    <row r="35">
      <c r="A35" s="133" t="inlineStr">
        <is>
          <t>TIR realizada (seus lançamentos)</t>
        </is>
      </c>
      <c r="B35" s="94" t="n">
        <v>0.1391337528676769</v>
      </c>
      <c r="C35" s="141" t="inlineStr">
        <is>
          <t>Taxa anual do seu dinheiro: compras, vendas, proventos e posição de hoje.</t>
        </is>
      </c>
      <c r="D35" s="142" t="n"/>
      <c r="E35" s="142" t="n"/>
      <c r="F35" s="142" t="n"/>
      <c r="G35" s="142" t="n"/>
      <c r="H35" s="142" t="n"/>
      <c r="I35" s="142" t="n"/>
      <c r="J35" s="143" t="n"/>
    </row>
    <row r="36">
      <c r="A36" s="133" t="inlineStr">
        <is>
          <t>CDI anual (premissa)</t>
        </is>
      </c>
      <c r="B36" s="94" t="n">
        <v>0.14</v>
      </c>
      <c r="C36" s="141" t="inlineStr">
        <is>
          <t>dados/config.json → analise.cdi_anual</t>
        </is>
      </c>
      <c r="D36" s="142" t="n"/>
      <c r="E36" s="142" t="n"/>
      <c r="F36" s="142" t="n"/>
      <c r="G36" s="142" t="n"/>
      <c r="H36" s="142" t="n"/>
      <c r="I36" s="142" t="n"/>
      <c r="J36" s="143" t="n"/>
    </row>
    <row r="38">
      <c r="A38" s="115" t="inlineStr">
        <is>
          <t>Correlação dos retornos semanais (3 anos) — perto de 1 = andam juntos; perto de 0 = diversificam</t>
        </is>
      </c>
    </row>
    <row r="39" ht="32" customHeight="1">
      <c r="A39" s="89" t="inlineStr">
        <is>
          <t>Correlação</t>
        </is>
      </c>
      <c r="B39" s="89" t="inlineStr">
        <is>
          <t>VALE3</t>
        </is>
      </c>
      <c r="C39" s="89" t="inlineStr">
        <is>
          <t>TAEE11</t>
        </is>
      </c>
      <c r="D39" s="89" t="inlineStr">
        <is>
          <t>PETR4</t>
        </is>
      </c>
      <c r="E39" s="89" t="inlineStr">
        <is>
          <t>BBAS3</t>
        </is>
      </c>
      <c r="F39" s="89" t="inlineStr">
        <is>
          <t>BRBI11</t>
        </is>
      </c>
      <c r="G39" s="89" t="inlineStr">
        <is>
          <t>BBDC4</t>
        </is>
      </c>
      <c r="H39" s="89" t="inlineStr">
        <is>
          <t>ITSA4</t>
        </is>
      </c>
      <c r="I39" s="89" t="inlineStr">
        <is>
          <t>CMIG4</t>
        </is>
      </c>
      <c r="J39" s="89" t="inlineStr">
        <is>
          <t>FIQE3</t>
        </is>
      </c>
      <c r="K39" s="89" t="inlineStr">
        <is>
          <t>KLBN11</t>
        </is>
      </c>
      <c r="L39" s="89" t="inlineStr">
        <is>
          <t>MXRF11</t>
        </is>
      </c>
      <c r="M39" s="89" t="inlineStr">
        <is>
          <t>BRCR11</t>
        </is>
      </c>
      <c r="N39" s="89" t="inlineStr">
        <is>
          <t>XPLG11</t>
        </is>
      </c>
      <c r="O39" s="89" t="inlineStr">
        <is>
          <t>XPML11</t>
        </is>
      </c>
      <c r="P39" s="89" t="inlineStr">
        <is>
          <t>SNAG11</t>
        </is>
      </c>
      <c r="Q39" s="89" t="inlineStr">
        <is>
          <t>CPTS11</t>
        </is>
      </c>
    </row>
    <row r="40">
      <c r="A40" s="133" t="inlineStr">
        <is>
          <t>VALE3</t>
        </is>
      </c>
      <c r="B40" s="135" t="n">
        <v>1</v>
      </c>
      <c r="C40" s="135" t="n">
        <v>0.2053980960208267</v>
      </c>
      <c r="D40" s="135" t="n">
        <v>0.02484079896202218</v>
      </c>
      <c r="E40" s="135" t="n">
        <v>0.2213520781414796</v>
      </c>
      <c r="F40" s="135" t="n">
        <v>0.2328806459543669</v>
      </c>
      <c r="G40" s="135" t="n">
        <v>0.260558572853722</v>
      </c>
      <c r="H40" s="135" t="n">
        <v>0.3684934184439659</v>
      </c>
      <c r="I40" s="135" t="n">
        <v>0.2198908265355826</v>
      </c>
      <c r="J40" s="135" t="n">
        <v>0.1967395005482376</v>
      </c>
      <c r="K40" s="135" t="n">
        <v>0.3182618323650124</v>
      </c>
      <c r="L40" s="135" t="n">
        <v>0.08118775871241456</v>
      </c>
      <c r="M40" s="135" t="n">
        <v>0.2233624189736061</v>
      </c>
      <c r="N40" s="135" t="n">
        <v>0.1587180407842343</v>
      </c>
      <c r="O40" s="135" t="n">
        <v>0.1463599396830173</v>
      </c>
      <c r="P40" s="135" t="n">
        <v>0.1154148929809941</v>
      </c>
      <c r="Q40" s="135" t="n">
        <v>0.1256542156347985</v>
      </c>
    </row>
    <row r="41">
      <c r="A41" s="133" t="inlineStr">
        <is>
          <t>TAEE11</t>
        </is>
      </c>
      <c r="B41" s="135" t="n">
        <v>0.2053980960208267</v>
      </c>
      <c r="C41" s="135" t="n">
        <v>1</v>
      </c>
      <c r="D41" s="135" t="n">
        <v>0.08053318650737608</v>
      </c>
      <c r="E41" s="135" t="n">
        <v>0.482151063479559</v>
      </c>
      <c r="F41" s="135" t="n">
        <v>0.4371350632929081</v>
      </c>
      <c r="G41" s="135" t="n">
        <v>0.5645762738317682</v>
      </c>
      <c r="H41" s="135" t="n">
        <v>0.5328476243461232</v>
      </c>
      <c r="I41" s="135" t="n">
        <v>0.422503817663034</v>
      </c>
      <c r="J41" s="135" t="n">
        <v>0.4171242069701153</v>
      </c>
      <c r="K41" s="135" t="n">
        <v>0.3142265397327931</v>
      </c>
      <c r="L41" s="135" t="n">
        <v>0.1517814471174644</v>
      </c>
      <c r="M41" s="135" t="n">
        <v>0.2485238136855899</v>
      </c>
      <c r="N41" s="135" t="n">
        <v>0.07877242129257896</v>
      </c>
      <c r="O41" s="135" t="n">
        <v>0.2753754608073177</v>
      </c>
      <c r="P41" s="135" t="n">
        <v>0.1048125415362792</v>
      </c>
      <c r="Q41" s="135" t="n">
        <v>0.1045902961748254</v>
      </c>
    </row>
    <row r="42">
      <c r="A42" s="133" t="inlineStr">
        <is>
          <t>PETR4</t>
        </is>
      </c>
      <c r="B42" s="135" t="n">
        <v>0.02484079896202218</v>
      </c>
      <c r="C42" s="135" t="n">
        <v>0.08053318650737608</v>
      </c>
      <c r="D42" s="135" t="n">
        <v>1</v>
      </c>
      <c r="E42" s="135" t="n">
        <v>0.1765621352674266</v>
      </c>
      <c r="F42" s="135" t="n">
        <v>0.287550098300497</v>
      </c>
      <c r="G42" s="135" t="n">
        <v>0.1206943435124812</v>
      </c>
      <c r="H42" s="135" t="n">
        <v>0.08977192305504696</v>
      </c>
      <c r="I42" s="135" t="n">
        <v>0.09668302766705805</v>
      </c>
      <c r="J42" s="135" t="n">
        <v>0.1703435248015545</v>
      </c>
      <c r="K42" s="135" t="n">
        <v>0.1013136309374021</v>
      </c>
      <c r="L42" s="135" t="n">
        <v>0.0591872072576399</v>
      </c>
      <c r="M42" s="135" t="n">
        <v>0.04633077534102477</v>
      </c>
      <c r="N42" s="135" t="n">
        <v>0.04418868767520925</v>
      </c>
      <c r="O42" s="135" t="n">
        <v>0.1629565092660518</v>
      </c>
      <c r="P42" s="135" t="n">
        <v>0.0468100669959737</v>
      </c>
      <c r="Q42" s="135" t="n">
        <v>0.1158218333986009</v>
      </c>
    </row>
    <row r="43">
      <c r="A43" s="133" t="inlineStr">
        <is>
          <t>BBAS3</t>
        </is>
      </c>
      <c r="B43" s="135" t="n">
        <v>0.2213520781414796</v>
      </c>
      <c r="C43" s="135" t="n">
        <v>0.482151063479559</v>
      </c>
      <c r="D43" s="135" t="n">
        <v>0.1765621352674266</v>
      </c>
      <c r="E43" s="135" t="n">
        <v>1</v>
      </c>
      <c r="F43" s="135" t="n">
        <v>0.4094151209856617</v>
      </c>
      <c r="G43" s="135" t="n">
        <v>0.4546695165955459</v>
      </c>
      <c r="H43" s="135" t="n">
        <v>0.6253186091552091</v>
      </c>
      <c r="I43" s="135" t="n">
        <v>0.4274307746252148</v>
      </c>
      <c r="J43" s="135" t="n">
        <v>0.4084781631996164</v>
      </c>
      <c r="K43" s="135" t="n">
        <v>0.2342057605745219</v>
      </c>
      <c r="L43" s="135" t="n">
        <v>0.1429815780049894</v>
      </c>
      <c r="M43" s="135" t="n">
        <v>0.2276797398934738</v>
      </c>
      <c r="N43" s="135" t="n">
        <v>0.1141215649068006</v>
      </c>
      <c r="O43" s="135" t="n">
        <v>0.3040978639115892</v>
      </c>
      <c r="P43" s="135" t="n">
        <v>0.07884426246641431</v>
      </c>
      <c r="Q43" s="135" t="n">
        <v>0.08726275813103244</v>
      </c>
    </row>
    <row r="44">
      <c r="A44" s="133" t="inlineStr">
        <is>
          <t>BRBI11</t>
        </is>
      </c>
      <c r="B44" s="135" t="n">
        <v>0.2328806459543669</v>
      </c>
      <c r="C44" s="135" t="n">
        <v>0.4371350632929081</v>
      </c>
      <c r="D44" s="135" t="n">
        <v>0.287550098300497</v>
      </c>
      <c r="E44" s="135" t="n">
        <v>0.4094151209856617</v>
      </c>
      <c r="F44" s="135" t="n">
        <v>1</v>
      </c>
      <c r="G44" s="135" t="n">
        <v>0.570689340826001</v>
      </c>
      <c r="H44" s="135" t="n">
        <v>0.5269651673902724</v>
      </c>
      <c r="I44" s="135" t="n">
        <v>0.313871572607095</v>
      </c>
      <c r="J44" s="135" t="n">
        <v>0.4442773885614362</v>
      </c>
      <c r="K44" s="135" t="n">
        <v>0.2537855146646933</v>
      </c>
      <c r="L44" s="135" t="n">
        <v>0.04241972932553395</v>
      </c>
      <c r="M44" s="135" t="n">
        <v>0.2463546846915696</v>
      </c>
      <c r="N44" s="135" t="n">
        <v>0.102911280297376</v>
      </c>
      <c r="O44" s="135" t="n">
        <v>0.3190117106475976</v>
      </c>
      <c r="P44" s="135" t="n">
        <v>0.05281366729156815</v>
      </c>
      <c r="Q44" s="135" t="n">
        <v>0.1300525471311986</v>
      </c>
    </row>
    <row r="45">
      <c r="A45" s="133" t="inlineStr">
        <is>
          <t>BBDC4</t>
        </is>
      </c>
      <c r="B45" s="135" t="n">
        <v>0.260558572853722</v>
      </c>
      <c r="C45" s="135" t="n">
        <v>0.5645762738317682</v>
      </c>
      <c r="D45" s="135" t="n">
        <v>0.1206943435124812</v>
      </c>
      <c r="E45" s="135" t="n">
        <v>0.4546695165955459</v>
      </c>
      <c r="F45" s="135" t="n">
        <v>0.570689340826001</v>
      </c>
      <c r="G45" s="135" t="n">
        <v>1</v>
      </c>
      <c r="H45" s="135" t="n">
        <v>0.6284522545259398</v>
      </c>
      <c r="I45" s="135" t="n">
        <v>0.3042117441664781</v>
      </c>
      <c r="J45" s="135" t="n">
        <v>0.500611778388055</v>
      </c>
      <c r="K45" s="135" t="n">
        <v>0.1773124836011338</v>
      </c>
      <c r="L45" s="135" t="n">
        <v>0.1074667775411239</v>
      </c>
      <c r="M45" s="135" t="n">
        <v>0.2009235942267436</v>
      </c>
      <c r="N45" s="135" t="n">
        <v>0.08086388635189581</v>
      </c>
      <c r="O45" s="135" t="n">
        <v>0.3153875115630675</v>
      </c>
      <c r="P45" s="135" t="n">
        <v>0.1049485284637467</v>
      </c>
      <c r="Q45" s="135" t="n">
        <v>0.1596542137676382</v>
      </c>
    </row>
    <row r="46">
      <c r="A46" s="133" t="inlineStr">
        <is>
          <t>ITSA4</t>
        </is>
      </c>
      <c r="B46" s="135" t="n">
        <v>0.3684934184439659</v>
      </c>
      <c r="C46" s="135" t="n">
        <v>0.5328476243461232</v>
      </c>
      <c r="D46" s="135" t="n">
        <v>0.08977192305504696</v>
      </c>
      <c r="E46" s="135" t="n">
        <v>0.6253186091552091</v>
      </c>
      <c r="F46" s="135" t="n">
        <v>0.5269651673902724</v>
      </c>
      <c r="G46" s="135" t="n">
        <v>0.6284522545259398</v>
      </c>
      <c r="H46" s="135" t="n">
        <v>1</v>
      </c>
      <c r="I46" s="135" t="n">
        <v>0.4528392863556195</v>
      </c>
      <c r="J46" s="135" t="n">
        <v>0.4993193010724842</v>
      </c>
      <c r="K46" s="135" t="n">
        <v>0.3008697389844709</v>
      </c>
      <c r="L46" s="135" t="n">
        <v>0.08522344564609455</v>
      </c>
      <c r="M46" s="135" t="n">
        <v>0.3286403071200217</v>
      </c>
      <c r="N46" s="135" t="n">
        <v>0.1651379415307402</v>
      </c>
      <c r="O46" s="135" t="n">
        <v>0.3710635836058453</v>
      </c>
      <c r="P46" s="135" t="n">
        <v>0.08555104965280701</v>
      </c>
      <c r="Q46" s="135" t="n">
        <v>0.1597185355862917</v>
      </c>
    </row>
    <row r="47">
      <c r="A47" s="133" t="inlineStr">
        <is>
          <t>CMIG4</t>
        </is>
      </c>
      <c r="B47" s="135" t="n">
        <v>0.2198908265355826</v>
      </c>
      <c r="C47" s="135" t="n">
        <v>0.422503817663034</v>
      </c>
      <c r="D47" s="135" t="n">
        <v>0.09668302766705805</v>
      </c>
      <c r="E47" s="135" t="n">
        <v>0.4274307746252148</v>
      </c>
      <c r="F47" s="135" t="n">
        <v>0.313871572607095</v>
      </c>
      <c r="G47" s="135" t="n">
        <v>0.3042117441664781</v>
      </c>
      <c r="H47" s="135" t="n">
        <v>0.4528392863556195</v>
      </c>
      <c r="I47" s="135" t="n">
        <v>1</v>
      </c>
      <c r="J47" s="135" t="n">
        <v>0.3559548741909004</v>
      </c>
      <c r="K47" s="135" t="n">
        <v>0.3021529732374333</v>
      </c>
      <c r="L47" s="135" t="n">
        <v>0.07616176168204163</v>
      </c>
      <c r="M47" s="135" t="n">
        <v>0.06866486235023353</v>
      </c>
      <c r="N47" s="135" t="n">
        <v>0.1842112244219959</v>
      </c>
      <c r="O47" s="135" t="n">
        <v>0.2997310183700821</v>
      </c>
      <c r="P47" s="135" t="n">
        <v>0.02844247971917184</v>
      </c>
      <c r="Q47" s="135" t="n">
        <v>0.05111102878244682</v>
      </c>
    </row>
    <row r="48">
      <c r="A48" s="133" t="inlineStr">
        <is>
          <t>FIQE3</t>
        </is>
      </c>
      <c r="B48" s="135" t="n">
        <v>0.1967395005482376</v>
      </c>
      <c r="C48" s="135" t="n">
        <v>0.4171242069701153</v>
      </c>
      <c r="D48" s="135" t="n">
        <v>0.1703435248015545</v>
      </c>
      <c r="E48" s="135" t="n">
        <v>0.4084781631996164</v>
      </c>
      <c r="F48" s="135" t="n">
        <v>0.4442773885614362</v>
      </c>
      <c r="G48" s="135" t="n">
        <v>0.500611778388055</v>
      </c>
      <c r="H48" s="135" t="n">
        <v>0.4993193010724842</v>
      </c>
      <c r="I48" s="135" t="n">
        <v>0.3559548741909004</v>
      </c>
      <c r="J48" s="135" t="n">
        <v>1</v>
      </c>
      <c r="K48" s="135" t="n">
        <v>0.1691997685156015</v>
      </c>
      <c r="L48" s="135" t="n">
        <v>0.1535124779968622</v>
      </c>
      <c r="M48" s="135" t="n">
        <v>0.2644030185374482</v>
      </c>
      <c r="N48" s="135" t="n">
        <v>0.2367828741462184</v>
      </c>
      <c r="O48" s="135" t="n">
        <v>0.2561535314789053</v>
      </c>
      <c r="P48" s="135" t="n">
        <v>0.1205552240027993</v>
      </c>
      <c r="Q48" s="135" t="n">
        <v>0.1726034819034084</v>
      </c>
    </row>
    <row r="49">
      <c r="A49" s="133" t="inlineStr">
        <is>
          <t>KLBN11</t>
        </is>
      </c>
      <c r="B49" s="135" t="n">
        <v>0.3182618323650124</v>
      </c>
      <c r="C49" s="135" t="n">
        <v>0.3142265397327931</v>
      </c>
      <c r="D49" s="135" t="n">
        <v>0.1013136309374021</v>
      </c>
      <c r="E49" s="135" t="n">
        <v>0.2342057605745219</v>
      </c>
      <c r="F49" s="135" t="n">
        <v>0.2537855146646933</v>
      </c>
      <c r="G49" s="135" t="n">
        <v>0.1773124836011338</v>
      </c>
      <c r="H49" s="135" t="n">
        <v>0.3008697389844709</v>
      </c>
      <c r="I49" s="135" t="n">
        <v>0.3021529732374333</v>
      </c>
      <c r="J49" s="135" t="n">
        <v>0.1691997685156015</v>
      </c>
      <c r="K49" s="135" t="n">
        <v>1</v>
      </c>
      <c r="L49" s="135" t="n">
        <v>0.2517193676476391</v>
      </c>
      <c r="M49" s="135" t="n">
        <v>0.2281184197606921</v>
      </c>
      <c r="N49" s="135" t="n">
        <v>0.05674184143818201</v>
      </c>
      <c r="O49" s="135" t="n">
        <v>0.1055476107498118</v>
      </c>
      <c r="P49" s="135" t="n">
        <v>-0.04740760636690437</v>
      </c>
      <c r="Q49" s="135" t="n">
        <v>0.004220721416875069</v>
      </c>
    </row>
    <row r="50">
      <c r="A50" s="133" t="inlineStr">
        <is>
          <t>MXRF11</t>
        </is>
      </c>
      <c r="B50" s="135" t="n">
        <v>0.08118775871241456</v>
      </c>
      <c r="C50" s="135" t="n">
        <v>0.1517814471174644</v>
      </c>
      <c r="D50" s="135" t="n">
        <v>0.0591872072576399</v>
      </c>
      <c r="E50" s="135" t="n">
        <v>0.1429815780049894</v>
      </c>
      <c r="F50" s="135" t="n">
        <v>0.04241972932553395</v>
      </c>
      <c r="G50" s="135" t="n">
        <v>0.1074667775411239</v>
      </c>
      <c r="H50" s="135" t="n">
        <v>0.08522344564609455</v>
      </c>
      <c r="I50" s="135" t="n">
        <v>0.07616176168204163</v>
      </c>
      <c r="J50" s="135" t="n">
        <v>0.1535124779968622</v>
      </c>
      <c r="K50" s="135" t="n">
        <v>0.2517193676476391</v>
      </c>
      <c r="L50" s="135" t="n">
        <v>1</v>
      </c>
      <c r="M50" s="135" t="n">
        <v>0.2270797512202688</v>
      </c>
      <c r="N50" s="135" t="n">
        <v>0.3676251080000269</v>
      </c>
      <c r="O50" s="135" t="n">
        <v>0.2861913755482626</v>
      </c>
      <c r="P50" s="135" t="n">
        <v>0.2691192977085686</v>
      </c>
      <c r="Q50" s="135" t="n">
        <v>0.2661437064724966</v>
      </c>
    </row>
    <row r="51">
      <c r="A51" s="133" t="inlineStr">
        <is>
          <t>BRCR11</t>
        </is>
      </c>
      <c r="B51" s="135" t="n">
        <v>0.2233624189736061</v>
      </c>
      <c r="C51" s="135" t="n">
        <v>0.2485238136855899</v>
      </c>
      <c r="D51" s="135" t="n">
        <v>0.04633077534102477</v>
      </c>
      <c r="E51" s="135" t="n">
        <v>0.2276797398934738</v>
      </c>
      <c r="F51" s="135" t="n">
        <v>0.2463546846915696</v>
      </c>
      <c r="G51" s="135" t="n">
        <v>0.2009235942267436</v>
      </c>
      <c r="H51" s="135" t="n">
        <v>0.3286403071200217</v>
      </c>
      <c r="I51" s="135" t="n">
        <v>0.06866486235023353</v>
      </c>
      <c r="J51" s="135" t="n">
        <v>0.2644030185374482</v>
      </c>
      <c r="K51" s="135" t="n">
        <v>0.2281184197606921</v>
      </c>
      <c r="L51" s="135" t="n">
        <v>0.2270797512202688</v>
      </c>
      <c r="M51" s="135" t="n">
        <v>1</v>
      </c>
      <c r="N51" s="135" t="n">
        <v>0.3100747778809828</v>
      </c>
      <c r="O51" s="135" t="n">
        <v>0.3444878260824295</v>
      </c>
      <c r="P51" s="135" t="n">
        <v>0.1361963245971883</v>
      </c>
      <c r="Q51" s="135" t="n">
        <v>0.2254987687375548</v>
      </c>
    </row>
    <row r="52">
      <c r="A52" s="133" t="inlineStr">
        <is>
          <t>XPLG11</t>
        </is>
      </c>
      <c r="B52" s="135" t="n">
        <v>0.1587180407842343</v>
      </c>
      <c r="C52" s="135" t="n">
        <v>0.07877242129257896</v>
      </c>
      <c r="D52" s="135" t="n">
        <v>0.04418868767520925</v>
      </c>
      <c r="E52" s="135" t="n">
        <v>0.1141215649068006</v>
      </c>
      <c r="F52" s="135" t="n">
        <v>0.102911280297376</v>
      </c>
      <c r="G52" s="135" t="n">
        <v>0.08086388635189581</v>
      </c>
      <c r="H52" s="135" t="n">
        <v>0.1651379415307402</v>
      </c>
      <c r="I52" s="135" t="n">
        <v>0.1842112244219959</v>
      </c>
      <c r="J52" s="135" t="n">
        <v>0.2367828741462184</v>
      </c>
      <c r="K52" s="135" t="n">
        <v>0.05674184143818201</v>
      </c>
      <c r="L52" s="135" t="n">
        <v>0.3676251080000269</v>
      </c>
      <c r="M52" s="135" t="n">
        <v>0.3100747778809828</v>
      </c>
      <c r="N52" s="135" t="n">
        <v>1</v>
      </c>
      <c r="O52" s="135" t="n">
        <v>0.3319694071748467</v>
      </c>
      <c r="P52" s="135" t="n">
        <v>0.2078498992939521</v>
      </c>
      <c r="Q52" s="135" t="n">
        <v>0.2570237984452746</v>
      </c>
    </row>
    <row r="53">
      <c r="A53" s="133" t="inlineStr">
        <is>
          <t>XPML11</t>
        </is>
      </c>
      <c r="B53" s="135" t="n">
        <v>0.1463599396830173</v>
      </c>
      <c r="C53" s="135" t="n">
        <v>0.2753754608073177</v>
      </c>
      <c r="D53" s="135" t="n">
        <v>0.1629565092660518</v>
      </c>
      <c r="E53" s="135" t="n">
        <v>0.3040978639115892</v>
      </c>
      <c r="F53" s="135" t="n">
        <v>0.3190117106475976</v>
      </c>
      <c r="G53" s="135" t="n">
        <v>0.3153875115630675</v>
      </c>
      <c r="H53" s="135" t="n">
        <v>0.3710635836058453</v>
      </c>
      <c r="I53" s="135" t="n">
        <v>0.2997310183700821</v>
      </c>
      <c r="J53" s="135" t="n">
        <v>0.2561535314789053</v>
      </c>
      <c r="K53" s="135" t="n">
        <v>0.1055476107498118</v>
      </c>
      <c r="L53" s="135" t="n">
        <v>0.2861913755482626</v>
      </c>
      <c r="M53" s="135" t="n">
        <v>0.3444878260824295</v>
      </c>
      <c r="N53" s="135" t="n">
        <v>0.3319694071748467</v>
      </c>
      <c r="O53" s="135" t="n">
        <v>1</v>
      </c>
      <c r="P53" s="135" t="n">
        <v>0.2186858560176837</v>
      </c>
      <c r="Q53" s="135" t="n">
        <v>0.2725662385330463</v>
      </c>
    </row>
    <row r="54">
      <c r="A54" s="133" t="inlineStr">
        <is>
          <t>SNAG11</t>
        </is>
      </c>
      <c r="B54" s="135" t="n">
        <v>0.1154148929809941</v>
      </c>
      <c r="C54" s="135" t="n">
        <v>0.1048125415362792</v>
      </c>
      <c r="D54" s="135" t="n">
        <v>0.0468100669959737</v>
      </c>
      <c r="E54" s="135" t="n">
        <v>0.07884426246641431</v>
      </c>
      <c r="F54" s="135" t="n">
        <v>0.05281366729156815</v>
      </c>
      <c r="G54" s="135" t="n">
        <v>0.1049485284637467</v>
      </c>
      <c r="H54" s="135" t="n">
        <v>0.08555104965280701</v>
      </c>
      <c r="I54" s="135" t="n">
        <v>0.02844247971917184</v>
      </c>
      <c r="J54" s="135" t="n">
        <v>0.1205552240027993</v>
      </c>
      <c r="K54" s="135" t="n">
        <v>-0.04740760636690437</v>
      </c>
      <c r="L54" s="135" t="n">
        <v>0.2691192977085686</v>
      </c>
      <c r="M54" s="135" t="n">
        <v>0.1361963245971883</v>
      </c>
      <c r="N54" s="135" t="n">
        <v>0.2078498992939521</v>
      </c>
      <c r="O54" s="135" t="n">
        <v>0.2186858560176837</v>
      </c>
      <c r="P54" s="135" t="n">
        <v>1</v>
      </c>
      <c r="Q54" s="135" t="n">
        <v>0.2475320823913564</v>
      </c>
    </row>
    <row r="55">
      <c r="A55" s="133" t="inlineStr">
        <is>
          <t>CPTS11</t>
        </is>
      </c>
      <c r="B55" s="135" t="n">
        <v>0.1256542156347985</v>
      </c>
      <c r="C55" s="135" t="n">
        <v>0.1045902961748254</v>
      </c>
      <c r="D55" s="135" t="n">
        <v>0.1158218333986009</v>
      </c>
      <c r="E55" s="135" t="n">
        <v>0.08726275813103244</v>
      </c>
      <c r="F55" s="135" t="n">
        <v>0.1300525471311986</v>
      </c>
      <c r="G55" s="135" t="n">
        <v>0.1596542137676382</v>
      </c>
      <c r="H55" s="135" t="n">
        <v>0.1597185355862917</v>
      </c>
      <c r="I55" s="135" t="n">
        <v>0.05111102878244682</v>
      </c>
      <c r="J55" s="135" t="n">
        <v>0.1726034819034084</v>
      </c>
      <c r="K55" s="135" t="n">
        <v>0.004220721416875069</v>
      </c>
      <c r="L55" s="135" t="n">
        <v>0.2661437064724966</v>
      </c>
      <c r="M55" s="135" t="n">
        <v>0.2254987687375548</v>
      </c>
      <c r="N55" s="135" t="n">
        <v>0.2570237984452746</v>
      </c>
      <c r="O55" s="135" t="n">
        <v>0.2725662385330463</v>
      </c>
      <c r="P55" s="135" t="n">
        <v>0.2475320823913564</v>
      </c>
      <c r="Q55" s="135" t="n">
        <v>1</v>
      </c>
    </row>
    <row r="57">
      <c r="A57" s="115" t="inlineStr">
        <is>
          <t>Como ler</t>
        </is>
      </c>
    </row>
    <row r="58">
      <c r="A58" s="116" t="inlineStr">
        <is>
          <t>• Derivadas: polinômio f(t) de grau 3 ajustado ao log-preço de 12 meses; f′(hoje) = taxa instantânea (e^f′ − 1 ao ano), f″(hoje) = curvatura (&gt;0 acelerando, &lt;0 perdendo força).</t>
        </is>
      </c>
    </row>
    <row r="59">
      <c r="A59" s="116" t="inlineStr">
        <is>
          <t>• EWMA: σ²ₜ = λσ²ₜ₋₁ + (1−λ)r²ₜ (λ em config.json) — pesa mais as semanas recentes. VaR/CVaR 95%: perda semanal superada em 5% das semanas / perda média nessas semanas.</t>
        </is>
      </c>
    </row>
    <row r="60">
      <c r="A60" s="116" t="inlineStr">
        <is>
          <t>• Jarque-Bera: p &lt; 0,05 = retornos não normais (caudas gordas se curtose &gt; 0). CAPM = CDI + β·(Ibov − CDI); alfa = retorno obtido − CAPM.</t>
        </is>
      </c>
    </row>
    <row r="61">
      <c r="A61" s="116" t="inlineStr">
        <is>
          <t>• Tendência/R²: regressão log-linear de 3 anos. R² baixo = preço sem tendência clara; não use a projeção 12m isoladamente.</t>
        </is>
      </c>
    </row>
    <row r="62">
      <c r="A62" s="116" t="inlineStr">
        <is>
          <t>• Faixa 12m: tendência ± 1 desvio-padrão dos resíduos (~68% dos casos históricos). Não é recomendação de compra ou venda.</t>
        </is>
      </c>
    </row>
    <row r="63">
      <c r="A63" s="116" t="inlineStr">
        <is>
          <t>• Contribuição ao risco: parcela da volatilidade da carteira que vem de cada ativo (soma 100%).</t>
        </is>
      </c>
    </row>
    <row r="64">
      <c r="A64" s="116" t="inlineStr">
        <is>
          <t>• Qualidade dos dados: Alta = 2,5+ anos de histórico, cotação recente e sem lacunas; Baixa = pouco histórico ou desatualizado.</t>
        </is>
      </c>
    </row>
  </sheetData>
  <mergeCells count="12">
    <mergeCell ref="C26:J26"/>
    <mergeCell ref="C34:J34"/>
    <mergeCell ref="C29:J29"/>
    <mergeCell ref="C30:J30"/>
    <mergeCell ref="C33:J33"/>
    <mergeCell ref="C25:J25"/>
    <mergeCell ref="C32:J32"/>
    <mergeCell ref="C36:J36"/>
    <mergeCell ref="C28:J28"/>
    <mergeCell ref="C27:J27"/>
    <mergeCell ref="C31:J31"/>
    <mergeCell ref="C35:J35"/>
  </mergeCells>
  <conditionalFormatting sqref="H5:H21">
    <cfRule type="cellIs" priority="1" operator="lessThan" dxfId="2">
      <formula>0</formula>
    </cfRule>
    <cfRule type="cellIs" priority="2" operator="greaterThan" dxfId="8">
      <formula>0</formula>
    </cfRule>
  </conditionalFormatting>
  <conditionalFormatting sqref="I5:I21">
    <cfRule type="cellIs" priority="3" operator="lessThan" dxfId="2">
      <formula>0</formula>
    </cfRule>
    <cfRule type="cellIs" priority="4" operator="greaterThan" dxfId="8">
      <formula>0</formula>
    </cfRule>
  </conditionalFormatting>
  <conditionalFormatting sqref="Y5:Y21">
    <cfRule type="cellIs" priority="5" operator="lessThan" dxfId="2">
      <formula>0</formula>
    </cfRule>
    <cfRule type="cellIs" priority="6" operator="greaterThan" dxfId="8">
      <formula>0</formula>
    </cfRule>
  </conditionalFormatting>
  <conditionalFormatting sqref="Z5:Z21">
    <cfRule type="cellIs" priority="7" operator="lessThan" dxfId="2">
      <formula>0</formula>
    </cfRule>
    <cfRule type="cellIs" priority="8" operator="greaterThan" dxfId="8">
      <formula>0</formula>
    </cfRule>
  </conditionalFormatting>
  <conditionalFormatting sqref="AC5:AC21">
    <cfRule type="cellIs" priority="9" operator="lessThan" dxfId="2">
      <formula>0</formula>
    </cfRule>
    <cfRule type="cellIs" priority="10" operator="greaterThan" dxfId="8">
      <formula>0</formula>
    </cfRule>
  </conditionalFormatting>
  <conditionalFormatting sqref="AE5:AE21">
    <cfRule type="cellIs" priority="11" operator="lessThan" dxfId="2">
      <formula>0</formula>
    </cfRule>
    <cfRule type="cellIs" priority="12" operator="greaterThan" dxfId="8">
      <formula>0</formula>
    </cfRule>
  </conditionalFormatting>
  <conditionalFormatting sqref="AJ5:AJ21">
    <cfRule type="cellIs" priority="13" operator="lessThan" dxfId="2">
      <formula>0</formula>
    </cfRule>
    <cfRule type="cellIs" priority="14" operator="greaterThan" dxfId="8">
      <formula>0</formula>
    </cfRule>
  </conditionalFormatting>
  <conditionalFormatting sqref="T5:T21">
    <cfRule type="cellIs" priority="15" operator="lessThan" dxfId="2">
      <formula>0</formula>
    </cfRule>
    <cfRule type="cellIs" priority="16" operator="greaterThan" dxfId="8">
      <formula>0</formula>
    </cfRule>
  </conditionalFormatting>
  <conditionalFormatting sqref="E5:E20">
    <cfRule type="cellIs" priority="17" operator="equal" dxfId="11">
      <formula>"Alta"</formula>
    </cfRule>
    <cfRule type="cellIs" priority="18" operator="equal" dxfId="12">
      <formula>"Média"</formula>
    </cfRule>
    <cfRule type="cellIs" priority="19" operator="equal" dxfId="10">
      <formula>"Baixa"</formula>
    </cfRule>
  </conditionalFormatting>
  <conditionalFormatting sqref="AL5:AL20">
    <cfRule type="dataBar" priority="20">
      <dataBar>
        <cfvo type="num" val="0"/>
        <cfvo type="max"/>
        <color rgb="000D9488"/>
      </dataBar>
    </cfRule>
  </conditionalFormatting>
  <conditionalFormatting sqref="K5:K20">
    <cfRule type="colorScale" priority="21">
      <colorScale>
        <cfvo type="num" val="-1"/>
        <cfvo type="num" val="0"/>
        <cfvo type="num" val="1"/>
        <color rgb="00FECACA"/>
        <color rgb="00FFFFFF"/>
        <color rgb="00BBF7D0"/>
      </colorScale>
    </cfRule>
  </conditionalFormatting>
  <conditionalFormatting sqref="B26:B36">
    <cfRule type="cellIs" priority="22" operator="lessThan" dxfId="2">
      <formula>0</formula>
    </cfRule>
    <cfRule type="cellIs" priority="23" operator="greaterThan" dxfId="8">
      <formula>0</formula>
    </cfRule>
  </conditionalFormatting>
  <conditionalFormatting sqref="B40:Q55">
    <cfRule type="colorScale" priority="24">
      <colorScale>
        <cfvo type="num" val="-0.2"/>
        <cfvo type="num" val="0.3"/>
        <cfvo type="num" val="1"/>
        <color rgb="00DBEAFE"/>
        <color rgb="00FFFFFF"/>
        <color rgb="00FCA5A5"/>
      </colorScale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AN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Modelos Matemáticos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Álgebra linear, Markowitz, Monte Carlo e economia — calculado por gestao.py a partir do histórico e da sua carteira.</t>
        </is>
      </c>
    </row>
    <row r="5">
      <c r="A5" s="144" t="inlineStr">
        <is>
          <t>1. Economia — retorno real (equação de Fisher: 1 + nominal = (1 + real)(1 + inflação))</t>
        </is>
      </c>
    </row>
    <row r="6" ht="32" customHeight="1">
      <c r="A6" s="89" t="inlineStr">
        <is>
          <t>Indicador</t>
        </is>
      </c>
      <c r="B6" s="89" t="inlineStr">
        <is>
          <t>Valor</t>
        </is>
      </c>
      <c r="C6" s="89" t="inlineStr">
        <is>
          <t>Leitura</t>
        </is>
      </c>
    </row>
    <row r="7">
      <c r="A7" s="133" t="inlineStr">
        <is>
          <t>Inflação anual (premissa)</t>
        </is>
      </c>
      <c r="B7" s="94" t="n">
        <v>0.045</v>
      </c>
      <c r="C7" s="99" t="inlineStr">
        <is>
          <t>config.json → analise.inflacao_anual</t>
        </is>
      </c>
    </row>
    <row r="8">
      <c r="A8" s="145" t="inlineStr">
        <is>
          <t>CDI real</t>
        </is>
      </c>
      <c r="B8" s="104" t="n">
        <v>0.09090909090909105</v>
      </c>
      <c r="C8" s="109" t="inlineStr">
        <is>
          <t>Ganho do CDI acima da inflação</t>
        </is>
      </c>
    </row>
    <row r="9">
      <c r="A9" s="133" t="inlineStr">
        <is>
          <t>Retorno real da carteira (3a)</t>
        </is>
      </c>
      <c r="B9" s="94" t="n">
        <v>0.1106741337930113</v>
      </c>
      <c r="C9" s="99" t="inlineStr">
        <is>
          <t>Retorno médio histórico acima da inflação</t>
        </is>
      </c>
    </row>
    <row r="10">
      <c r="A10" s="145" t="inlineStr">
        <is>
          <t>Dividend yield real</t>
        </is>
      </c>
      <c r="B10" s="104" t="n">
        <v>0.04864972258396305</v>
      </c>
      <c r="C10" s="109" t="inlineStr">
        <is>
          <t>Renda acima da inflação</t>
        </is>
      </c>
    </row>
    <row r="11">
      <c r="A11" s="133" t="inlineStr">
        <is>
          <t>Prêmio de risco sobre o CDI</t>
        </is>
      </c>
      <c r="B11" s="94" t="n">
        <v>0.02065446981369665</v>
      </c>
      <c r="C11" s="99" t="inlineStr">
        <is>
          <t>Quanto a renda variável pagou a mais que o CDI</t>
        </is>
      </c>
    </row>
    <row r="14">
      <c r="A14" s="144" t="inlineStr">
        <is>
          <t>2. Álgebra linear — autovalores da matriz de covariância Σ = VΛVᵀ (fatores de risco); número de condição 79 (alto = ativos redundantes)</t>
        </is>
      </c>
    </row>
    <row r="15" ht="32" customHeight="1">
      <c r="A15" s="89" t="inlineStr">
        <is>
          <t>Fator</t>
        </is>
      </c>
      <c r="B15" s="89" t="inlineStr">
        <is>
          <t>Autovalor λ (variância)</t>
        </is>
      </c>
      <c r="C15" s="89" t="inlineStr">
        <is>
          <t>Volatilidade √λ</t>
        </is>
      </c>
      <c r="D15" s="89" t="inlineStr">
        <is>
          <t>% do risco</t>
        </is>
      </c>
      <c r="E15" s="89" t="inlineStr">
        <is>
          <t>% acumulado</t>
        </is>
      </c>
    </row>
    <row r="16">
      <c r="A16" s="133" t="inlineStr">
        <is>
          <t>Fator 1</t>
        </is>
      </c>
      <c r="B16" s="146" t="n">
        <v>0.2578797625233904</v>
      </c>
      <c r="C16" s="94" t="n">
        <v>0.5078186315244749</v>
      </c>
      <c r="D16" s="94" t="n">
        <v>0.368779551358629</v>
      </c>
      <c r="E16" s="94" t="n">
        <v>0.368779551358629</v>
      </c>
    </row>
    <row r="17">
      <c r="A17" s="145" t="inlineStr">
        <is>
          <t>Fator 2</t>
        </is>
      </c>
      <c r="B17" s="147" t="n">
        <v>0.07714194060319876</v>
      </c>
      <c r="C17" s="104" t="n">
        <v>0.2777443799669019</v>
      </c>
      <c r="D17" s="104" t="n">
        <v>0.1103164124559844</v>
      </c>
      <c r="E17" s="104" t="n">
        <v>0.4790959638146134</v>
      </c>
    </row>
    <row r="18">
      <c r="A18" s="133" t="inlineStr">
        <is>
          <t>Fator 3</t>
        </is>
      </c>
      <c r="B18" s="146" t="n">
        <v>0.05851274187380823</v>
      </c>
      <c r="C18" s="94" t="n">
        <v>0.2418940715970696</v>
      </c>
      <c r="D18" s="94" t="n">
        <v>0.08367582816828852</v>
      </c>
      <c r="E18" s="94" t="n">
        <v>0.5627717919829019</v>
      </c>
    </row>
    <row r="19">
      <c r="A19" s="145" t="inlineStr">
        <is>
          <t>Fator 4</t>
        </is>
      </c>
      <c r="B19" s="147" t="n">
        <v>0.0539459497037823</v>
      </c>
      <c r="C19" s="104" t="n">
        <v>0.2322626739357452</v>
      </c>
      <c r="D19" s="104" t="n">
        <v>0.07714511187193895</v>
      </c>
      <c r="E19" s="104" t="n">
        <v>0.6399169038548409</v>
      </c>
    </row>
    <row r="20">
      <c r="A20" s="133" t="inlineStr">
        <is>
          <t>Fator 5</t>
        </is>
      </c>
      <c r="B20" s="146" t="n">
        <v>0.04470323670950901</v>
      </c>
      <c r="C20" s="94" t="n">
        <v>0.2114313995354262</v>
      </c>
      <c r="D20" s="94" t="n">
        <v>0.06392762044100316</v>
      </c>
      <c r="E20" s="94" t="n">
        <v>0.7038445242958441</v>
      </c>
    </row>
    <row r="23">
      <c r="A23" s="144" t="inlineStr">
        <is>
          <t>Autovetores (cargas): quanto cada ativo pesa em cada fator — Fator 1 ≈ risco de mercado comum</t>
        </is>
      </c>
    </row>
    <row r="24" ht="32" customHeight="1">
      <c r="A24" s="89" t="inlineStr">
        <is>
          <t>Ativo</t>
        </is>
      </c>
      <c r="B24" s="89" t="inlineStr">
        <is>
          <t>Fator 1</t>
        </is>
      </c>
      <c r="C24" s="89" t="inlineStr">
        <is>
          <t>Fator 2</t>
        </is>
      </c>
      <c r="D24" s="89" t="inlineStr">
        <is>
          <t>Fator 3</t>
        </is>
      </c>
    </row>
    <row r="25">
      <c r="A25" s="133" t="inlineStr">
        <is>
          <t>VALE3</t>
        </is>
      </c>
      <c r="B25" s="135" t="n">
        <v>0.2045726619610806</v>
      </c>
      <c r="C25" s="135" t="n">
        <v>-0.2441446020911645</v>
      </c>
      <c r="D25" s="135" t="n">
        <v>0.5184454627656329</v>
      </c>
    </row>
    <row r="26">
      <c r="A26" s="145" t="inlineStr">
        <is>
          <t>TAEE11</t>
        </is>
      </c>
      <c r="B26" s="138" t="n">
        <v>0.2391192346895029</v>
      </c>
      <c r="C26" s="138" t="n">
        <v>-0.0936934419898874</v>
      </c>
      <c r="D26" s="138" t="n">
        <v>-0.04100449328300895</v>
      </c>
    </row>
    <row r="27">
      <c r="A27" s="133" t="inlineStr">
        <is>
          <t>PETR4</t>
        </is>
      </c>
      <c r="B27" s="135" t="n">
        <v>0.1628993423446964</v>
      </c>
      <c r="C27" s="135" t="n">
        <v>0.9011537781326036</v>
      </c>
      <c r="D27" s="135" t="n">
        <v>0.2864603188908162</v>
      </c>
    </row>
    <row r="28">
      <c r="A28" s="145" t="inlineStr">
        <is>
          <t>BBAS3</t>
        </is>
      </c>
      <c r="B28" s="138" t="n">
        <v>0.3743777302256884</v>
      </c>
      <c r="C28" s="138" t="n">
        <v>-0.06461683104494592</v>
      </c>
      <c r="D28" s="138" t="n">
        <v>0.06982888949418149</v>
      </c>
    </row>
    <row r="29">
      <c r="A29" s="133" t="inlineStr">
        <is>
          <t>BRBI11</t>
        </is>
      </c>
      <c r="B29" s="135" t="n">
        <v>0.4075026953878835</v>
      </c>
      <c r="C29" s="135" t="n">
        <v>0.2146044766755134</v>
      </c>
      <c r="D29" s="135" t="n">
        <v>-0.1858715939722625</v>
      </c>
    </row>
    <row r="30">
      <c r="A30" s="145" t="inlineStr">
        <is>
          <t>BBDC4</t>
        </is>
      </c>
      <c r="B30" s="138" t="n">
        <v>0.3942503557411889</v>
      </c>
      <c r="C30" s="138" t="n">
        <v>-0.06457296845043345</v>
      </c>
      <c r="D30" s="138" t="n">
        <v>-0.3660677987161892</v>
      </c>
    </row>
    <row r="31">
      <c r="A31" s="133" t="inlineStr">
        <is>
          <t>ITSA4</t>
        </is>
      </c>
      <c r="B31" s="135" t="n">
        <v>0.3269313779237061</v>
      </c>
      <c r="C31" s="135" t="n">
        <v>-0.1403625166736698</v>
      </c>
      <c r="D31" s="135" t="n">
        <v>-0.01452734137332885</v>
      </c>
    </row>
    <row r="32">
      <c r="A32" s="145" t="inlineStr">
        <is>
          <t>CMIG4</t>
        </is>
      </c>
      <c r="B32" s="138" t="n">
        <v>0.3104154833060167</v>
      </c>
      <c r="C32" s="138" t="n">
        <v>-0.1841621718528622</v>
      </c>
      <c r="D32" s="138" t="n">
        <v>0.3944116557644504</v>
      </c>
    </row>
    <row r="33">
      <c r="A33" s="133" t="inlineStr">
        <is>
          <t>FIQE3</t>
        </is>
      </c>
      <c r="B33" s="135" t="n">
        <v>0.3904667452484056</v>
      </c>
      <c r="C33" s="135" t="n">
        <v>0.01333591686987658</v>
      </c>
      <c r="D33" s="135" t="n">
        <v>-0.3583528317439478</v>
      </c>
    </row>
    <row r="34">
      <c r="A34" s="145" t="inlineStr">
        <is>
          <t>KLBN11</t>
        </is>
      </c>
      <c r="B34" s="138" t="n">
        <v>0.163287684108077</v>
      </c>
      <c r="C34" s="138" t="n">
        <v>-0.08507265656212129</v>
      </c>
      <c r="D34" s="138" t="n">
        <v>0.4321449385596322</v>
      </c>
    </row>
    <row r="35">
      <c r="A35" s="133" t="inlineStr">
        <is>
          <t>MXRF11</t>
        </is>
      </c>
      <c r="B35" s="135" t="n">
        <v>0.02629450855738488</v>
      </c>
      <c r="C35" s="135" t="n">
        <v>-0.003879306398182391</v>
      </c>
      <c r="D35" s="135" t="n">
        <v>0.02599701023558809</v>
      </c>
    </row>
    <row r="36">
      <c r="A36" s="145" t="inlineStr">
        <is>
          <t>BRCR11</t>
        </is>
      </c>
      <c r="B36" s="138" t="n">
        <v>0.1089416333894382</v>
      </c>
      <c r="C36" s="138" t="n">
        <v>-0.03644015315906259</v>
      </c>
      <c r="D36" s="138" t="n">
        <v>0.0142977304726498</v>
      </c>
    </row>
    <row r="37">
      <c r="A37" s="133" t="inlineStr">
        <is>
          <t>XPLG11</t>
        </is>
      </c>
      <c r="B37" s="135" t="n">
        <v>0.05575131146768851</v>
      </c>
      <c r="C37" s="135" t="n">
        <v>-0.01966084502232932</v>
      </c>
      <c r="D37" s="135" t="n">
        <v>0.03443062683264157</v>
      </c>
    </row>
    <row r="38">
      <c r="A38" s="145" t="inlineStr">
        <is>
          <t>XPML11</t>
        </is>
      </c>
      <c r="B38" s="138" t="n">
        <v>0.09786301208946654</v>
      </c>
      <c r="C38" s="138" t="n">
        <v>0.01549418948247449</v>
      </c>
      <c r="D38" s="138" t="n">
        <v>0.007836441143822696</v>
      </c>
    </row>
    <row r="39">
      <c r="A39" s="133" t="inlineStr">
        <is>
          <t>SNAG11</t>
        </is>
      </c>
      <c r="B39" s="135" t="n">
        <v>0.02649400577953349</v>
      </c>
      <c r="C39" s="135" t="n">
        <v>0.002067197844160552</v>
      </c>
      <c r="D39" s="135" t="n">
        <v>-0.01345507550959016</v>
      </c>
    </row>
    <row r="40">
      <c r="A40" s="145" t="inlineStr">
        <is>
          <t>CPTS11</t>
        </is>
      </c>
      <c r="B40" s="138" t="n">
        <v>0.06685290761675382</v>
      </c>
      <c r="C40" s="138" t="n">
        <v>0.04615587517703977</v>
      </c>
      <c r="D40" s="138" t="n">
        <v>-0.02824320268745897</v>
      </c>
    </row>
    <row r="43">
      <c r="A43" s="144" t="inlineStr">
        <is>
          <t>3. Otimização de Markowitz (sem venda a descoberto): mín. variância w ∝ Σ⁻¹1 • máx. Sharpe w ∝ Σ⁻¹(μ − CDI)</t>
        </is>
      </c>
    </row>
    <row r="44" ht="32" customHeight="1">
      <c r="A44" s="89" t="inlineStr">
        <is>
          <t>Ativo</t>
        </is>
      </c>
      <c r="B44" s="89" t="inlineStr">
        <is>
          <t>μ esperado</t>
        </is>
      </c>
      <c r="C44" s="89" t="inlineStr">
        <is>
          <t>Pesos ideais</t>
        </is>
      </c>
      <c r="D44" s="89" t="inlineStr">
        <is>
          <t>Carteira analisada</t>
        </is>
      </c>
      <c r="E44" s="89" t="inlineStr">
        <is>
          <t>Mínima variância</t>
        </is>
      </c>
      <c r="F44" s="89" t="inlineStr">
        <is>
          <t>Máximo Sharpe</t>
        </is>
      </c>
    </row>
    <row r="45">
      <c r="A45" s="133" t="inlineStr">
        <is>
          <t>VALE3</t>
        </is>
      </c>
      <c r="B45" s="94" t="n">
        <v>0.138805441898026</v>
      </c>
      <c r="C45" s="94" t="n">
        <v>0.1</v>
      </c>
      <c r="D45" s="94" t="n">
        <v>0.1165135945923498</v>
      </c>
      <c r="E45" s="94" t="n">
        <v>0.01458530435846184</v>
      </c>
      <c r="F45" s="94" t="n">
        <v>0</v>
      </c>
    </row>
    <row r="46">
      <c r="A46" s="145" t="inlineStr">
        <is>
          <t>TAEE11</t>
        </is>
      </c>
      <c r="B46" s="104" t="n">
        <v>0.1590847536522199</v>
      </c>
      <c r="C46" s="104" t="n">
        <v>0.05</v>
      </c>
      <c r="D46" s="104" t="n">
        <v>0</v>
      </c>
      <c r="E46" s="104" t="n">
        <v>0.0296495726106615</v>
      </c>
      <c r="F46" s="104" t="n">
        <v>0</v>
      </c>
    </row>
    <row r="47">
      <c r="A47" s="133" t="inlineStr">
        <is>
          <t>PETR4</t>
        </is>
      </c>
      <c r="B47" s="94" t="n">
        <v>0.2313242035747558</v>
      </c>
      <c r="C47" s="94" t="n">
        <v>0.07000000000000001</v>
      </c>
      <c r="D47" s="94" t="n">
        <v>0.1145809300308148</v>
      </c>
      <c r="E47" s="94" t="n">
        <v>0.024790651266936</v>
      </c>
      <c r="F47" s="94" t="n">
        <v>0.2916235225832736</v>
      </c>
    </row>
    <row r="48">
      <c r="A48" s="145" t="inlineStr">
        <is>
          <t>BBAS3</t>
        </is>
      </c>
      <c r="B48" s="104" t="n">
        <v>0.09724123514658184</v>
      </c>
      <c r="C48" s="104" t="n">
        <v>0.06</v>
      </c>
      <c r="D48" s="104" t="n">
        <v>0.07868999161380764</v>
      </c>
      <c r="E48" s="104" t="n">
        <v>0</v>
      </c>
      <c r="F48" s="104" t="n">
        <v>0</v>
      </c>
    </row>
    <row r="49">
      <c r="A49" s="133" t="inlineStr">
        <is>
          <t>BRBI11</t>
        </is>
      </c>
      <c r="B49" s="94" t="n">
        <v>0.1766282971154859</v>
      </c>
      <c r="C49" s="94" t="n">
        <v>0.05</v>
      </c>
      <c r="D49" s="94" t="n">
        <v>0.03971310112580985</v>
      </c>
      <c r="E49" s="94" t="n">
        <v>0</v>
      </c>
      <c r="F49" s="94" t="n">
        <v>0</v>
      </c>
    </row>
    <row r="50">
      <c r="A50" s="145" t="inlineStr">
        <is>
          <t>BBDC4</t>
        </is>
      </c>
      <c r="B50" s="104" t="n">
        <v>0.1737629303285334</v>
      </c>
      <c r="C50" s="104" t="n">
        <v>0.05</v>
      </c>
      <c r="D50" s="104" t="n">
        <v>0.04311044677834164</v>
      </c>
      <c r="E50" s="104" t="n">
        <v>0</v>
      </c>
      <c r="F50" s="104" t="n">
        <v>0</v>
      </c>
    </row>
    <row r="51">
      <c r="A51" s="133" t="inlineStr">
        <is>
          <t>ITSA4</t>
        </is>
      </c>
      <c r="B51" s="94" t="n">
        <v>0.2518452247773408</v>
      </c>
      <c r="C51" s="94" t="n">
        <v>0.1</v>
      </c>
      <c r="D51" s="94" t="n">
        <v>0.113789645002386</v>
      </c>
      <c r="E51" s="94" t="n">
        <v>0.001595087645114531</v>
      </c>
      <c r="F51" s="94" t="n">
        <v>0.7068192514481458</v>
      </c>
    </row>
    <row r="52">
      <c r="A52" s="145" t="inlineStr">
        <is>
          <t>CMIG4</t>
        </is>
      </c>
      <c r="B52" s="104" t="n">
        <v>0.1864318510455433</v>
      </c>
      <c r="C52" s="104" t="n">
        <v>0.1</v>
      </c>
      <c r="D52" s="104" t="n">
        <v>0.1004691841914866</v>
      </c>
      <c r="E52" s="104" t="n">
        <v>0.005712611392821824</v>
      </c>
      <c r="F52" s="104" t="n">
        <v>0</v>
      </c>
    </row>
    <row r="53">
      <c r="A53" s="133" t="inlineStr">
        <is>
          <t>FIQE3</t>
        </is>
      </c>
      <c r="B53" s="94" t="n">
        <v>0.2110370318806137</v>
      </c>
      <c r="C53" s="94" t="n">
        <v>0.05</v>
      </c>
      <c r="D53" s="94" t="n">
        <v>0.1241073111104694</v>
      </c>
      <c r="E53" s="94" t="n">
        <v>0</v>
      </c>
      <c r="F53" s="94" t="n">
        <v>0</v>
      </c>
    </row>
    <row r="54">
      <c r="A54" s="145" t="inlineStr">
        <is>
          <t>KLBN11</t>
        </is>
      </c>
      <c r="B54" s="104" t="n">
        <v>0.08360371919407558</v>
      </c>
      <c r="C54" s="104" t="n">
        <v>0.07000000000000001</v>
      </c>
      <c r="D54" s="104" t="n">
        <v>0.06123150902143325</v>
      </c>
      <c r="E54" s="104" t="n">
        <v>0.01641756871525276</v>
      </c>
      <c r="F54" s="104" t="n">
        <v>0</v>
      </c>
    </row>
    <row r="55">
      <c r="A55" s="133" t="inlineStr">
        <is>
          <t>MXRF11</t>
        </is>
      </c>
      <c r="B55" s="94" t="n">
        <v>0.1007888452238437</v>
      </c>
      <c r="C55" s="94" t="n">
        <v>0.05</v>
      </c>
      <c r="D55" s="94" t="n">
        <v>0.014146278970742</v>
      </c>
      <c r="E55" s="94" t="n">
        <v>0.5217048150065482</v>
      </c>
      <c r="F55" s="94" t="n">
        <v>0</v>
      </c>
    </row>
    <row r="56">
      <c r="A56" s="145" t="inlineStr">
        <is>
          <t>BRCR11</t>
        </is>
      </c>
      <c r="B56" s="104" t="n">
        <v>0.07503216762867737</v>
      </c>
      <c r="C56" s="104" t="n">
        <v>0.04</v>
      </c>
      <c r="D56" s="104" t="n">
        <v>0.01024830214584711</v>
      </c>
      <c r="E56" s="104" t="n">
        <v>0.02566057129696255</v>
      </c>
      <c r="F56" s="104" t="n">
        <v>0</v>
      </c>
    </row>
    <row r="57">
      <c r="A57" s="133" t="inlineStr">
        <is>
          <t>XPLG11</t>
        </is>
      </c>
      <c r="B57" s="94" t="n">
        <v>0.08438113756904456</v>
      </c>
      <c r="C57" s="94" t="n">
        <v>0.06</v>
      </c>
      <c r="D57" s="94" t="n">
        <v>0.07713748919723271</v>
      </c>
      <c r="E57" s="94" t="n">
        <v>0.04244090289227688</v>
      </c>
      <c r="F57" s="94" t="n">
        <v>0</v>
      </c>
    </row>
    <row r="58">
      <c r="A58" s="145" t="inlineStr">
        <is>
          <t>XPML11</t>
        </is>
      </c>
      <c r="B58" s="104" t="n">
        <v>0.1088035693680015</v>
      </c>
      <c r="C58" s="104" t="n">
        <v>0.05</v>
      </c>
      <c r="D58" s="104" t="n">
        <v>0.05117294063208928</v>
      </c>
      <c r="E58" s="104" t="n">
        <v>0.09591631505197382</v>
      </c>
      <c r="F58" s="104" t="n">
        <v>0</v>
      </c>
    </row>
    <row r="59">
      <c r="A59" s="133" t="inlineStr">
        <is>
          <t>SNAG11</t>
        </is>
      </c>
      <c r="B59" s="94" t="n">
        <v>0.1375107401271393</v>
      </c>
      <c r="C59" s="94" t="n">
        <v>0.06</v>
      </c>
      <c r="D59" s="94" t="n">
        <v>0.01577032847855061</v>
      </c>
      <c r="E59" s="94" t="n">
        <v>0.213924312782817</v>
      </c>
      <c r="F59" s="94" t="n">
        <v>0.001557225968580656</v>
      </c>
    </row>
    <row r="60">
      <c r="A60" s="145" t="inlineStr">
        <is>
          <t>CPTS11</t>
        </is>
      </c>
      <c r="B60" s="104" t="n">
        <v>0.08112569975679734</v>
      </c>
      <c r="C60" s="104" t="n">
        <v>0.04</v>
      </c>
      <c r="D60" s="104" t="n">
        <v>0.03931894710863914</v>
      </c>
      <c r="E60" s="104" t="n">
        <v>0.007602286980173182</v>
      </c>
      <c r="F60" s="104" t="n">
        <v>0</v>
      </c>
    </row>
    <row r="61">
      <c r="A61" s="110" t="inlineStr">
        <is>
          <t>Retorno esperado</t>
        </is>
      </c>
      <c r="B61" s="148" t="n"/>
      <c r="C61" s="148" t="n">
        <v>0.151652779210329</v>
      </c>
      <c r="D61" s="148" t="n">
        <v>0.1631637392629902</v>
      </c>
      <c r="E61" s="148" t="n">
        <v>0.11387356463528</v>
      </c>
      <c r="F61" s="148" t="n">
        <v>0.2456827676586354</v>
      </c>
    </row>
    <row r="62">
      <c r="A62" s="110" t="inlineStr">
        <is>
          <t>Volatilidade</t>
        </is>
      </c>
      <c r="B62" s="148" t="n"/>
      <c r="C62" s="148" t="n">
        <v>0.1150482801357667</v>
      </c>
      <c r="D62" s="148" t="n">
        <v>0.1297747803114011</v>
      </c>
      <c r="E62" s="148" t="n">
        <v>0.06089088503225415</v>
      </c>
      <c r="F62" s="148" t="n">
        <v>0.1723051837883521</v>
      </c>
    </row>
    <row r="63">
      <c r="A63" s="110" t="inlineStr">
        <is>
          <t>Sharpe</t>
        </is>
      </c>
      <c r="B63" s="148" t="n"/>
      <c r="C63" s="149" t="n">
        <v>0.1012859922510599</v>
      </c>
      <c r="D63" s="149" t="n">
        <v>0.178491839534674</v>
      </c>
      <c r="E63" s="149" t="n">
        <v>-0.4290697261319278</v>
      </c>
      <c r="F63" s="149" t="n">
        <v>0.6133464202008503</v>
      </c>
    </row>
    <row r="66">
      <c r="A66" s="144" t="inlineStr">
        <is>
          <t>4. Monte Carlo — 3.000 trajetórias de movimento browniano geométrico (μ = 11,7%, σ = 13,0%, aporte mensal das Premissas)</t>
        </is>
      </c>
    </row>
    <row r="67">
      <c r="A67" s="144" t="inlineStr">
        <is>
          <t>Patrimônio em ações + FIIs por percentil (5% dos cenários ficam abaixo de P5)</t>
        </is>
      </c>
    </row>
    <row r="68" ht="32" customHeight="1">
      <c r="A68" s="89" t="inlineStr">
        <is>
          <t>Ano</t>
        </is>
      </c>
      <c r="B68" s="89" t="inlineStr">
        <is>
          <t>P5 (R$)</t>
        </is>
      </c>
      <c r="C68" s="89" t="inlineStr">
        <is>
          <t>P25 (R$)</t>
        </is>
      </c>
      <c r="D68" s="89" t="inlineStr">
        <is>
          <t>Mediana (R$)</t>
        </is>
      </c>
      <c r="E68" s="89" t="inlineStr">
        <is>
          <t>P75 (R$)</t>
        </is>
      </c>
      <c r="F68" s="89" t="inlineStr">
        <is>
          <t>P95 (R$)</t>
        </is>
      </c>
      <c r="G68" s="89" t="inlineStr">
        <is>
          <t>CDI (R$)</t>
        </is>
      </c>
      <c r="H68" s="89" t="inlineStr">
        <is>
          <t>Aportado (R$)</t>
        </is>
      </c>
      <c r="I68" s="89" t="inlineStr">
        <is>
          <t>Prob. vencer CDI</t>
        </is>
      </c>
      <c r="J68" s="89" t="inlineStr">
        <is>
          <t>Prob. abaixo do aportado</t>
        </is>
      </c>
    </row>
    <row r="69">
      <c r="A69" s="133" t="n">
        <v>1</v>
      </c>
      <c r="B69" s="97" t="n">
        <v>124305.5999686241</v>
      </c>
      <c r="C69" s="97" t="n">
        <v>138663.2663149981</v>
      </c>
      <c r="D69" s="97" t="n">
        <v>149957.8659789462</v>
      </c>
      <c r="E69" s="97" t="n">
        <v>161680.1759868582</v>
      </c>
      <c r="F69" s="97" t="n">
        <v>181009.2294777637</v>
      </c>
      <c r="G69" s="97" t="n">
        <v>153136.3466351855</v>
      </c>
      <c r="H69" s="97" t="n">
        <v>136772.79</v>
      </c>
      <c r="I69" s="94" t="n">
        <v>0.4256666666666667</v>
      </c>
      <c r="J69" s="94" t="n">
        <v>0.2066666666666667</v>
      </c>
    </row>
    <row r="70">
      <c r="A70" s="145" t="n">
        <v>2</v>
      </c>
      <c r="B70" s="107" t="n">
        <v>160196.7293335332</v>
      </c>
      <c r="C70" s="107" t="n">
        <v>183957.8514037602</v>
      </c>
      <c r="D70" s="107" t="n">
        <v>203026.8497723594</v>
      </c>
      <c r="E70" s="107" t="n">
        <v>224668.5161483502</v>
      </c>
      <c r="F70" s="107" t="n">
        <v>260740.6204143583</v>
      </c>
      <c r="G70" s="107" t="n">
        <v>212830.8011992969</v>
      </c>
      <c r="H70" s="107" t="n">
        <v>172772.79</v>
      </c>
      <c r="I70" s="104" t="n">
        <v>0.3813333333333334</v>
      </c>
      <c r="J70" s="104" t="n">
        <v>0.1313333333333333</v>
      </c>
    </row>
    <row r="71">
      <c r="A71" s="133" t="n">
        <v>3</v>
      </c>
      <c r="B71" s="97" t="n">
        <v>196839.9932692134</v>
      </c>
      <c r="C71" s="97" t="n">
        <v>232232.2738373171</v>
      </c>
      <c r="D71" s="97" t="n">
        <v>262452.3010616633</v>
      </c>
      <c r="E71" s="97" t="n">
        <v>295256.8671601993</v>
      </c>
      <c r="F71" s="97" t="n">
        <v>354374.3906182607</v>
      </c>
      <c r="G71" s="97" t="n">
        <v>280882.4794023838</v>
      </c>
      <c r="H71" s="97" t="n">
        <v>208772.79</v>
      </c>
      <c r="I71" s="94" t="n">
        <v>0.346</v>
      </c>
      <c r="J71" s="94" t="n">
        <v>0.09666666666666666</v>
      </c>
    </row>
    <row r="72">
      <c r="A72" s="145" t="n">
        <v>4</v>
      </c>
      <c r="B72" s="107" t="n">
        <v>239261.1374059914</v>
      </c>
      <c r="C72" s="107" t="n">
        <v>287129.4156858465</v>
      </c>
      <c r="D72" s="107" t="n">
        <v>326373.7452826105</v>
      </c>
      <c r="E72" s="107" t="n">
        <v>376054.5452120579</v>
      </c>
      <c r="F72" s="107" t="n">
        <v>455974.4775232229</v>
      </c>
      <c r="G72" s="107" t="n">
        <v>358461.3925539028</v>
      </c>
      <c r="H72" s="107" t="n">
        <v>244772.79</v>
      </c>
      <c r="I72" s="104" t="n">
        <v>0.332</v>
      </c>
      <c r="J72" s="104" t="n">
        <v>0.063</v>
      </c>
    </row>
    <row r="73">
      <c r="A73" s="133" t="n">
        <v>5</v>
      </c>
      <c r="B73" s="97" t="n">
        <v>284591.3042220443</v>
      </c>
      <c r="C73" s="97" t="n">
        <v>348759.5441489523</v>
      </c>
      <c r="D73" s="97" t="n">
        <v>402765.229942417</v>
      </c>
      <c r="E73" s="97" t="n">
        <v>466848.8641130022</v>
      </c>
      <c r="F73" s="97" t="n">
        <v>589722.7517302049</v>
      </c>
      <c r="G73" s="97" t="n">
        <v>446901.3535466343</v>
      </c>
      <c r="H73" s="97" t="n">
        <v>280772.79</v>
      </c>
      <c r="I73" s="94" t="n">
        <v>0.319</v>
      </c>
      <c r="J73" s="94" t="n">
        <v>0.042</v>
      </c>
    </row>
    <row r="74">
      <c r="A74" s="145" t="n">
        <v>6</v>
      </c>
      <c r="B74" s="107" t="n">
        <v>333248.3952709149</v>
      </c>
      <c r="C74" s="107" t="n">
        <v>414945.6857699602</v>
      </c>
      <c r="D74" s="107" t="n">
        <v>485384.0116734651</v>
      </c>
      <c r="E74" s="107" t="n">
        <v>568185.8682257603</v>
      </c>
      <c r="F74" s="107" t="n">
        <v>728906.6146786123</v>
      </c>
      <c r="G74" s="107" t="n">
        <v>547722.9090783482</v>
      </c>
      <c r="H74" s="107" t="n">
        <v>316772.79</v>
      </c>
      <c r="I74" s="104" t="n">
        <v>0.3026666666666666</v>
      </c>
      <c r="J74" s="104" t="n">
        <v>0.03166666666666667</v>
      </c>
    </row>
    <row r="75">
      <c r="A75" s="133" t="n">
        <v>7</v>
      </c>
      <c r="B75" s="97" t="n">
        <v>386662.5750869178</v>
      </c>
      <c r="C75" s="97" t="n">
        <v>484589.3674265995</v>
      </c>
      <c r="D75" s="97" t="n">
        <v>574677.3789912648</v>
      </c>
      <c r="E75" s="97" t="n">
        <v>686885.379358924</v>
      </c>
      <c r="F75" s="97" t="n">
        <v>891768.7921396145</v>
      </c>
      <c r="G75" s="97" t="n">
        <v>662659.4823845018</v>
      </c>
      <c r="H75" s="97" t="n">
        <v>352772.79</v>
      </c>
      <c r="I75" s="94" t="n">
        <v>0.2986666666666667</v>
      </c>
      <c r="J75" s="94" t="n">
        <v>0.019</v>
      </c>
    </row>
    <row r="76">
      <c r="A76" s="145" t="n">
        <v>8</v>
      </c>
      <c r="B76" s="107" t="n">
        <v>442176.9963194765</v>
      </c>
      <c r="C76" s="107" t="n">
        <v>565750.0923474524</v>
      </c>
      <c r="D76" s="107" t="n">
        <v>674532.009012291</v>
      </c>
      <c r="E76" s="107" t="n">
        <v>816691.8611200813</v>
      </c>
      <c r="F76" s="107" t="n">
        <v>1078419.690450352</v>
      </c>
      <c r="G76" s="107" t="n">
        <v>793687.1759535167</v>
      </c>
      <c r="H76" s="107" t="n">
        <v>388772.79</v>
      </c>
      <c r="I76" s="104" t="n">
        <v>0.2793333333333333</v>
      </c>
      <c r="J76" s="104" t="n">
        <v>0.01366666666666667</v>
      </c>
    </row>
    <row r="77">
      <c r="A77" s="133" t="n">
        <v>9</v>
      </c>
      <c r="B77" s="97" t="n">
        <v>500164.651066641</v>
      </c>
      <c r="C77" s="97" t="n">
        <v>652508.8348854785</v>
      </c>
      <c r="D77" s="97" t="n">
        <v>784010.3716260211</v>
      </c>
      <c r="E77" s="97" t="n">
        <v>954768.598426666</v>
      </c>
      <c r="F77" s="97" t="n">
        <v>1266349.468618961</v>
      </c>
      <c r="G77" s="97" t="n">
        <v>943058.7466221936</v>
      </c>
      <c r="H77" s="97" t="n">
        <v>424772.79</v>
      </c>
      <c r="I77" s="94" t="n">
        <v>0.268</v>
      </c>
      <c r="J77" s="94" t="n">
        <v>0.009666666666666667</v>
      </c>
    </row>
    <row r="78">
      <c r="A78" s="145" t="n">
        <v>10</v>
      </c>
      <c r="B78" s="107" t="n">
        <v>561413.5925218079</v>
      </c>
      <c r="C78" s="107" t="n">
        <v>746614.3507402176</v>
      </c>
      <c r="D78" s="107" t="n">
        <v>913430.7873225868</v>
      </c>
      <c r="E78" s="107" t="n">
        <v>1119868.247824833</v>
      </c>
      <c r="F78" s="107" t="n">
        <v>1536246.979651004</v>
      </c>
      <c r="G78" s="107" t="n">
        <v>1113342.337184485</v>
      </c>
      <c r="H78" s="107" t="n">
        <v>460772.79</v>
      </c>
      <c r="I78" s="104" t="n">
        <v>0.256</v>
      </c>
      <c r="J78" s="104" t="n">
        <v>0.007666666666666666</v>
      </c>
    </row>
    <row r="80">
      <c r="A80" s="115" t="inlineStr">
        <is>
          <t>Probabilidade de atingir a meta de renda em 10 anos: 92% • mediana: 7.2 anos</t>
        </is>
      </c>
    </row>
    <row r="101">
      <c r="A101" s="115" t="inlineStr">
        <is>
          <t>Como ler</t>
        </is>
      </c>
    </row>
    <row r="102">
      <c r="A102" s="116" t="inlineStr">
        <is>
          <t>• μ esperado de cada ativo = 50% retorno histórico (3a) + 50% CAPM — o encolhimento reduz o erro de estimação.</t>
        </is>
      </c>
    </row>
    <row r="103">
      <c r="A103" s="116" t="inlineStr">
        <is>
          <t>• Fatores: se o Fator 1 explica muito do risco, a carteira depende de um único movimento de mercado.</t>
        </is>
      </c>
    </row>
    <row r="104">
      <c r="A104" s="116" t="inlineStr">
        <is>
          <t>• Markowitz usa o passado; trate as carteiras ótimas como referência para o peso ideal, não como ordem de compra.</t>
        </is>
      </c>
    </row>
    <row r="105">
      <c r="A105" s="116" t="inlineStr">
        <is>
          <t>• Monte Carlo: μ = valorização base + DY (se reinvestir); σ = volatilidade da carteira. Não é garantia de retorno.</t>
        </is>
      </c>
    </row>
  </sheetData>
  <conditionalFormatting sqref="B8:B11">
    <cfRule type="cellIs" priority="1" operator="lessThan" dxfId="2">
      <formula>0</formula>
    </cfRule>
    <cfRule type="cellIs" priority="2" operator="greaterThan" dxfId="8">
      <formula>0</formula>
    </cfRule>
  </conditionalFormatting>
  <conditionalFormatting sqref="B25:D40">
    <cfRule type="colorScale" priority="3">
      <colorScale>
        <cfvo type="num" val="-0.5"/>
        <cfvo type="num" val="0"/>
        <cfvo type="num" val="0.5"/>
        <color rgb="00DBEAFE"/>
        <color rgb="00FFFFFF"/>
        <color rgb="00FCA5A5"/>
      </colorScale>
    </cfRule>
  </conditionalFormatting>
  <conditionalFormatting sqref="C45:C60">
    <cfRule type="dataBar" priority="4">
      <dataBar>
        <cfvo type="num" val="0"/>
        <cfvo type="num" val="0.5"/>
        <color rgb="005B8DB8"/>
      </dataBar>
    </cfRule>
  </conditionalFormatting>
  <conditionalFormatting sqref="D45:D60">
    <cfRule type="dataBar" priority="5">
      <dataBar>
        <cfvo type="num" val="0"/>
        <cfvo type="num" val="0.5"/>
        <color rgb="005B8DB8"/>
      </dataBar>
    </cfRule>
  </conditionalFormatting>
  <conditionalFormatting sqref="E45:E60">
    <cfRule type="dataBar" priority="6">
      <dataBar>
        <cfvo type="num" val="0"/>
        <cfvo type="num" val="0.5"/>
        <color rgb="005B8DB8"/>
      </dataBar>
    </cfRule>
  </conditionalFormatting>
  <conditionalFormatting sqref="F45:F60">
    <cfRule type="dataBar" priority="7">
      <dataBar>
        <cfvo type="num" val="0"/>
        <cfvo type="num" val="0.5"/>
        <color rgb="005B8DB8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AN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7" customWidth="1" min="7" max="7"/>
    <col width="16" customWidth="1" min="8" max="8"/>
    <col width="14" customWidth="1" min="9" max="9"/>
    <col width="3" customWidth="1" min="10" max="10"/>
    <col width="7" customWidth="1" min="11" max="11"/>
    <col width="1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Projeção Futura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Parte da posição atual (Carteira) e do aporte mensal (Premissas). Parâmetros em amarelo podem ser alterados aqui.</t>
        </is>
      </c>
    </row>
    <row r="4" ht="32" customHeight="1">
      <c r="A4" s="89" t="inlineStr">
        <is>
          <t>Parâmetro</t>
        </is>
      </c>
      <c r="B4" s="89" t="inlineStr">
        <is>
          <t>Valor</t>
        </is>
      </c>
      <c r="C4" s="89" t="inlineStr">
        <is>
          <t>Origem</t>
        </is>
      </c>
    </row>
    <row r="5">
      <c r="A5" s="133" t="inlineStr">
        <is>
          <t>Patrimônio inicial (ações + FIIs)</t>
        </is>
      </c>
      <c r="B5" s="123">
        <f>Carteira!G21</f>
        <v/>
      </c>
      <c r="C5" s="141" t="inlineStr">
        <is>
          <t>Carteira (posição atual)</t>
        </is>
      </c>
      <c r="K5" s="150" t="inlineStr">
        <is>
          <t>Mês</t>
        </is>
      </c>
      <c r="L5" s="150" t="inlineStr">
        <is>
          <t>Data</t>
        </is>
      </c>
      <c r="M5" s="150" t="inlineStr">
        <is>
          <t>Pessimista (R$)</t>
        </is>
      </c>
      <c r="N5" s="150" t="inlineStr">
        <is>
          <t>Base (R$)</t>
        </is>
      </c>
      <c r="O5" s="150" t="inlineStr">
        <is>
          <t>Otimista (R$)</t>
        </is>
      </c>
      <c r="P5" s="150" t="inlineStr">
        <is>
          <t>CDI (R$)</t>
        </is>
      </c>
      <c r="Q5" s="150" t="inlineStr">
        <is>
          <t>Renda mensal base (R$)</t>
        </is>
      </c>
      <c r="R5" s="150" t="inlineStr">
        <is>
          <t>Total aportado (R$)</t>
        </is>
      </c>
    </row>
    <row r="6">
      <c r="A6" s="133" t="inlineStr">
        <is>
          <t>Aporte mensal</t>
        </is>
      </c>
      <c r="B6" s="123">
        <f>APORTE_MENSAL</f>
        <v/>
      </c>
      <c r="C6" s="141" t="inlineStr">
        <is>
          <t>Premissas</t>
        </is>
      </c>
      <c r="K6" s="151" t="n">
        <v>0</v>
      </c>
      <c r="L6" s="152">
        <f>EDATE(TODAY(),K6)</f>
        <v/>
      </c>
      <c r="M6" s="153">
        <f>PJ_INICIAL</f>
        <v/>
      </c>
      <c r="N6" s="153">
        <f>PJ_INICIAL</f>
        <v/>
      </c>
      <c r="O6" s="153">
        <f>PJ_INICIAL</f>
        <v/>
      </c>
      <c r="P6" s="153">
        <f>PJ_INICIAL</f>
        <v/>
      </c>
      <c r="Q6" s="153">
        <f>N6*PJ_DY/12</f>
        <v/>
      </c>
      <c r="R6" s="153">
        <f>PJ_INICIAL</f>
        <v/>
      </c>
    </row>
    <row r="7">
      <c r="A7" s="133" t="inlineStr">
        <is>
          <t>Dividend yield anual</t>
        </is>
      </c>
      <c r="B7" s="154" t="n">
        <v>0.09583896010024134</v>
      </c>
      <c r="C7" s="141" t="inlineStr">
        <is>
          <t>Proventos 12m ÷ cotação, ponderado pela carteira</t>
        </is>
      </c>
      <c r="K7" s="151" t="n">
        <v>1</v>
      </c>
      <c r="L7" s="152">
        <f>EDATE(TODAY(),K7)</f>
        <v/>
      </c>
      <c r="M7" s="153">
        <f>M6*(1+PJ_G_PESS)^(1/12)+PJ_APORTE+PJ_REINV*M6*PJ_DY/12</f>
        <v/>
      </c>
      <c r="N7" s="153">
        <f>N6*(1+PJ_G_BASE)^(1/12)+PJ_APORTE+PJ_REINV*N6*PJ_DY/12</f>
        <v/>
      </c>
      <c r="O7" s="153">
        <f>O6*(1+PJ_G_OTIM)^(1/12)+PJ_APORTE+PJ_REINV*O6*PJ_DY/12</f>
        <v/>
      </c>
      <c r="P7" s="153">
        <f>P6*(1+PJ_CDI)^(1/12)+PJ_APORTE</f>
        <v/>
      </c>
      <c r="Q7" s="153">
        <f>N7*PJ_DY/12</f>
        <v/>
      </c>
      <c r="R7" s="153">
        <f>R6+PJ_APORTE</f>
        <v/>
      </c>
    </row>
    <row r="8">
      <c r="A8" s="133" t="inlineStr">
        <is>
          <t>Reinvestir proventos (1 = sim)</t>
        </is>
      </c>
      <c r="B8" s="121" t="n">
        <v>1</v>
      </c>
      <c r="C8" s="141" t="inlineStr">
        <is>
          <t>config.json → analise</t>
        </is>
      </c>
      <c r="K8" s="151" t="n">
        <v>2</v>
      </c>
      <c r="L8" s="152">
        <f>EDATE(TODAY(),K8)</f>
        <v/>
      </c>
      <c r="M8" s="153">
        <f>M7*(1+PJ_G_PESS)^(1/12)+PJ_APORTE+PJ_REINV*M7*PJ_DY/12</f>
        <v/>
      </c>
      <c r="N8" s="153">
        <f>N7*(1+PJ_G_BASE)^(1/12)+PJ_APORTE+PJ_REINV*N7*PJ_DY/12</f>
        <v/>
      </c>
      <c r="O8" s="153">
        <f>O7*(1+PJ_G_OTIM)^(1/12)+PJ_APORTE+PJ_REINV*O7*PJ_DY/12</f>
        <v/>
      </c>
      <c r="P8" s="153">
        <f>P7*(1+PJ_CDI)^(1/12)+PJ_APORTE</f>
        <v/>
      </c>
      <c r="Q8" s="153">
        <f>N8*PJ_DY/12</f>
        <v/>
      </c>
      <c r="R8" s="153">
        <f>R7+PJ_APORTE</f>
        <v/>
      </c>
    </row>
    <row r="9">
      <c r="A9" s="133" t="inlineStr">
        <is>
          <t>Valorização anual — pessimista</t>
        </is>
      </c>
      <c r="B9" s="154" t="n">
        <v>-0.01989256910872631</v>
      </c>
      <c r="C9" s="141" t="inlineStr">
        <is>
          <t>Base − 1 desvio-padrão no horizonte</t>
        </is>
      </c>
      <c r="K9" s="151" t="n">
        <v>3</v>
      </c>
      <c r="L9" s="152">
        <f>EDATE(TODAY(),K9)</f>
        <v/>
      </c>
      <c r="M9" s="153">
        <f>M8*(1+PJ_G_PESS)^(1/12)+PJ_APORTE+PJ_REINV*M8*PJ_DY/12</f>
        <v/>
      </c>
      <c r="N9" s="153">
        <f>N8*(1+PJ_G_BASE)^(1/12)+PJ_APORTE+PJ_REINV*N8*PJ_DY/12</f>
        <v/>
      </c>
      <c r="O9" s="153">
        <f>O8*(1+PJ_G_OTIM)^(1/12)+PJ_APORTE+PJ_REINV*O8*PJ_DY/12</f>
        <v/>
      </c>
      <c r="P9" s="153">
        <f>P8*(1+PJ_CDI)^(1/12)+PJ_APORTE</f>
        <v/>
      </c>
      <c r="Q9" s="153">
        <f>N9*PJ_DY/12</f>
        <v/>
      </c>
      <c r="R9" s="153">
        <f>R8+PJ_APORTE</f>
        <v/>
      </c>
    </row>
    <row r="10">
      <c r="A10" s="133" t="inlineStr">
        <is>
          <t>Valorização anual — base</t>
        </is>
      </c>
      <c r="B10" s="154" t="n">
        <v>0.02114581975447396</v>
      </c>
      <c r="C10" s="141" t="inlineStr">
        <is>
          <t>Tendência 3a × R² (limitada a −10%…+20%)</t>
        </is>
      </c>
      <c r="K10" s="151" t="n">
        <v>4</v>
      </c>
      <c r="L10" s="152">
        <f>EDATE(TODAY(),K10)</f>
        <v/>
      </c>
      <c r="M10" s="153">
        <f>M9*(1+PJ_G_PESS)^(1/12)+PJ_APORTE+PJ_REINV*M9*PJ_DY/12</f>
        <v/>
      </c>
      <c r="N10" s="153">
        <f>N9*(1+PJ_G_BASE)^(1/12)+PJ_APORTE+PJ_REINV*N9*PJ_DY/12</f>
        <v/>
      </c>
      <c r="O10" s="153">
        <f>O9*(1+PJ_G_OTIM)^(1/12)+PJ_APORTE+PJ_REINV*O9*PJ_DY/12</f>
        <v/>
      </c>
      <c r="P10" s="153">
        <f>P9*(1+PJ_CDI)^(1/12)+PJ_APORTE</f>
        <v/>
      </c>
      <c r="Q10" s="153">
        <f>N10*PJ_DY/12</f>
        <v/>
      </c>
      <c r="R10" s="153">
        <f>R9+PJ_APORTE</f>
        <v/>
      </c>
    </row>
    <row r="11">
      <c r="A11" s="133" t="inlineStr">
        <is>
          <t>Valorização anual — otimista</t>
        </is>
      </c>
      <c r="B11" s="154" t="n">
        <v>0.06218420861767422</v>
      </c>
      <c r="C11" s="141" t="inlineStr">
        <is>
          <t>Base + 1 desvio-padrão no horizonte</t>
        </is>
      </c>
      <c r="K11" s="151" t="n">
        <v>5</v>
      </c>
      <c r="L11" s="152">
        <f>EDATE(TODAY(),K11)</f>
        <v/>
      </c>
      <c r="M11" s="153">
        <f>M10*(1+PJ_G_PESS)^(1/12)+PJ_APORTE+PJ_REINV*M10*PJ_DY/12</f>
        <v/>
      </c>
      <c r="N11" s="153">
        <f>N10*(1+PJ_G_BASE)^(1/12)+PJ_APORTE+PJ_REINV*N10*PJ_DY/12</f>
        <v/>
      </c>
      <c r="O11" s="153">
        <f>O10*(1+PJ_G_OTIM)^(1/12)+PJ_APORTE+PJ_REINV*O10*PJ_DY/12</f>
        <v/>
      </c>
      <c r="P11" s="153">
        <f>P10*(1+PJ_CDI)^(1/12)+PJ_APORTE</f>
        <v/>
      </c>
      <c r="Q11" s="153">
        <f>N11*PJ_DY/12</f>
        <v/>
      </c>
      <c r="R11" s="153">
        <f>R10+PJ_APORTE</f>
        <v/>
      </c>
    </row>
    <row r="12">
      <c r="A12" s="133" t="inlineStr">
        <is>
          <t>CDI anual (comparação)</t>
        </is>
      </c>
      <c r="B12" s="154" t="n">
        <v>0.14</v>
      </c>
      <c r="C12" s="141" t="inlineStr">
        <is>
          <t>config.json → analise.cdi_anual</t>
        </is>
      </c>
      <c r="K12" s="151" t="n">
        <v>6</v>
      </c>
      <c r="L12" s="152">
        <f>EDATE(TODAY(),K12)</f>
        <v/>
      </c>
      <c r="M12" s="153">
        <f>M11*(1+PJ_G_PESS)^(1/12)+PJ_APORTE+PJ_REINV*M11*PJ_DY/12</f>
        <v/>
      </c>
      <c r="N12" s="153">
        <f>N11*(1+PJ_G_BASE)^(1/12)+PJ_APORTE+PJ_REINV*N11*PJ_DY/12</f>
        <v/>
      </c>
      <c r="O12" s="153">
        <f>O11*(1+PJ_G_OTIM)^(1/12)+PJ_APORTE+PJ_REINV*O11*PJ_DY/12</f>
        <v/>
      </c>
      <c r="P12" s="153">
        <f>P11*(1+PJ_CDI)^(1/12)+PJ_APORTE</f>
        <v/>
      </c>
      <c r="Q12" s="153">
        <f>N12*PJ_DY/12</f>
        <v/>
      </c>
      <c r="R12" s="153">
        <f>R11+PJ_APORTE</f>
        <v/>
      </c>
    </row>
    <row r="13">
      <c r="A13" s="133" t="inlineStr">
        <is>
          <t>Meta de renda mensal total</t>
        </is>
      </c>
      <c r="B13" s="123">
        <f>SUM(Meta!G5:G20)</f>
        <v/>
      </c>
      <c r="C13" s="141" t="inlineStr">
        <is>
          <t>Soma das metas de cada ativo (aba Meta)</t>
        </is>
      </c>
      <c r="K13" s="151" t="n">
        <v>7</v>
      </c>
      <c r="L13" s="152">
        <f>EDATE(TODAY(),K13)</f>
        <v/>
      </c>
      <c r="M13" s="153">
        <f>M12*(1+PJ_G_PESS)^(1/12)+PJ_APORTE+PJ_REINV*M12*PJ_DY/12</f>
        <v/>
      </c>
      <c r="N13" s="153">
        <f>N12*(1+PJ_G_BASE)^(1/12)+PJ_APORTE+PJ_REINV*N12*PJ_DY/12</f>
        <v/>
      </c>
      <c r="O13" s="153">
        <f>O12*(1+PJ_G_OTIM)^(1/12)+PJ_APORTE+PJ_REINV*O12*PJ_DY/12</f>
        <v/>
      </c>
      <c r="P13" s="153">
        <f>P12*(1+PJ_CDI)^(1/12)+PJ_APORTE</f>
        <v/>
      </c>
      <c r="Q13" s="153">
        <f>N13*PJ_DY/12</f>
        <v/>
      </c>
      <c r="R13" s="153">
        <f>R12+PJ_APORTE</f>
        <v/>
      </c>
    </row>
    <row r="14">
      <c r="K14" s="151" t="n">
        <v>8</v>
      </c>
      <c r="L14" s="152">
        <f>EDATE(TODAY(),K14)</f>
        <v/>
      </c>
      <c r="M14" s="153">
        <f>M13*(1+PJ_G_PESS)^(1/12)+PJ_APORTE+PJ_REINV*M13*PJ_DY/12</f>
        <v/>
      </c>
      <c r="N14" s="153">
        <f>N13*(1+PJ_G_BASE)^(1/12)+PJ_APORTE+PJ_REINV*N13*PJ_DY/12</f>
        <v/>
      </c>
      <c r="O14" s="153">
        <f>O13*(1+PJ_G_OTIM)^(1/12)+PJ_APORTE+PJ_REINV*O13*PJ_DY/12</f>
        <v/>
      </c>
      <c r="P14" s="153">
        <f>P13*(1+PJ_CDI)^(1/12)+PJ_APORTE</f>
        <v/>
      </c>
      <c r="Q14" s="153">
        <f>N14*PJ_DY/12</f>
        <v/>
      </c>
      <c r="R14" s="153">
        <f>R13+PJ_APORTE</f>
        <v/>
      </c>
    </row>
    <row r="15">
      <c r="K15" s="151" t="n">
        <v>9</v>
      </c>
      <c r="L15" s="152">
        <f>EDATE(TODAY(),K15)</f>
        <v/>
      </c>
      <c r="M15" s="153">
        <f>M14*(1+PJ_G_PESS)^(1/12)+PJ_APORTE+PJ_REINV*M14*PJ_DY/12</f>
        <v/>
      </c>
      <c r="N15" s="153">
        <f>N14*(1+PJ_G_BASE)^(1/12)+PJ_APORTE+PJ_REINV*N14*PJ_DY/12</f>
        <v/>
      </c>
      <c r="O15" s="153">
        <f>O14*(1+PJ_G_OTIM)^(1/12)+PJ_APORTE+PJ_REINV*O14*PJ_DY/12</f>
        <v/>
      </c>
      <c r="P15" s="153">
        <f>P14*(1+PJ_CDI)^(1/12)+PJ_APORTE</f>
        <v/>
      </c>
      <c r="Q15" s="153">
        <f>N15*PJ_DY/12</f>
        <v/>
      </c>
      <c r="R15" s="153">
        <f>R14+PJ_APORTE</f>
        <v/>
      </c>
    </row>
    <row r="16" ht="32" customHeight="1">
      <c r="A16" s="89" t="inlineStr">
        <is>
          <t>Ano</t>
        </is>
      </c>
      <c r="B16" s="89" t="inlineStr">
        <is>
          <t>Pessimista (R$)</t>
        </is>
      </c>
      <c r="C16" s="89" t="inlineStr">
        <is>
          <t>Base (R$)</t>
        </is>
      </c>
      <c r="D16" s="89" t="inlineStr">
        <is>
          <t>Otimista (R$)</t>
        </is>
      </c>
      <c r="E16" s="89" t="inlineStr">
        <is>
          <t>CDI (R$)</t>
        </is>
      </c>
      <c r="F16" s="89" t="inlineStr">
        <is>
          <t>Renda mensal base (R$)</t>
        </is>
      </c>
      <c r="G16" s="89" t="inlineStr">
        <is>
          <t>Total aportado (R$)</t>
        </is>
      </c>
      <c r="H16" s="89" t="inlineStr">
        <is>
          <t>Base − CDI (R$)</t>
        </is>
      </c>
      <c r="I16" s="89" t="inlineStr">
        <is>
          <t>% da meta de renda</t>
        </is>
      </c>
      <c r="K16" s="151" t="n">
        <v>10</v>
      </c>
      <c r="L16" s="152">
        <f>EDATE(TODAY(),K16)</f>
        <v/>
      </c>
      <c r="M16" s="153">
        <f>M15*(1+PJ_G_PESS)^(1/12)+PJ_APORTE+PJ_REINV*M15*PJ_DY/12</f>
        <v/>
      </c>
      <c r="N16" s="153">
        <f>N15*(1+PJ_G_BASE)^(1/12)+PJ_APORTE+PJ_REINV*N15*PJ_DY/12</f>
        <v/>
      </c>
      <c r="O16" s="153">
        <f>O15*(1+PJ_G_OTIM)^(1/12)+PJ_APORTE+PJ_REINV*O15*PJ_DY/12</f>
        <v/>
      </c>
      <c r="P16" s="153">
        <f>P15*(1+PJ_CDI)^(1/12)+PJ_APORTE</f>
        <v/>
      </c>
      <c r="Q16" s="153">
        <f>N16*PJ_DY/12</f>
        <v/>
      </c>
      <c r="R16" s="153">
        <f>R15+PJ_APORTE</f>
        <v/>
      </c>
    </row>
    <row r="17">
      <c r="A17" s="155" t="n">
        <v>1</v>
      </c>
      <c r="B17" s="107">
        <f>M18</f>
        <v/>
      </c>
      <c r="C17" s="107">
        <f>N18</f>
        <v/>
      </c>
      <c r="D17" s="107">
        <f>O18</f>
        <v/>
      </c>
      <c r="E17" s="107">
        <f>P18</f>
        <v/>
      </c>
      <c r="F17" s="107">
        <f>Q18</f>
        <v/>
      </c>
      <c r="G17" s="107">
        <f>R18</f>
        <v/>
      </c>
      <c r="H17" s="107">
        <f>C17-E17</f>
        <v/>
      </c>
      <c r="I17" s="104">
        <f>IF(PJ_META&gt;0,F17/PJ_META,0)</f>
        <v/>
      </c>
      <c r="K17" s="151" t="n">
        <v>11</v>
      </c>
      <c r="L17" s="152">
        <f>EDATE(TODAY(),K17)</f>
        <v/>
      </c>
      <c r="M17" s="153">
        <f>M16*(1+PJ_G_PESS)^(1/12)+PJ_APORTE+PJ_REINV*M16*PJ_DY/12</f>
        <v/>
      </c>
      <c r="N17" s="153">
        <f>N16*(1+PJ_G_BASE)^(1/12)+PJ_APORTE+PJ_REINV*N16*PJ_DY/12</f>
        <v/>
      </c>
      <c r="O17" s="153">
        <f>O16*(1+PJ_G_OTIM)^(1/12)+PJ_APORTE+PJ_REINV*O16*PJ_DY/12</f>
        <v/>
      </c>
      <c r="P17" s="153">
        <f>P16*(1+PJ_CDI)^(1/12)+PJ_APORTE</f>
        <v/>
      </c>
      <c r="Q17" s="153">
        <f>N17*PJ_DY/12</f>
        <v/>
      </c>
      <c r="R17" s="153">
        <f>R16+PJ_APORTE</f>
        <v/>
      </c>
    </row>
    <row r="18">
      <c r="A18" s="156" t="n">
        <v>2</v>
      </c>
      <c r="B18" s="97">
        <f>M30</f>
        <v/>
      </c>
      <c r="C18" s="97">
        <f>N30</f>
        <v/>
      </c>
      <c r="D18" s="97">
        <f>O30</f>
        <v/>
      </c>
      <c r="E18" s="97">
        <f>P30</f>
        <v/>
      </c>
      <c r="F18" s="97">
        <f>Q30</f>
        <v/>
      </c>
      <c r="G18" s="97">
        <f>R30</f>
        <v/>
      </c>
      <c r="H18" s="97">
        <f>C18-E18</f>
        <v/>
      </c>
      <c r="I18" s="94">
        <f>IF(PJ_META&gt;0,F18/PJ_META,0)</f>
        <v/>
      </c>
      <c r="K18" s="151" t="n">
        <v>12</v>
      </c>
      <c r="L18" s="152">
        <f>EDATE(TODAY(),K18)</f>
        <v/>
      </c>
      <c r="M18" s="153">
        <f>M17*(1+PJ_G_PESS)^(1/12)+PJ_APORTE+PJ_REINV*M17*PJ_DY/12</f>
        <v/>
      </c>
      <c r="N18" s="153">
        <f>N17*(1+PJ_G_BASE)^(1/12)+PJ_APORTE+PJ_REINV*N17*PJ_DY/12</f>
        <v/>
      </c>
      <c r="O18" s="153">
        <f>O17*(1+PJ_G_OTIM)^(1/12)+PJ_APORTE+PJ_REINV*O17*PJ_DY/12</f>
        <v/>
      </c>
      <c r="P18" s="153">
        <f>P17*(1+PJ_CDI)^(1/12)+PJ_APORTE</f>
        <v/>
      </c>
      <c r="Q18" s="153">
        <f>N18*PJ_DY/12</f>
        <v/>
      </c>
      <c r="R18" s="153">
        <f>R17+PJ_APORTE</f>
        <v/>
      </c>
    </row>
    <row r="19">
      <c r="A19" s="155" t="n">
        <v>3</v>
      </c>
      <c r="B19" s="107">
        <f>M42</f>
        <v/>
      </c>
      <c r="C19" s="107">
        <f>N42</f>
        <v/>
      </c>
      <c r="D19" s="107">
        <f>O42</f>
        <v/>
      </c>
      <c r="E19" s="107">
        <f>P42</f>
        <v/>
      </c>
      <c r="F19" s="107">
        <f>Q42</f>
        <v/>
      </c>
      <c r="G19" s="107">
        <f>R42</f>
        <v/>
      </c>
      <c r="H19" s="107">
        <f>C19-E19</f>
        <v/>
      </c>
      <c r="I19" s="104">
        <f>IF(PJ_META&gt;0,F19/PJ_META,0)</f>
        <v/>
      </c>
      <c r="K19" s="151" t="n">
        <v>13</v>
      </c>
      <c r="L19" s="152">
        <f>EDATE(TODAY(),K19)</f>
        <v/>
      </c>
      <c r="M19" s="153">
        <f>M18*(1+PJ_G_PESS)^(1/12)+PJ_APORTE+PJ_REINV*M18*PJ_DY/12</f>
        <v/>
      </c>
      <c r="N19" s="153">
        <f>N18*(1+PJ_G_BASE)^(1/12)+PJ_APORTE+PJ_REINV*N18*PJ_DY/12</f>
        <v/>
      </c>
      <c r="O19" s="153">
        <f>O18*(1+PJ_G_OTIM)^(1/12)+PJ_APORTE+PJ_REINV*O18*PJ_DY/12</f>
        <v/>
      </c>
      <c r="P19" s="153">
        <f>P18*(1+PJ_CDI)^(1/12)+PJ_APORTE</f>
        <v/>
      </c>
      <c r="Q19" s="153">
        <f>N19*PJ_DY/12</f>
        <v/>
      </c>
      <c r="R19" s="153">
        <f>R18+PJ_APORTE</f>
        <v/>
      </c>
    </row>
    <row r="20">
      <c r="A20" s="156" t="n">
        <v>4</v>
      </c>
      <c r="B20" s="97">
        <f>M54</f>
        <v/>
      </c>
      <c r="C20" s="97">
        <f>N54</f>
        <v/>
      </c>
      <c r="D20" s="97">
        <f>O54</f>
        <v/>
      </c>
      <c r="E20" s="97">
        <f>P54</f>
        <v/>
      </c>
      <c r="F20" s="97">
        <f>Q54</f>
        <v/>
      </c>
      <c r="G20" s="97">
        <f>R54</f>
        <v/>
      </c>
      <c r="H20" s="97">
        <f>C20-E20</f>
        <v/>
      </c>
      <c r="I20" s="94">
        <f>IF(PJ_META&gt;0,F20/PJ_META,0)</f>
        <v/>
      </c>
      <c r="K20" s="151" t="n">
        <v>14</v>
      </c>
      <c r="L20" s="152">
        <f>EDATE(TODAY(),K20)</f>
        <v/>
      </c>
      <c r="M20" s="153">
        <f>M19*(1+PJ_G_PESS)^(1/12)+PJ_APORTE+PJ_REINV*M19*PJ_DY/12</f>
        <v/>
      </c>
      <c r="N20" s="153">
        <f>N19*(1+PJ_G_BASE)^(1/12)+PJ_APORTE+PJ_REINV*N19*PJ_DY/12</f>
        <v/>
      </c>
      <c r="O20" s="153">
        <f>O19*(1+PJ_G_OTIM)^(1/12)+PJ_APORTE+PJ_REINV*O19*PJ_DY/12</f>
        <v/>
      </c>
      <c r="P20" s="153">
        <f>P19*(1+PJ_CDI)^(1/12)+PJ_APORTE</f>
        <v/>
      </c>
      <c r="Q20" s="153">
        <f>N20*PJ_DY/12</f>
        <v/>
      </c>
      <c r="R20" s="153">
        <f>R19+PJ_APORTE</f>
        <v/>
      </c>
    </row>
    <row r="21">
      <c r="A21" s="155" t="n">
        <v>5</v>
      </c>
      <c r="B21" s="107">
        <f>M66</f>
        <v/>
      </c>
      <c r="C21" s="107">
        <f>N66</f>
        <v/>
      </c>
      <c r="D21" s="107">
        <f>O66</f>
        <v/>
      </c>
      <c r="E21" s="107">
        <f>P66</f>
        <v/>
      </c>
      <c r="F21" s="107">
        <f>Q66</f>
        <v/>
      </c>
      <c r="G21" s="107">
        <f>R66</f>
        <v/>
      </c>
      <c r="H21" s="107">
        <f>C21-E21</f>
        <v/>
      </c>
      <c r="I21" s="104">
        <f>IF(PJ_META&gt;0,F21/PJ_META,0)</f>
        <v/>
      </c>
      <c r="K21" s="151" t="n">
        <v>15</v>
      </c>
      <c r="L21" s="152">
        <f>EDATE(TODAY(),K21)</f>
        <v/>
      </c>
      <c r="M21" s="153">
        <f>M20*(1+PJ_G_PESS)^(1/12)+PJ_APORTE+PJ_REINV*M20*PJ_DY/12</f>
        <v/>
      </c>
      <c r="N21" s="153">
        <f>N20*(1+PJ_G_BASE)^(1/12)+PJ_APORTE+PJ_REINV*N20*PJ_DY/12</f>
        <v/>
      </c>
      <c r="O21" s="153">
        <f>O20*(1+PJ_G_OTIM)^(1/12)+PJ_APORTE+PJ_REINV*O20*PJ_DY/12</f>
        <v/>
      </c>
      <c r="P21" s="153">
        <f>P20*(1+PJ_CDI)^(1/12)+PJ_APORTE</f>
        <v/>
      </c>
      <c r="Q21" s="153">
        <f>N21*PJ_DY/12</f>
        <v/>
      </c>
      <c r="R21" s="153">
        <f>R20+PJ_APORTE</f>
        <v/>
      </c>
    </row>
    <row r="22">
      <c r="A22" s="156" t="n">
        <v>6</v>
      </c>
      <c r="B22" s="97">
        <f>M78</f>
        <v/>
      </c>
      <c r="C22" s="97">
        <f>N78</f>
        <v/>
      </c>
      <c r="D22" s="97">
        <f>O78</f>
        <v/>
      </c>
      <c r="E22" s="97">
        <f>P78</f>
        <v/>
      </c>
      <c r="F22" s="97">
        <f>Q78</f>
        <v/>
      </c>
      <c r="G22" s="97">
        <f>R78</f>
        <v/>
      </c>
      <c r="H22" s="97">
        <f>C22-E22</f>
        <v/>
      </c>
      <c r="I22" s="94">
        <f>IF(PJ_META&gt;0,F22/PJ_META,0)</f>
        <v/>
      </c>
      <c r="K22" s="151" t="n">
        <v>16</v>
      </c>
      <c r="L22" s="152">
        <f>EDATE(TODAY(),K22)</f>
        <v/>
      </c>
      <c r="M22" s="153">
        <f>M21*(1+PJ_G_PESS)^(1/12)+PJ_APORTE+PJ_REINV*M21*PJ_DY/12</f>
        <v/>
      </c>
      <c r="N22" s="153">
        <f>N21*(1+PJ_G_BASE)^(1/12)+PJ_APORTE+PJ_REINV*N21*PJ_DY/12</f>
        <v/>
      </c>
      <c r="O22" s="153">
        <f>O21*(1+PJ_G_OTIM)^(1/12)+PJ_APORTE+PJ_REINV*O21*PJ_DY/12</f>
        <v/>
      </c>
      <c r="P22" s="153">
        <f>P21*(1+PJ_CDI)^(1/12)+PJ_APORTE</f>
        <v/>
      </c>
      <c r="Q22" s="153">
        <f>N22*PJ_DY/12</f>
        <v/>
      </c>
      <c r="R22" s="153">
        <f>R21+PJ_APORTE</f>
        <v/>
      </c>
    </row>
    <row r="23">
      <c r="A23" s="155" t="n">
        <v>7</v>
      </c>
      <c r="B23" s="107">
        <f>M90</f>
        <v/>
      </c>
      <c r="C23" s="107">
        <f>N90</f>
        <v/>
      </c>
      <c r="D23" s="107">
        <f>O90</f>
        <v/>
      </c>
      <c r="E23" s="107">
        <f>P90</f>
        <v/>
      </c>
      <c r="F23" s="107">
        <f>Q90</f>
        <v/>
      </c>
      <c r="G23" s="107">
        <f>R90</f>
        <v/>
      </c>
      <c r="H23" s="107">
        <f>C23-E23</f>
        <v/>
      </c>
      <c r="I23" s="104">
        <f>IF(PJ_META&gt;0,F23/PJ_META,0)</f>
        <v/>
      </c>
      <c r="K23" s="151" t="n">
        <v>17</v>
      </c>
      <c r="L23" s="152">
        <f>EDATE(TODAY(),K23)</f>
        <v/>
      </c>
      <c r="M23" s="153">
        <f>M22*(1+PJ_G_PESS)^(1/12)+PJ_APORTE+PJ_REINV*M22*PJ_DY/12</f>
        <v/>
      </c>
      <c r="N23" s="153">
        <f>N22*(1+PJ_G_BASE)^(1/12)+PJ_APORTE+PJ_REINV*N22*PJ_DY/12</f>
        <v/>
      </c>
      <c r="O23" s="153">
        <f>O22*(1+PJ_G_OTIM)^(1/12)+PJ_APORTE+PJ_REINV*O22*PJ_DY/12</f>
        <v/>
      </c>
      <c r="P23" s="153">
        <f>P22*(1+PJ_CDI)^(1/12)+PJ_APORTE</f>
        <v/>
      </c>
      <c r="Q23" s="153">
        <f>N23*PJ_DY/12</f>
        <v/>
      </c>
      <c r="R23" s="153">
        <f>R22+PJ_APORTE</f>
        <v/>
      </c>
    </row>
    <row r="24">
      <c r="A24" s="156" t="n">
        <v>8</v>
      </c>
      <c r="B24" s="97">
        <f>M102</f>
        <v/>
      </c>
      <c r="C24" s="97">
        <f>N102</f>
        <v/>
      </c>
      <c r="D24" s="97">
        <f>O102</f>
        <v/>
      </c>
      <c r="E24" s="97">
        <f>P102</f>
        <v/>
      </c>
      <c r="F24" s="97">
        <f>Q102</f>
        <v/>
      </c>
      <c r="G24" s="97">
        <f>R102</f>
        <v/>
      </c>
      <c r="H24" s="97">
        <f>C24-E24</f>
        <v/>
      </c>
      <c r="I24" s="94">
        <f>IF(PJ_META&gt;0,F24/PJ_META,0)</f>
        <v/>
      </c>
      <c r="K24" s="151" t="n">
        <v>18</v>
      </c>
      <c r="L24" s="152">
        <f>EDATE(TODAY(),K24)</f>
        <v/>
      </c>
      <c r="M24" s="153">
        <f>M23*(1+PJ_G_PESS)^(1/12)+PJ_APORTE+PJ_REINV*M23*PJ_DY/12</f>
        <v/>
      </c>
      <c r="N24" s="153">
        <f>N23*(1+PJ_G_BASE)^(1/12)+PJ_APORTE+PJ_REINV*N23*PJ_DY/12</f>
        <v/>
      </c>
      <c r="O24" s="153">
        <f>O23*(1+PJ_G_OTIM)^(1/12)+PJ_APORTE+PJ_REINV*O23*PJ_DY/12</f>
        <v/>
      </c>
      <c r="P24" s="153">
        <f>P23*(1+PJ_CDI)^(1/12)+PJ_APORTE</f>
        <v/>
      </c>
      <c r="Q24" s="153">
        <f>N24*PJ_DY/12</f>
        <v/>
      </c>
      <c r="R24" s="153">
        <f>R23+PJ_APORTE</f>
        <v/>
      </c>
    </row>
    <row r="25">
      <c r="A25" s="155" t="n">
        <v>9</v>
      </c>
      <c r="B25" s="107">
        <f>M114</f>
        <v/>
      </c>
      <c r="C25" s="107">
        <f>N114</f>
        <v/>
      </c>
      <c r="D25" s="107">
        <f>O114</f>
        <v/>
      </c>
      <c r="E25" s="107">
        <f>P114</f>
        <v/>
      </c>
      <c r="F25" s="107">
        <f>Q114</f>
        <v/>
      </c>
      <c r="G25" s="107">
        <f>R114</f>
        <v/>
      </c>
      <c r="H25" s="107">
        <f>C25-E25</f>
        <v/>
      </c>
      <c r="I25" s="104">
        <f>IF(PJ_META&gt;0,F25/PJ_META,0)</f>
        <v/>
      </c>
      <c r="K25" s="151" t="n">
        <v>19</v>
      </c>
      <c r="L25" s="152">
        <f>EDATE(TODAY(),K25)</f>
        <v/>
      </c>
      <c r="M25" s="153">
        <f>M24*(1+PJ_G_PESS)^(1/12)+PJ_APORTE+PJ_REINV*M24*PJ_DY/12</f>
        <v/>
      </c>
      <c r="N25" s="153">
        <f>N24*(1+PJ_G_BASE)^(1/12)+PJ_APORTE+PJ_REINV*N24*PJ_DY/12</f>
        <v/>
      </c>
      <c r="O25" s="153">
        <f>O24*(1+PJ_G_OTIM)^(1/12)+PJ_APORTE+PJ_REINV*O24*PJ_DY/12</f>
        <v/>
      </c>
      <c r="P25" s="153">
        <f>P24*(1+PJ_CDI)^(1/12)+PJ_APORTE</f>
        <v/>
      </c>
      <c r="Q25" s="153">
        <f>N25*PJ_DY/12</f>
        <v/>
      </c>
      <c r="R25" s="153">
        <f>R24+PJ_APORTE</f>
        <v/>
      </c>
    </row>
    <row r="26">
      <c r="A26" s="156" t="n">
        <v>10</v>
      </c>
      <c r="B26" s="97">
        <f>M126</f>
        <v/>
      </c>
      <c r="C26" s="97">
        <f>N126</f>
        <v/>
      </c>
      <c r="D26" s="97">
        <f>O126</f>
        <v/>
      </c>
      <c r="E26" s="97">
        <f>P126</f>
        <v/>
      </c>
      <c r="F26" s="97">
        <f>Q126</f>
        <v/>
      </c>
      <c r="G26" s="97">
        <f>R126</f>
        <v/>
      </c>
      <c r="H26" s="97">
        <f>C26-E26</f>
        <v/>
      </c>
      <c r="I26" s="94">
        <f>IF(PJ_META&gt;0,F26/PJ_META,0)</f>
        <v/>
      </c>
      <c r="K26" s="151" t="n">
        <v>20</v>
      </c>
      <c r="L26" s="152">
        <f>EDATE(TODAY(),K26)</f>
        <v/>
      </c>
      <c r="M26" s="153">
        <f>M25*(1+PJ_G_PESS)^(1/12)+PJ_APORTE+PJ_REINV*M25*PJ_DY/12</f>
        <v/>
      </c>
      <c r="N26" s="153">
        <f>N25*(1+PJ_G_BASE)^(1/12)+PJ_APORTE+PJ_REINV*N25*PJ_DY/12</f>
        <v/>
      </c>
      <c r="O26" s="153">
        <f>O25*(1+PJ_G_OTIM)^(1/12)+PJ_APORTE+PJ_REINV*O25*PJ_DY/12</f>
        <v/>
      </c>
      <c r="P26" s="153">
        <f>P25*(1+PJ_CDI)^(1/12)+PJ_APORTE</f>
        <v/>
      </c>
      <c r="Q26" s="153">
        <f>N26*PJ_DY/12</f>
        <v/>
      </c>
      <c r="R26" s="153">
        <f>R25+PJ_APORTE</f>
        <v/>
      </c>
    </row>
    <row r="27">
      <c r="K27" s="151" t="n">
        <v>21</v>
      </c>
      <c r="L27" s="152">
        <f>EDATE(TODAY(),K27)</f>
        <v/>
      </c>
      <c r="M27" s="153">
        <f>M26*(1+PJ_G_PESS)^(1/12)+PJ_APORTE+PJ_REINV*M26*PJ_DY/12</f>
        <v/>
      </c>
      <c r="N27" s="153">
        <f>N26*(1+PJ_G_BASE)^(1/12)+PJ_APORTE+PJ_REINV*N26*PJ_DY/12</f>
        <v/>
      </c>
      <c r="O27" s="153">
        <f>O26*(1+PJ_G_OTIM)^(1/12)+PJ_APORTE+PJ_REINV*O26*PJ_DY/12</f>
        <v/>
      </c>
      <c r="P27" s="153">
        <f>P26*(1+PJ_CDI)^(1/12)+PJ_APORTE</f>
        <v/>
      </c>
      <c r="Q27" s="153">
        <f>N27*PJ_DY/12</f>
        <v/>
      </c>
      <c r="R27" s="153">
        <f>R26+PJ_APORTE</f>
        <v/>
      </c>
    </row>
    <row r="28">
      <c r="A28" s="133" t="inlineStr">
        <is>
          <t>Meses até a meta de renda (base)</t>
        </is>
      </c>
      <c r="B28" s="157">
        <f>IF(PJ_META&lt;=0,"-",IF(COUNTIF(Q6:Q126,"&lt;"&amp;PJ_META)&gt;120,"além de 10 anos",COUNTIF(Q6:Q126,"&lt;"&amp;PJ_META)))</f>
        <v/>
      </c>
      <c r="K28" s="151" t="n">
        <v>22</v>
      </c>
      <c r="L28" s="152">
        <f>EDATE(TODAY(),K28)</f>
        <v/>
      </c>
      <c r="M28" s="153">
        <f>M27*(1+PJ_G_PESS)^(1/12)+PJ_APORTE+PJ_REINV*M27*PJ_DY/12</f>
        <v/>
      </c>
      <c r="N28" s="153">
        <f>N27*(1+PJ_G_BASE)^(1/12)+PJ_APORTE+PJ_REINV*N27*PJ_DY/12</f>
        <v/>
      </c>
      <c r="O28" s="153">
        <f>O27*(1+PJ_G_OTIM)^(1/12)+PJ_APORTE+PJ_REINV*O27*PJ_DY/12</f>
        <v/>
      </c>
      <c r="P28" s="153">
        <f>P27*(1+PJ_CDI)^(1/12)+PJ_APORTE</f>
        <v/>
      </c>
      <c r="Q28" s="153">
        <f>N28*PJ_DY/12</f>
        <v/>
      </c>
      <c r="R28" s="153">
        <f>R27+PJ_APORTE</f>
        <v/>
      </c>
    </row>
    <row r="29">
      <c r="A29" s="133" t="inlineStr">
        <is>
          <t>Renda mensal base no fim do horizonte</t>
        </is>
      </c>
      <c r="B29" s="132">
        <f>Q126</f>
        <v/>
      </c>
      <c r="K29" s="151" t="n">
        <v>23</v>
      </c>
      <c r="L29" s="152">
        <f>EDATE(TODAY(),K29)</f>
        <v/>
      </c>
      <c r="M29" s="153">
        <f>M28*(1+PJ_G_PESS)^(1/12)+PJ_APORTE+PJ_REINV*M28*PJ_DY/12</f>
        <v/>
      </c>
      <c r="N29" s="153">
        <f>N28*(1+PJ_G_BASE)^(1/12)+PJ_APORTE+PJ_REINV*N28*PJ_DY/12</f>
        <v/>
      </c>
      <c r="O29" s="153">
        <f>O28*(1+PJ_G_OTIM)^(1/12)+PJ_APORTE+PJ_REINV*O28*PJ_DY/12</f>
        <v/>
      </c>
      <c r="P29" s="153">
        <f>P28*(1+PJ_CDI)^(1/12)+PJ_APORTE</f>
        <v/>
      </c>
      <c r="Q29" s="153">
        <f>N29*PJ_DY/12</f>
        <v/>
      </c>
      <c r="R29" s="153">
        <f>R28+PJ_APORTE</f>
        <v/>
      </c>
    </row>
    <row r="30">
      <c r="K30" s="151" t="n">
        <v>24</v>
      </c>
      <c r="L30" s="152">
        <f>EDATE(TODAY(),K30)</f>
        <v/>
      </c>
      <c r="M30" s="153">
        <f>M29*(1+PJ_G_PESS)^(1/12)+PJ_APORTE+PJ_REINV*M29*PJ_DY/12</f>
        <v/>
      </c>
      <c r="N30" s="153">
        <f>N29*(1+PJ_G_BASE)^(1/12)+PJ_APORTE+PJ_REINV*N29*PJ_DY/12</f>
        <v/>
      </c>
      <c r="O30" s="153">
        <f>O29*(1+PJ_G_OTIM)^(1/12)+PJ_APORTE+PJ_REINV*O29*PJ_DY/12</f>
        <v/>
      </c>
      <c r="P30" s="153">
        <f>P29*(1+PJ_CDI)^(1/12)+PJ_APORTE</f>
        <v/>
      </c>
      <c r="Q30" s="153">
        <f>N30*PJ_DY/12</f>
        <v/>
      </c>
      <c r="R30" s="153">
        <f>R29+PJ_APORTE</f>
        <v/>
      </c>
    </row>
    <row r="31">
      <c r="K31" s="151" t="n">
        <v>25</v>
      </c>
      <c r="L31" s="152">
        <f>EDATE(TODAY(),K31)</f>
        <v/>
      </c>
      <c r="M31" s="153">
        <f>M30*(1+PJ_G_PESS)^(1/12)+PJ_APORTE+PJ_REINV*M30*PJ_DY/12</f>
        <v/>
      </c>
      <c r="N31" s="153">
        <f>N30*(1+PJ_G_BASE)^(1/12)+PJ_APORTE+PJ_REINV*N30*PJ_DY/12</f>
        <v/>
      </c>
      <c r="O31" s="153">
        <f>O30*(1+PJ_G_OTIM)^(1/12)+PJ_APORTE+PJ_REINV*O30*PJ_DY/12</f>
        <v/>
      </c>
      <c r="P31" s="153">
        <f>P30*(1+PJ_CDI)^(1/12)+PJ_APORTE</f>
        <v/>
      </c>
      <c r="Q31" s="153">
        <f>N31*PJ_DY/12</f>
        <v/>
      </c>
      <c r="R31" s="153">
        <f>R30+PJ_APORTE</f>
        <v/>
      </c>
    </row>
    <row r="32">
      <c r="K32" s="151" t="n">
        <v>26</v>
      </c>
      <c r="L32" s="152">
        <f>EDATE(TODAY(),K32)</f>
        <v/>
      </c>
      <c r="M32" s="153">
        <f>M31*(1+PJ_G_PESS)^(1/12)+PJ_APORTE+PJ_REINV*M31*PJ_DY/12</f>
        <v/>
      </c>
      <c r="N32" s="153">
        <f>N31*(1+PJ_G_BASE)^(1/12)+PJ_APORTE+PJ_REINV*N31*PJ_DY/12</f>
        <v/>
      </c>
      <c r="O32" s="153">
        <f>O31*(1+PJ_G_OTIM)^(1/12)+PJ_APORTE+PJ_REINV*O31*PJ_DY/12</f>
        <v/>
      </c>
      <c r="P32" s="153">
        <f>P31*(1+PJ_CDI)^(1/12)+PJ_APORTE</f>
        <v/>
      </c>
      <c r="Q32" s="153">
        <f>N32*PJ_DY/12</f>
        <v/>
      </c>
      <c r="R32" s="153">
        <f>R31+PJ_APORTE</f>
        <v/>
      </c>
    </row>
    <row r="33">
      <c r="K33" s="151" t="n">
        <v>27</v>
      </c>
      <c r="L33" s="152">
        <f>EDATE(TODAY(),K33)</f>
        <v/>
      </c>
      <c r="M33" s="153">
        <f>M32*(1+PJ_G_PESS)^(1/12)+PJ_APORTE+PJ_REINV*M32*PJ_DY/12</f>
        <v/>
      </c>
      <c r="N33" s="153">
        <f>N32*(1+PJ_G_BASE)^(1/12)+PJ_APORTE+PJ_REINV*N32*PJ_DY/12</f>
        <v/>
      </c>
      <c r="O33" s="153">
        <f>O32*(1+PJ_G_OTIM)^(1/12)+PJ_APORTE+PJ_REINV*O32*PJ_DY/12</f>
        <v/>
      </c>
      <c r="P33" s="153">
        <f>P32*(1+PJ_CDI)^(1/12)+PJ_APORTE</f>
        <v/>
      </c>
      <c r="Q33" s="153">
        <f>N33*PJ_DY/12</f>
        <v/>
      </c>
      <c r="R33" s="153">
        <f>R32+PJ_APORTE</f>
        <v/>
      </c>
    </row>
    <row r="34">
      <c r="K34" s="151" t="n">
        <v>28</v>
      </c>
      <c r="L34" s="152">
        <f>EDATE(TODAY(),K34)</f>
        <v/>
      </c>
      <c r="M34" s="153">
        <f>M33*(1+PJ_G_PESS)^(1/12)+PJ_APORTE+PJ_REINV*M33*PJ_DY/12</f>
        <v/>
      </c>
      <c r="N34" s="153">
        <f>N33*(1+PJ_G_BASE)^(1/12)+PJ_APORTE+PJ_REINV*N33*PJ_DY/12</f>
        <v/>
      </c>
      <c r="O34" s="153">
        <f>O33*(1+PJ_G_OTIM)^(1/12)+PJ_APORTE+PJ_REINV*O33*PJ_DY/12</f>
        <v/>
      </c>
      <c r="P34" s="153">
        <f>P33*(1+PJ_CDI)^(1/12)+PJ_APORTE</f>
        <v/>
      </c>
      <c r="Q34" s="153">
        <f>N34*PJ_DY/12</f>
        <v/>
      </c>
      <c r="R34" s="153">
        <f>R33+PJ_APORTE</f>
        <v/>
      </c>
    </row>
    <row r="35">
      <c r="K35" s="151" t="n">
        <v>29</v>
      </c>
      <c r="L35" s="152">
        <f>EDATE(TODAY(),K35)</f>
        <v/>
      </c>
      <c r="M35" s="153">
        <f>M34*(1+PJ_G_PESS)^(1/12)+PJ_APORTE+PJ_REINV*M34*PJ_DY/12</f>
        <v/>
      </c>
      <c r="N35" s="153">
        <f>N34*(1+PJ_G_BASE)^(1/12)+PJ_APORTE+PJ_REINV*N34*PJ_DY/12</f>
        <v/>
      </c>
      <c r="O35" s="153">
        <f>O34*(1+PJ_G_OTIM)^(1/12)+PJ_APORTE+PJ_REINV*O34*PJ_DY/12</f>
        <v/>
      </c>
      <c r="P35" s="153">
        <f>P34*(1+PJ_CDI)^(1/12)+PJ_APORTE</f>
        <v/>
      </c>
      <c r="Q35" s="153">
        <f>N35*PJ_DY/12</f>
        <v/>
      </c>
      <c r="R35" s="153">
        <f>R34+PJ_APORTE</f>
        <v/>
      </c>
    </row>
    <row r="36">
      <c r="K36" s="151" t="n">
        <v>30</v>
      </c>
      <c r="L36" s="152">
        <f>EDATE(TODAY(),K36)</f>
        <v/>
      </c>
      <c r="M36" s="153">
        <f>M35*(1+PJ_G_PESS)^(1/12)+PJ_APORTE+PJ_REINV*M35*PJ_DY/12</f>
        <v/>
      </c>
      <c r="N36" s="153">
        <f>N35*(1+PJ_G_BASE)^(1/12)+PJ_APORTE+PJ_REINV*N35*PJ_DY/12</f>
        <v/>
      </c>
      <c r="O36" s="153">
        <f>O35*(1+PJ_G_OTIM)^(1/12)+PJ_APORTE+PJ_REINV*O35*PJ_DY/12</f>
        <v/>
      </c>
      <c r="P36" s="153">
        <f>P35*(1+PJ_CDI)^(1/12)+PJ_APORTE</f>
        <v/>
      </c>
      <c r="Q36" s="153">
        <f>N36*PJ_DY/12</f>
        <v/>
      </c>
      <c r="R36" s="153">
        <f>R35+PJ_APORTE</f>
        <v/>
      </c>
    </row>
    <row r="37">
      <c r="K37" s="151" t="n">
        <v>31</v>
      </c>
      <c r="L37" s="152">
        <f>EDATE(TODAY(),K37)</f>
        <v/>
      </c>
      <c r="M37" s="153">
        <f>M36*(1+PJ_G_PESS)^(1/12)+PJ_APORTE+PJ_REINV*M36*PJ_DY/12</f>
        <v/>
      </c>
      <c r="N37" s="153">
        <f>N36*(1+PJ_G_BASE)^(1/12)+PJ_APORTE+PJ_REINV*N36*PJ_DY/12</f>
        <v/>
      </c>
      <c r="O37" s="153">
        <f>O36*(1+PJ_G_OTIM)^(1/12)+PJ_APORTE+PJ_REINV*O36*PJ_DY/12</f>
        <v/>
      </c>
      <c r="P37" s="153">
        <f>P36*(1+PJ_CDI)^(1/12)+PJ_APORTE</f>
        <v/>
      </c>
      <c r="Q37" s="153">
        <f>N37*PJ_DY/12</f>
        <v/>
      </c>
      <c r="R37" s="153">
        <f>R36+PJ_APORTE</f>
        <v/>
      </c>
    </row>
    <row r="38">
      <c r="K38" s="151" t="n">
        <v>32</v>
      </c>
      <c r="L38" s="152">
        <f>EDATE(TODAY(),K38)</f>
        <v/>
      </c>
      <c r="M38" s="153">
        <f>M37*(1+PJ_G_PESS)^(1/12)+PJ_APORTE+PJ_REINV*M37*PJ_DY/12</f>
        <v/>
      </c>
      <c r="N38" s="153">
        <f>N37*(1+PJ_G_BASE)^(1/12)+PJ_APORTE+PJ_REINV*N37*PJ_DY/12</f>
        <v/>
      </c>
      <c r="O38" s="153">
        <f>O37*(1+PJ_G_OTIM)^(1/12)+PJ_APORTE+PJ_REINV*O37*PJ_DY/12</f>
        <v/>
      </c>
      <c r="P38" s="153">
        <f>P37*(1+PJ_CDI)^(1/12)+PJ_APORTE</f>
        <v/>
      </c>
      <c r="Q38" s="153">
        <f>N38*PJ_DY/12</f>
        <v/>
      </c>
      <c r="R38" s="153">
        <f>R37+PJ_APORTE</f>
        <v/>
      </c>
    </row>
    <row r="39">
      <c r="K39" s="151" t="n">
        <v>33</v>
      </c>
      <c r="L39" s="152">
        <f>EDATE(TODAY(),K39)</f>
        <v/>
      </c>
      <c r="M39" s="153">
        <f>M38*(1+PJ_G_PESS)^(1/12)+PJ_APORTE+PJ_REINV*M38*PJ_DY/12</f>
        <v/>
      </c>
      <c r="N39" s="153">
        <f>N38*(1+PJ_G_BASE)^(1/12)+PJ_APORTE+PJ_REINV*N38*PJ_DY/12</f>
        <v/>
      </c>
      <c r="O39" s="153">
        <f>O38*(1+PJ_G_OTIM)^(1/12)+PJ_APORTE+PJ_REINV*O38*PJ_DY/12</f>
        <v/>
      </c>
      <c r="P39" s="153">
        <f>P38*(1+PJ_CDI)^(1/12)+PJ_APORTE</f>
        <v/>
      </c>
      <c r="Q39" s="153">
        <f>N39*PJ_DY/12</f>
        <v/>
      </c>
      <c r="R39" s="153">
        <f>R38+PJ_APORTE</f>
        <v/>
      </c>
    </row>
    <row r="40">
      <c r="K40" s="151" t="n">
        <v>34</v>
      </c>
      <c r="L40" s="152">
        <f>EDATE(TODAY(),K40)</f>
        <v/>
      </c>
      <c r="M40" s="153">
        <f>M39*(1+PJ_G_PESS)^(1/12)+PJ_APORTE+PJ_REINV*M39*PJ_DY/12</f>
        <v/>
      </c>
      <c r="N40" s="153">
        <f>N39*(1+PJ_G_BASE)^(1/12)+PJ_APORTE+PJ_REINV*N39*PJ_DY/12</f>
        <v/>
      </c>
      <c r="O40" s="153">
        <f>O39*(1+PJ_G_OTIM)^(1/12)+PJ_APORTE+PJ_REINV*O39*PJ_DY/12</f>
        <v/>
      </c>
      <c r="P40" s="153">
        <f>P39*(1+PJ_CDI)^(1/12)+PJ_APORTE</f>
        <v/>
      </c>
      <c r="Q40" s="153">
        <f>N40*PJ_DY/12</f>
        <v/>
      </c>
      <c r="R40" s="153">
        <f>R39+PJ_APORTE</f>
        <v/>
      </c>
    </row>
    <row r="41">
      <c r="K41" s="151" t="n">
        <v>35</v>
      </c>
      <c r="L41" s="152">
        <f>EDATE(TODAY(),K41)</f>
        <v/>
      </c>
      <c r="M41" s="153">
        <f>M40*(1+PJ_G_PESS)^(1/12)+PJ_APORTE+PJ_REINV*M40*PJ_DY/12</f>
        <v/>
      </c>
      <c r="N41" s="153">
        <f>N40*(1+PJ_G_BASE)^(1/12)+PJ_APORTE+PJ_REINV*N40*PJ_DY/12</f>
        <v/>
      </c>
      <c r="O41" s="153">
        <f>O40*(1+PJ_G_OTIM)^(1/12)+PJ_APORTE+PJ_REINV*O40*PJ_DY/12</f>
        <v/>
      </c>
      <c r="P41" s="153">
        <f>P40*(1+PJ_CDI)^(1/12)+PJ_APORTE</f>
        <v/>
      </c>
      <c r="Q41" s="153">
        <f>N41*PJ_DY/12</f>
        <v/>
      </c>
      <c r="R41" s="153">
        <f>R40+PJ_APORTE</f>
        <v/>
      </c>
    </row>
    <row r="42">
      <c r="K42" s="151" t="n">
        <v>36</v>
      </c>
      <c r="L42" s="152">
        <f>EDATE(TODAY(),K42)</f>
        <v/>
      </c>
      <c r="M42" s="153">
        <f>M41*(1+PJ_G_PESS)^(1/12)+PJ_APORTE+PJ_REINV*M41*PJ_DY/12</f>
        <v/>
      </c>
      <c r="N42" s="153">
        <f>N41*(1+PJ_G_BASE)^(1/12)+PJ_APORTE+PJ_REINV*N41*PJ_DY/12</f>
        <v/>
      </c>
      <c r="O42" s="153">
        <f>O41*(1+PJ_G_OTIM)^(1/12)+PJ_APORTE+PJ_REINV*O41*PJ_DY/12</f>
        <v/>
      </c>
      <c r="P42" s="153">
        <f>P41*(1+PJ_CDI)^(1/12)+PJ_APORTE</f>
        <v/>
      </c>
      <c r="Q42" s="153">
        <f>N42*PJ_DY/12</f>
        <v/>
      </c>
      <c r="R42" s="153">
        <f>R41+PJ_APORTE</f>
        <v/>
      </c>
    </row>
    <row r="43">
      <c r="K43" s="151" t="n">
        <v>37</v>
      </c>
      <c r="L43" s="152">
        <f>EDATE(TODAY(),K43)</f>
        <v/>
      </c>
      <c r="M43" s="153">
        <f>M42*(1+PJ_G_PESS)^(1/12)+PJ_APORTE+PJ_REINV*M42*PJ_DY/12</f>
        <v/>
      </c>
      <c r="N43" s="153">
        <f>N42*(1+PJ_G_BASE)^(1/12)+PJ_APORTE+PJ_REINV*N42*PJ_DY/12</f>
        <v/>
      </c>
      <c r="O43" s="153">
        <f>O42*(1+PJ_G_OTIM)^(1/12)+PJ_APORTE+PJ_REINV*O42*PJ_DY/12</f>
        <v/>
      </c>
      <c r="P43" s="153">
        <f>P42*(1+PJ_CDI)^(1/12)+PJ_APORTE</f>
        <v/>
      </c>
      <c r="Q43" s="153">
        <f>N43*PJ_DY/12</f>
        <v/>
      </c>
      <c r="R43" s="153">
        <f>R42+PJ_APORTE</f>
        <v/>
      </c>
    </row>
    <row r="44">
      <c r="K44" s="151" t="n">
        <v>38</v>
      </c>
      <c r="L44" s="152">
        <f>EDATE(TODAY(),K44)</f>
        <v/>
      </c>
      <c r="M44" s="153">
        <f>M43*(1+PJ_G_PESS)^(1/12)+PJ_APORTE+PJ_REINV*M43*PJ_DY/12</f>
        <v/>
      </c>
      <c r="N44" s="153">
        <f>N43*(1+PJ_G_BASE)^(1/12)+PJ_APORTE+PJ_REINV*N43*PJ_DY/12</f>
        <v/>
      </c>
      <c r="O44" s="153">
        <f>O43*(1+PJ_G_OTIM)^(1/12)+PJ_APORTE+PJ_REINV*O43*PJ_DY/12</f>
        <v/>
      </c>
      <c r="P44" s="153">
        <f>P43*(1+PJ_CDI)^(1/12)+PJ_APORTE</f>
        <v/>
      </c>
      <c r="Q44" s="153">
        <f>N44*PJ_DY/12</f>
        <v/>
      </c>
      <c r="R44" s="153">
        <f>R43+PJ_APORTE</f>
        <v/>
      </c>
    </row>
    <row r="45">
      <c r="K45" s="151" t="n">
        <v>39</v>
      </c>
      <c r="L45" s="152">
        <f>EDATE(TODAY(),K45)</f>
        <v/>
      </c>
      <c r="M45" s="153">
        <f>M44*(1+PJ_G_PESS)^(1/12)+PJ_APORTE+PJ_REINV*M44*PJ_DY/12</f>
        <v/>
      </c>
      <c r="N45" s="153">
        <f>N44*(1+PJ_G_BASE)^(1/12)+PJ_APORTE+PJ_REINV*N44*PJ_DY/12</f>
        <v/>
      </c>
      <c r="O45" s="153">
        <f>O44*(1+PJ_G_OTIM)^(1/12)+PJ_APORTE+PJ_REINV*O44*PJ_DY/12</f>
        <v/>
      </c>
      <c r="P45" s="153">
        <f>P44*(1+PJ_CDI)^(1/12)+PJ_APORTE</f>
        <v/>
      </c>
      <c r="Q45" s="153">
        <f>N45*PJ_DY/12</f>
        <v/>
      </c>
      <c r="R45" s="153">
        <f>R44+PJ_APORTE</f>
        <v/>
      </c>
    </row>
    <row r="46">
      <c r="K46" s="151" t="n">
        <v>40</v>
      </c>
      <c r="L46" s="152">
        <f>EDATE(TODAY(),K46)</f>
        <v/>
      </c>
      <c r="M46" s="153">
        <f>M45*(1+PJ_G_PESS)^(1/12)+PJ_APORTE+PJ_REINV*M45*PJ_DY/12</f>
        <v/>
      </c>
      <c r="N46" s="153">
        <f>N45*(1+PJ_G_BASE)^(1/12)+PJ_APORTE+PJ_REINV*N45*PJ_DY/12</f>
        <v/>
      </c>
      <c r="O46" s="153">
        <f>O45*(1+PJ_G_OTIM)^(1/12)+PJ_APORTE+PJ_REINV*O45*PJ_DY/12</f>
        <v/>
      </c>
      <c r="P46" s="153">
        <f>P45*(1+PJ_CDI)^(1/12)+PJ_APORTE</f>
        <v/>
      </c>
      <c r="Q46" s="153">
        <f>N46*PJ_DY/12</f>
        <v/>
      </c>
      <c r="R46" s="153">
        <f>R45+PJ_APORTE</f>
        <v/>
      </c>
    </row>
    <row r="47">
      <c r="K47" s="151" t="n">
        <v>41</v>
      </c>
      <c r="L47" s="152">
        <f>EDATE(TODAY(),K47)</f>
        <v/>
      </c>
      <c r="M47" s="153">
        <f>M46*(1+PJ_G_PESS)^(1/12)+PJ_APORTE+PJ_REINV*M46*PJ_DY/12</f>
        <v/>
      </c>
      <c r="N47" s="153">
        <f>N46*(1+PJ_G_BASE)^(1/12)+PJ_APORTE+PJ_REINV*N46*PJ_DY/12</f>
        <v/>
      </c>
      <c r="O47" s="153">
        <f>O46*(1+PJ_G_OTIM)^(1/12)+PJ_APORTE+PJ_REINV*O46*PJ_DY/12</f>
        <v/>
      </c>
      <c r="P47" s="153">
        <f>P46*(1+PJ_CDI)^(1/12)+PJ_APORTE</f>
        <v/>
      </c>
      <c r="Q47" s="153">
        <f>N47*PJ_DY/12</f>
        <v/>
      </c>
      <c r="R47" s="153">
        <f>R46+PJ_APORTE</f>
        <v/>
      </c>
    </row>
    <row r="48">
      <c r="K48" s="151" t="n">
        <v>42</v>
      </c>
      <c r="L48" s="152">
        <f>EDATE(TODAY(),K48)</f>
        <v/>
      </c>
      <c r="M48" s="153">
        <f>M47*(1+PJ_G_PESS)^(1/12)+PJ_APORTE+PJ_REINV*M47*PJ_DY/12</f>
        <v/>
      </c>
      <c r="N48" s="153">
        <f>N47*(1+PJ_G_BASE)^(1/12)+PJ_APORTE+PJ_REINV*N47*PJ_DY/12</f>
        <v/>
      </c>
      <c r="O48" s="153">
        <f>O47*(1+PJ_G_OTIM)^(1/12)+PJ_APORTE+PJ_REINV*O47*PJ_DY/12</f>
        <v/>
      </c>
      <c r="P48" s="153">
        <f>P47*(1+PJ_CDI)^(1/12)+PJ_APORTE</f>
        <v/>
      </c>
      <c r="Q48" s="153">
        <f>N48*PJ_DY/12</f>
        <v/>
      </c>
      <c r="R48" s="153">
        <f>R47+PJ_APORTE</f>
        <v/>
      </c>
    </row>
    <row r="49">
      <c r="K49" s="151" t="n">
        <v>43</v>
      </c>
      <c r="L49" s="152">
        <f>EDATE(TODAY(),K49)</f>
        <v/>
      </c>
      <c r="M49" s="153">
        <f>M48*(1+PJ_G_PESS)^(1/12)+PJ_APORTE+PJ_REINV*M48*PJ_DY/12</f>
        <v/>
      </c>
      <c r="N49" s="153">
        <f>N48*(1+PJ_G_BASE)^(1/12)+PJ_APORTE+PJ_REINV*N48*PJ_DY/12</f>
        <v/>
      </c>
      <c r="O49" s="153">
        <f>O48*(1+PJ_G_OTIM)^(1/12)+PJ_APORTE+PJ_REINV*O48*PJ_DY/12</f>
        <v/>
      </c>
      <c r="P49" s="153">
        <f>P48*(1+PJ_CDI)^(1/12)+PJ_APORTE</f>
        <v/>
      </c>
      <c r="Q49" s="153">
        <f>N49*PJ_DY/12</f>
        <v/>
      </c>
      <c r="R49" s="153">
        <f>R48+PJ_APORTE</f>
        <v/>
      </c>
    </row>
    <row r="50">
      <c r="K50" s="151" t="n">
        <v>44</v>
      </c>
      <c r="L50" s="152">
        <f>EDATE(TODAY(),K50)</f>
        <v/>
      </c>
      <c r="M50" s="153">
        <f>M49*(1+PJ_G_PESS)^(1/12)+PJ_APORTE+PJ_REINV*M49*PJ_DY/12</f>
        <v/>
      </c>
      <c r="N50" s="153">
        <f>N49*(1+PJ_G_BASE)^(1/12)+PJ_APORTE+PJ_REINV*N49*PJ_DY/12</f>
        <v/>
      </c>
      <c r="O50" s="153">
        <f>O49*(1+PJ_G_OTIM)^(1/12)+PJ_APORTE+PJ_REINV*O49*PJ_DY/12</f>
        <v/>
      </c>
      <c r="P50" s="153">
        <f>P49*(1+PJ_CDI)^(1/12)+PJ_APORTE</f>
        <v/>
      </c>
      <c r="Q50" s="153">
        <f>N50*PJ_DY/12</f>
        <v/>
      </c>
      <c r="R50" s="153">
        <f>R49+PJ_APORTE</f>
        <v/>
      </c>
    </row>
    <row r="51">
      <c r="K51" s="151" t="n">
        <v>45</v>
      </c>
      <c r="L51" s="152">
        <f>EDATE(TODAY(),K51)</f>
        <v/>
      </c>
      <c r="M51" s="153">
        <f>M50*(1+PJ_G_PESS)^(1/12)+PJ_APORTE+PJ_REINV*M50*PJ_DY/12</f>
        <v/>
      </c>
      <c r="N51" s="153">
        <f>N50*(1+PJ_G_BASE)^(1/12)+PJ_APORTE+PJ_REINV*N50*PJ_DY/12</f>
        <v/>
      </c>
      <c r="O51" s="153">
        <f>O50*(1+PJ_G_OTIM)^(1/12)+PJ_APORTE+PJ_REINV*O50*PJ_DY/12</f>
        <v/>
      </c>
      <c r="P51" s="153">
        <f>P50*(1+PJ_CDI)^(1/12)+PJ_APORTE</f>
        <v/>
      </c>
      <c r="Q51" s="153">
        <f>N51*PJ_DY/12</f>
        <v/>
      </c>
      <c r="R51" s="153">
        <f>R50+PJ_APORTE</f>
        <v/>
      </c>
    </row>
    <row r="52">
      <c r="K52" s="151" t="n">
        <v>46</v>
      </c>
      <c r="L52" s="152">
        <f>EDATE(TODAY(),K52)</f>
        <v/>
      </c>
      <c r="M52" s="153">
        <f>M51*(1+PJ_G_PESS)^(1/12)+PJ_APORTE+PJ_REINV*M51*PJ_DY/12</f>
        <v/>
      </c>
      <c r="N52" s="153">
        <f>N51*(1+PJ_G_BASE)^(1/12)+PJ_APORTE+PJ_REINV*N51*PJ_DY/12</f>
        <v/>
      </c>
      <c r="O52" s="153">
        <f>O51*(1+PJ_G_OTIM)^(1/12)+PJ_APORTE+PJ_REINV*O51*PJ_DY/12</f>
        <v/>
      </c>
      <c r="P52" s="153">
        <f>P51*(1+PJ_CDI)^(1/12)+PJ_APORTE</f>
        <v/>
      </c>
      <c r="Q52" s="153">
        <f>N52*PJ_DY/12</f>
        <v/>
      </c>
      <c r="R52" s="153">
        <f>R51+PJ_APORTE</f>
        <v/>
      </c>
    </row>
    <row r="53">
      <c r="K53" s="151" t="n">
        <v>47</v>
      </c>
      <c r="L53" s="152">
        <f>EDATE(TODAY(),K53)</f>
        <v/>
      </c>
      <c r="M53" s="153">
        <f>M52*(1+PJ_G_PESS)^(1/12)+PJ_APORTE+PJ_REINV*M52*PJ_DY/12</f>
        <v/>
      </c>
      <c r="N53" s="153">
        <f>N52*(1+PJ_G_BASE)^(1/12)+PJ_APORTE+PJ_REINV*N52*PJ_DY/12</f>
        <v/>
      </c>
      <c r="O53" s="153">
        <f>O52*(1+PJ_G_OTIM)^(1/12)+PJ_APORTE+PJ_REINV*O52*PJ_DY/12</f>
        <v/>
      </c>
      <c r="P53" s="153">
        <f>P52*(1+PJ_CDI)^(1/12)+PJ_APORTE</f>
        <v/>
      </c>
      <c r="Q53" s="153">
        <f>N53*PJ_DY/12</f>
        <v/>
      </c>
      <c r="R53" s="153">
        <f>R52+PJ_APORTE</f>
        <v/>
      </c>
    </row>
    <row r="54">
      <c r="K54" s="151" t="n">
        <v>48</v>
      </c>
      <c r="L54" s="152">
        <f>EDATE(TODAY(),K54)</f>
        <v/>
      </c>
      <c r="M54" s="153">
        <f>M53*(1+PJ_G_PESS)^(1/12)+PJ_APORTE+PJ_REINV*M53*PJ_DY/12</f>
        <v/>
      </c>
      <c r="N54" s="153">
        <f>N53*(1+PJ_G_BASE)^(1/12)+PJ_APORTE+PJ_REINV*N53*PJ_DY/12</f>
        <v/>
      </c>
      <c r="O54" s="153">
        <f>O53*(1+PJ_G_OTIM)^(1/12)+PJ_APORTE+PJ_REINV*O53*PJ_DY/12</f>
        <v/>
      </c>
      <c r="P54" s="153">
        <f>P53*(1+PJ_CDI)^(1/12)+PJ_APORTE</f>
        <v/>
      </c>
      <c r="Q54" s="153">
        <f>N54*PJ_DY/12</f>
        <v/>
      </c>
      <c r="R54" s="153">
        <f>R53+PJ_APORTE</f>
        <v/>
      </c>
    </row>
    <row r="55">
      <c r="K55" s="151" t="n">
        <v>49</v>
      </c>
      <c r="L55" s="152">
        <f>EDATE(TODAY(),K55)</f>
        <v/>
      </c>
      <c r="M55" s="153">
        <f>M54*(1+PJ_G_PESS)^(1/12)+PJ_APORTE+PJ_REINV*M54*PJ_DY/12</f>
        <v/>
      </c>
      <c r="N55" s="153">
        <f>N54*(1+PJ_G_BASE)^(1/12)+PJ_APORTE+PJ_REINV*N54*PJ_DY/12</f>
        <v/>
      </c>
      <c r="O55" s="153">
        <f>O54*(1+PJ_G_OTIM)^(1/12)+PJ_APORTE+PJ_REINV*O54*PJ_DY/12</f>
        <v/>
      </c>
      <c r="P55" s="153">
        <f>P54*(1+PJ_CDI)^(1/12)+PJ_APORTE</f>
        <v/>
      </c>
      <c r="Q55" s="153">
        <f>N55*PJ_DY/12</f>
        <v/>
      </c>
      <c r="R55" s="153">
        <f>R54+PJ_APORTE</f>
        <v/>
      </c>
    </row>
    <row r="56">
      <c r="K56" s="151" t="n">
        <v>50</v>
      </c>
      <c r="L56" s="152">
        <f>EDATE(TODAY(),K56)</f>
        <v/>
      </c>
      <c r="M56" s="153">
        <f>M55*(1+PJ_G_PESS)^(1/12)+PJ_APORTE+PJ_REINV*M55*PJ_DY/12</f>
        <v/>
      </c>
      <c r="N56" s="153">
        <f>N55*(1+PJ_G_BASE)^(1/12)+PJ_APORTE+PJ_REINV*N55*PJ_DY/12</f>
        <v/>
      </c>
      <c r="O56" s="153">
        <f>O55*(1+PJ_G_OTIM)^(1/12)+PJ_APORTE+PJ_REINV*O55*PJ_DY/12</f>
        <v/>
      </c>
      <c r="P56" s="153">
        <f>P55*(1+PJ_CDI)^(1/12)+PJ_APORTE</f>
        <v/>
      </c>
      <c r="Q56" s="153">
        <f>N56*PJ_DY/12</f>
        <v/>
      </c>
      <c r="R56" s="153">
        <f>R55+PJ_APORTE</f>
        <v/>
      </c>
    </row>
    <row r="57">
      <c r="K57" s="151" t="n">
        <v>51</v>
      </c>
      <c r="L57" s="152">
        <f>EDATE(TODAY(),K57)</f>
        <v/>
      </c>
      <c r="M57" s="153">
        <f>M56*(1+PJ_G_PESS)^(1/12)+PJ_APORTE+PJ_REINV*M56*PJ_DY/12</f>
        <v/>
      </c>
      <c r="N57" s="153">
        <f>N56*(1+PJ_G_BASE)^(1/12)+PJ_APORTE+PJ_REINV*N56*PJ_DY/12</f>
        <v/>
      </c>
      <c r="O57" s="153">
        <f>O56*(1+PJ_G_OTIM)^(1/12)+PJ_APORTE+PJ_REINV*O56*PJ_DY/12</f>
        <v/>
      </c>
      <c r="P57" s="153">
        <f>P56*(1+PJ_CDI)^(1/12)+PJ_APORTE</f>
        <v/>
      </c>
      <c r="Q57" s="153">
        <f>N57*PJ_DY/12</f>
        <v/>
      </c>
      <c r="R57" s="153">
        <f>R56+PJ_APORTE</f>
        <v/>
      </c>
    </row>
    <row r="58">
      <c r="K58" s="151" t="n">
        <v>52</v>
      </c>
      <c r="L58" s="152">
        <f>EDATE(TODAY(),K58)</f>
        <v/>
      </c>
      <c r="M58" s="153">
        <f>M57*(1+PJ_G_PESS)^(1/12)+PJ_APORTE+PJ_REINV*M57*PJ_DY/12</f>
        <v/>
      </c>
      <c r="N58" s="153">
        <f>N57*(1+PJ_G_BASE)^(1/12)+PJ_APORTE+PJ_REINV*N57*PJ_DY/12</f>
        <v/>
      </c>
      <c r="O58" s="153">
        <f>O57*(1+PJ_G_OTIM)^(1/12)+PJ_APORTE+PJ_REINV*O57*PJ_DY/12</f>
        <v/>
      </c>
      <c r="P58" s="153">
        <f>P57*(1+PJ_CDI)^(1/12)+PJ_APORTE</f>
        <v/>
      </c>
      <c r="Q58" s="153">
        <f>N58*PJ_DY/12</f>
        <v/>
      </c>
      <c r="R58" s="153">
        <f>R57+PJ_APORTE</f>
        <v/>
      </c>
    </row>
    <row r="59">
      <c r="K59" s="151" t="n">
        <v>53</v>
      </c>
      <c r="L59" s="152">
        <f>EDATE(TODAY(),K59)</f>
        <v/>
      </c>
      <c r="M59" s="153">
        <f>M58*(1+PJ_G_PESS)^(1/12)+PJ_APORTE+PJ_REINV*M58*PJ_DY/12</f>
        <v/>
      </c>
      <c r="N59" s="153">
        <f>N58*(1+PJ_G_BASE)^(1/12)+PJ_APORTE+PJ_REINV*N58*PJ_DY/12</f>
        <v/>
      </c>
      <c r="O59" s="153">
        <f>O58*(1+PJ_G_OTIM)^(1/12)+PJ_APORTE+PJ_REINV*O58*PJ_DY/12</f>
        <v/>
      </c>
      <c r="P59" s="153">
        <f>P58*(1+PJ_CDI)^(1/12)+PJ_APORTE</f>
        <v/>
      </c>
      <c r="Q59" s="153">
        <f>N59*PJ_DY/12</f>
        <v/>
      </c>
      <c r="R59" s="153">
        <f>R58+PJ_APORTE</f>
        <v/>
      </c>
    </row>
    <row r="60">
      <c r="K60" s="151" t="n">
        <v>54</v>
      </c>
      <c r="L60" s="152">
        <f>EDATE(TODAY(),K60)</f>
        <v/>
      </c>
      <c r="M60" s="153">
        <f>M59*(1+PJ_G_PESS)^(1/12)+PJ_APORTE+PJ_REINV*M59*PJ_DY/12</f>
        <v/>
      </c>
      <c r="N60" s="153">
        <f>N59*(1+PJ_G_BASE)^(1/12)+PJ_APORTE+PJ_REINV*N59*PJ_DY/12</f>
        <v/>
      </c>
      <c r="O60" s="153">
        <f>O59*(1+PJ_G_OTIM)^(1/12)+PJ_APORTE+PJ_REINV*O59*PJ_DY/12</f>
        <v/>
      </c>
      <c r="P60" s="153">
        <f>P59*(1+PJ_CDI)^(1/12)+PJ_APORTE</f>
        <v/>
      </c>
      <c r="Q60" s="153">
        <f>N60*PJ_DY/12</f>
        <v/>
      </c>
      <c r="R60" s="153">
        <f>R59+PJ_APORTE</f>
        <v/>
      </c>
    </row>
    <row r="61">
      <c r="K61" s="151" t="n">
        <v>55</v>
      </c>
      <c r="L61" s="152">
        <f>EDATE(TODAY(),K61)</f>
        <v/>
      </c>
      <c r="M61" s="153">
        <f>M60*(1+PJ_G_PESS)^(1/12)+PJ_APORTE+PJ_REINV*M60*PJ_DY/12</f>
        <v/>
      </c>
      <c r="N61" s="153">
        <f>N60*(1+PJ_G_BASE)^(1/12)+PJ_APORTE+PJ_REINV*N60*PJ_DY/12</f>
        <v/>
      </c>
      <c r="O61" s="153">
        <f>O60*(1+PJ_G_OTIM)^(1/12)+PJ_APORTE+PJ_REINV*O60*PJ_DY/12</f>
        <v/>
      </c>
      <c r="P61" s="153">
        <f>P60*(1+PJ_CDI)^(1/12)+PJ_APORTE</f>
        <v/>
      </c>
      <c r="Q61" s="153">
        <f>N61*PJ_DY/12</f>
        <v/>
      </c>
      <c r="R61" s="153">
        <f>R60+PJ_APORTE</f>
        <v/>
      </c>
    </row>
    <row r="62">
      <c r="K62" s="151" t="n">
        <v>56</v>
      </c>
      <c r="L62" s="152">
        <f>EDATE(TODAY(),K62)</f>
        <v/>
      </c>
      <c r="M62" s="153">
        <f>M61*(1+PJ_G_PESS)^(1/12)+PJ_APORTE+PJ_REINV*M61*PJ_DY/12</f>
        <v/>
      </c>
      <c r="N62" s="153">
        <f>N61*(1+PJ_G_BASE)^(1/12)+PJ_APORTE+PJ_REINV*N61*PJ_DY/12</f>
        <v/>
      </c>
      <c r="O62" s="153">
        <f>O61*(1+PJ_G_OTIM)^(1/12)+PJ_APORTE+PJ_REINV*O61*PJ_DY/12</f>
        <v/>
      </c>
      <c r="P62" s="153">
        <f>P61*(1+PJ_CDI)^(1/12)+PJ_APORTE</f>
        <v/>
      </c>
      <c r="Q62" s="153">
        <f>N62*PJ_DY/12</f>
        <v/>
      </c>
      <c r="R62" s="153">
        <f>R61+PJ_APORTE</f>
        <v/>
      </c>
    </row>
    <row r="63">
      <c r="K63" s="151" t="n">
        <v>57</v>
      </c>
      <c r="L63" s="152">
        <f>EDATE(TODAY(),K63)</f>
        <v/>
      </c>
      <c r="M63" s="153">
        <f>M62*(1+PJ_G_PESS)^(1/12)+PJ_APORTE+PJ_REINV*M62*PJ_DY/12</f>
        <v/>
      </c>
      <c r="N63" s="153">
        <f>N62*(1+PJ_G_BASE)^(1/12)+PJ_APORTE+PJ_REINV*N62*PJ_DY/12</f>
        <v/>
      </c>
      <c r="O63" s="153">
        <f>O62*(1+PJ_G_OTIM)^(1/12)+PJ_APORTE+PJ_REINV*O62*PJ_DY/12</f>
        <v/>
      </c>
      <c r="P63" s="153">
        <f>P62*(1+PJ_CDI)^(1/12)+PJ_APORTE</f>
        <v/>
      </c>
      <c r="Q63" s="153">
        <f>N63*PJ_DY/12</f>
        <v/>
      </c>
      <c r="R63" s="153">
        <f>R62+PJ_APORTE</f>
        <v/>
      </c>
    </row>
    <row r="64">
      <c r="K64" s="151" t="n">
        <v>58</v>
      </c>
      <c r="L64" s="152">
        <f>EDATE(TODAY(),K64)</f>
        <v/>
      </c>
      <c r="M64" s="153">
        <f>M63*(1+PJ_G_PESS)^(1/12)+PJ_APORTE+PJ_REINV*M63*PJ_DY/12</f>
        <v/>
      </c>
      <c r="N64" s="153">
        <f>N63*(1+PJ_G_BASE)^(1/12)+PJ_APORTE+PJ_REINV*N63*PJ_DY/12</f>
        <v/>
      </c>
      <c r="O64" s="153">
        <f>O63*(1+PJ_G_OTIM)^(1/12)+PJ_APORTE+PJ_REINV*O63*PJ_DY/12</f>
        <v/>
      </c>
      <c r="P64" s="153">
        <f>P63*(1+PJ_CDI)^(1/12)+PJ_APORTE</f>
        <v/>
      </c>
      <c r="Q64" s="153">
        <f>N64*PJ_DY/12</f>
        <v/>
      </c>
      <c r="R64" s="153">
        <f>R63+PJ_APORTE</f>
        <v/>
      </c>
    </row>
    <row r="65">
      <c r="K65" s="151" t="n">
        <v>59</v>
      </c>
      <c r="L65" s="152">
        <f>EDATE(TODAY(),K65)</f>
        <v/>
      </c>
      <c r="M65" s="153">
        <f>M64*(1+PJ_G_PESS)^(1/12)+PJ_APORTE+PJ_REINV*M64*PJ_DY/12</f>
        <v/>
      </c>
      <c r="N65" s="153">
        <f>N64*(1+PJ_G_BASE)^(1/12)+PJ_APORTE+PJ_REINV*N64*PJ_DY/12</f>
        <v/>
      </c>
      <c r="O65" s="153">
        <f>O64*(1+PJ_G_OTIM)^(1/12)+PJ_APORTE+PJ_REINV*O64*PJ_DY/12</f>
        <v/>
      </c>
      <c r="P65" s="153">
        <f>P64*(1+PJ_CDI)^(1/12)+PJ_APORTE</f>
        <v/>
      </c>
      <c r="Q65" s="153">
        <f>N65*PJ_DY/12</f>
        <v/>
      </c>
      <c r="R65" s="153">
        <f>R64+PJ_APORTE</f>
        <v/>
      </c>
    </row>
    <row r="66">
      <c r="K66" s="151" t="n">
        <v>60</v>
      </c>
      <c r="L66" s="152">
        <f>EDATE(TODAY(),K66)</f>
        <v/>
      </c>
      <c r="M66" s="153">
        <f>M65*(1+PJ_G_PESS)^(1/12)+PJ_APORTE+PJ_REINV*M65*PJ_DY/12</f>
        <v/>
      </c>
      <c r="N66" s="153">
        <f>N65*(1+PJ_G_BASE)^(1/12)+PJ_APORTE+PJ_REINV*N65*PJ_DY/12</f>
        <v/>
      </c>
      <c r="O66" s="153">
        <f>O65*(1+PJ_G_OTIM)^(1/12)+PJ_APORTE+PJ_REINV*O65*PJ_DY/12</f>
        <v/>
      </c>
      <c r="P66" s="153">
        <f>P65*(1+PJ_CDI)^(1/12)+PJ_APORTE</f>
        <v/>
      </c>
      <c r="Q66" s="153">
        <f>N66*PJ_DY/12</f>
        <v/>
      </c>
      <c r="R66" s="153">
        <f>R65+PJ_APORTE</f>
        <v/>
      </c>
    </row>
    <row r="67">
      <c r="K67" s="151" t="n">
        <v>61</v>
      </c>
      <c r="L67" s="152">
        <f>EDATE(TODAY(),K67)</f>
        <v/>
      </c>
      <c r="M67" s="153">
        <f>M66*(1+PJ_G_PESS)^(1/12)+PJ_APORTE+PJ_REINV*M66*PJ_DY/12</f>
        <v/>
      </c>
      <c r="N67" s="153">
        <f>N66*(1+PJ_G_BASE)^(1/12)+PJ_APORTE+PJ_REINV*N66*PJ_DY/12</f>
        <v/>
      </c>
      <c r="O67" s="153">
        <f>O66*(1+PJ_G_OTIM)^(1/12)+PJ_APORTE+PJ_REINV*O66*PJ_DY/12</f>
        <v/>
      </c>
      <c r="P67" s="153">
        <f>P66*(1+PJ_CDI)^(1/12)+PJ_APORTE</f>
        <v/>
      </c>
      <c r="Q67" s="153">
        <f>N67*PJ_DY/12</f>
        <v/>
      </c>
      <c r="R67" s="153">
        <f>R66+PJ_APORTE</f>
        <v/>
      </c>
    </row>
    <row r="68">
      <c r="K68" s="151" t="n">
        <v>62</v>
      </c>
      <c r="L68" s="152">
        <f>EDATE(TODAY(),K68)</f>
        <v/>
      </c>
      <c r="M68" s="153">
        <f>M67*(1+PJ_G_PESS)^(1/12)+PJ_APORTE+PJ_REINV*M67*PJ_DY/12</f>
        <v/>
      </c>
      <c r="N68" s="153">
        <f>N67*(1+PJ_G_BASE)^(1/12)+PJ_APORTE+PJ_REINV*N67*PJ_DY/12</f>
        <v/>
      </c>
      <c r="O68" s="153">
        <f>O67*(1+PJ_G_OTIM)^(1/12)+PJ_APORTE+PJ_REINV*O67*PJ_DY/12</f>
        <v/>
      </c>
      <c r="P68" s="153">
        <f>P67*(1+PJ_CDI)^(1/12)+PJ_APORTE</f>
        <v/>
      </c>
      <c r="Q68" s="153">
        <f>N68*PJ_DY/12</f>
        <v/>
      </c>
      <c r="R68" s="153">
        <f>R67+PJ_APORTE</f>
        <v/>
      </c>
    </row>
    <row r="69">
      <c r="K69" s="151" t="n">
        <v>63</v>
      </c>
      <c r="L69" s="152">
        <f>EDATE(TODAY(),K69)</f>
        <v/>
      </c>
      <c r="M69" s="153">
        <f>M68*(1+PJ_G_PESS)^(1/12)+PJ_APORTE+PJ_REINV*M68*PJ_DY/12</f>
        <v/>
      </c>
      <c r="N69" s="153">
        <f>N68*(1+PJ_G_BASE)^(1/12)+PJ_APORTE+PJ_REINV*N68*PJ_DY/12</f>
        <v/>
      </c>
      <c r="O69" s="153">
        <f>O68*(1+PJ_G_OTIM)^(1/12)+PJ_APORTE+PJ_REINV*O68*PJ_DY/12</f>
        <v/>
      </c>
      <c r="P69" s="153">
        <f>P68*(1+PJ_CDI)^(1/12)+PJ_APORTE</f>
        <v/>
      </c>
      <c r="Q69" s="153">
        <f>N69*PJ_DY/12</f>
        <v/>
      </c>
      <c r="R69" s="153">
        <f>R68+PJ_APORTE</f>
        <v/>
      </c>
    </row>
    <row r="70">
      <c r="K70" s="151" t="n">
        <v>64</v>
      </c>
      <c r="L70" s="152">
        <f>EDATE(TODAY(),K70)</f>
        <v/>
      </c>
      <c r="M70" s="153">
        <f>M69*(1+PJ_G_PESS)^(1/12)+PJ_APORTE+PJ_REINV*M69*PJ_DY/12</f>
        <v/>
      </c>
      <c r="N70" s="153">
        <f>N69*(1+PJ_G_BASE)^(1/12)+PJ_APORTE+PJ_REINV*N69*PJ_DY/12</f>
        <v/>
      </c>
      <c r="O70" s="153">
        <f>O69*(1+PJ_G_OTIM)^(1/12)+PJ_APORTE+PJ_REINV*O69*PJ_DY/12</f>
        <v/>
      </c>
      <c r="P70" s="153">
        <f>P69*(1+PJ_CDI)^(1/12)+PJ_APORTE</f>
        <v/>
      </c>
      <c r="Q70" s="153">
        <f>N70*PJ_DY/12</f>
        <v/>
      </c>
      <c r="R70" s="153">
        <f>R69+PJ_APORTE</f>
        <v/>
      </c>
    </row>
    <row r="71">
      <c r="K71" s="151" t="n">
        <v>65</v>
      </c>
      <c r="L71" s="152">
        <f>EDATE(TODAY(),K71)</f>
        <v/>
      </c>
      <c r="M71" s="153">
        <f>M70*(1+PJ_G_PESS)^(1/12)+PJ_APORTE+PJ_REINV*M70*PJ_DY/12</f>
        <v/>
      </c>
      <c r="N71" s="153">
        <f>N70*(1+PJ_G_BASE)^(1/12)+PJ_APORTE+PJ_REINV*N70*PJ_DY/12</f>
        <v/>
      </c>
      <c r="O71" s="153">
        <f>O70*(1+PJ_G_OTIM)^(1/12)+PJ_APORTE+PJ_REINV*O70*PJ_DY/12</f>
        <v/>
      </c>
      <c r="P71" s="153">
        <f>P70*(1+PJ_CDI)^(1/12)+PJ_APORTE</f>
        <v/>
      </c>
      <c r="Q71" s="153">
        <f>N71*PJ_DY/12</f>
        <v/>
      </c>
      <c r="R71" s="153">
        <f>R70+PJ_APORTE</f>
        <v/>
      </c>
    </row>
    <row r="72">
      <c r="K72" s="151" t="n">
        <v>66</v>
      </c>
      <c r="L72" s="152">
        <f>EDATE(TODAY(),K72)</f>
        <v/>
      </c>
      <c r="M72" s="153">
        <f>M71*(1+PJ_G_PESS)^(1/12)+PJ_APORTE+PJ_REINV*M71*PJ_DY/12</f>
        <v/>
      </c>
      <c r="N72" s="153">
        <f>N71*(1+PJ_G_BASE)^(1/12)+PJ_APORTE+PJ_REINV*N71*PJ_DY/12</f>
        <v/>
      </c>
      <c r="O72" s="153">
        <f>O71*(1+PJ_G_OTIM)^(1/12)+PJ_APORTE+PJ_REINV*O71*PJ_DY/12</f>
        <v/>
      </c>
      <c r="P72" s="153">
        <f>P71*(1+PJ_CDI)^(1/12)+PJ_APORTE</f>
        <v/>
      </c>
      <c r="Q72" s="153">
        <f>N72*PJ_DY/12</f>
        <v/>
      </c>
      <c r="R72" s="153">
        <f>R71+PJ_APORTE</f>
        <v/>
      </c>
    </row>
    <row r="73">
      <c r="K73" s="151" t="n">
        <v>67</v>
      </c>
      <c r="L73" s="152">
        <f>EDATE(TODAY(),K73)</f>
        <v/>
      </c>
      <c r="M73" s="153">
        <f>M72*(1+PJ_G_PESS)^(1/12)+PJ_APORTE+PJ_REINV*M72*PJ_DY/12</f>
        <v/>
      </c>
      <c r="N73" s="153">
        <f>N72*(1+PJ_G_BASE)^(1/12)+PJ_APORTE+PJ_REINV*N72*PJ_DY/12</f>
        <v/>
      </c>
      <c r="O73" s="153">
        <f>O72*(1+PJ_G_OTIM)^(1/12)+PJ_APORTE+PJ_REINV*O72*PJ_DY/12</f>
        <v/>
      </c>
      <c r="P73" s="153">
        <f>P72*(1+PJ_CDI)^(1/12)+PJ_APORTE</f>
        <v/>
      </c>
      <c r="Q73" s="153">
        <f>N73*PJ_DY/12</f>
        <v/>
      </c>
      <c r="R73" s="153">
        <f>R72+PJ_APORTE</f>
        <v/>
      </c>
    </row>
    <row r="74">
      <c r="K74" s="151" t="n">
        <v>68</v>
      </c>
      <c r="L74" s="152">
        <f>EDATE(TODAY(),K74)</f>
        <v/>
      </c>
      <c r="M74" s="153">
        <f>M73*(1+PJ_G_PESS)^(1/12)+PJ_APORTE+PJ_REINV*M73*PJ_DY/12</f>
        <v/>
      </c>
      <c r="N74" s="153">
        <f>N73*(1+PJ_G_BASE)^(1/12)+PJ_APORTE+PJ_REINV*N73*PJ_DY/12</f>
        <v/>
      </c>
      <c r="O74" s="153">
        <f>O73*(1+PJ_G_OTIM)^(1/12)+PJ_APORTE+PJ_REINV*O73*PJ_DY/12</f>
        <v/>
      </c>
      <c r="P74" s="153">
        <f>P73*(1+PJ_CDI)^(1/12)+PJ_APORTE</f>
        <v/>
      </c>
      <c r="Q74" s="153">
        <f>N74*PJ_DY/12</f>
        <v/>
      </c>
      <c r="R74" s="153">
        <f>R73+PJ_APORTE</f>
        <v/>
      </c>
    </row>
    <row r="75">
      <c r="K75" s="151" t="n">
        <v>69</v>
      </c>
      <c r="L75" s="152">
        <f>EDATE(TODAY(),K75)</f>
        <v/>
      </c>
      <c r="M75" s="153">
        <f>M74*(1+PJ_G_PESS)^(1/12)+PJ_APORTE+PJ_REINV*M74*PJ_DY/12</f>
        <v/>
      </c>
      <c r="N75" s="153">
        <f>N74*(1+PJ_G_BASE)^(1/12)+PJ_APORTE+PJ_REINV*N74*PJ_DY/12</f>
        <v/>
      </c>
      <c r="O75" s="153">
        <f>O74*(1+PJ_G_OTIM)^(1/12)+PJ_APORTE+PJ_REINV*O74*PJ_DY/12</f>
        <v/>
      </c>
      <c r="P75" s="153">
        <f>P74*(1+PJ_CDI)^(1/12)+PJ_APORTE</f>
        <v/>
      </c>
      <c r="Q75" s="153">
        <f>N75*PJ_DY/12</f>
        <v/>
      </c>
      <c r="R75" s="153">
        <f>R74+PJ_APORTE</f>
        <v/>
      </c>
    </row>
    <row r="76">
      <c r="K76" s="151" t="n">
        <v>70</v>
      </c>
      <c r="L76" s="152">
        <f>EDATE(TODAY(),K76)</f>
        <v/>
      </c>
      <c r="M76" s="153">
        <f>M75*(1+PJ_G_PESS)^(1/12)+PJ_APORTE+PJ_REINV*M75*PJ_DY/12</f>
        <v/>
      </c>
      <c r="N76" s="153">
        <f>N75*(1+PJ_G_BASE)^(1/12)+PJ_APORTE+PJ_REINV*N75*PJ_DY/12</f>
        <v/>
      </c>
      <c r="O76" s="153">
        <f>O75*(1+PJ_G_OTIM)^(1/12)+PJ_APORTE+PJ_REINV*O75*PJ_DY/12</f>
        <v/>
      </c>
      <c r="P76" s="153">
        <f>P75*(1+PJ_CDI)^(1/12)+PJ_APORTE</f>
        <v/>
      </c>
      <c r="Q76" s="153">
        <f>N76*PJ_DY/12</f>
        <v/>
      </c>
      <c r="R76" s="153">
        <f>R75+PJ_APORTE</f>
        <v/>
      </c>
    </row>
    <row r="77">
      <c r="K77" s="151" t="n">
        <v>71</v>
      </c>
      <c r="L77" s="152">
        <f>EDATE(TODAY(),K77)</f>
        <v/>
      </c>
      <c r="M77" s="153">
        <f>M76*(1+PJ_G_PESS)^(1/12)+PJ_APORTE+PJ_REINV*M76*PJ_DY/12</f>
        <v/>
      </c>
      <c r="N77" s="153">
        <f>N76*(1+PJ_G_BASE)^(1/12)+PJ_APORTE+PJ_REINV*N76*PJ_DY/12</f>
        <v/>
      </c>
      <c r="O77" s="153">
        <f>O76*(1+PJ_G_OTIM)^(1/12)+PJ_APORTE+PJ_REINV*O76*PJ_DY/12</f>
        <v/>
      </c>
      <c r="P77" s="153">
        <f>P76*(1+PJ_CDI)^(1/12)+PJ_APORTE</f>
        <v/>
      </c>
      <c r="Q77" s="153">
        <f>N77*PJ_DY/12</f>
        <v/>
      </c>
      <c r="R77" s="153">
        <f>R76+PJ_APORTE</f>
        <v/>
      </c>
    </row>
    <row r="78">
      <c r="K78" s="151" t="n">
        <v>72</v>
      </c>
      <c r="L78" s="152">
        <f>EDATE(TODAY(),K78)</f>
        <v/>
      </c>
      <c r="M78" s="153">
        <f>M77*(1+PJ_G_PESS)^(1/12)+PJ_APORTE+PJ_REINV*M77*PJ_DY/12</f>
        <v/>
      </c>
      <c r="N78" s="153">
        <f>N77*(1+PJ_G_BASE)^(1/12)+PJ_APORTE+PJ_REINV*N77*PJ_DY/12</f>
        <v/>
      </c>
      <c r="O78" s="153">
        <f>O77*(1+PJ_G_OTIM)^(1/12)+PJ_APORTE+PJ_REINV*O77*PJ_DY/12</f>
        <v/>
      </c>
      <c r="P78" s="153">
        <f>P77*(1+PJ_CDI)^(1/12)+PJ_APORTE</f>
        <v/>
      </c>
      <c r="Q78" s="153">
        <f>N78*PJ_DY/12</f>
        <v/>
      </c>
      <c r="R78" s="153">
        <f>R77+PJ_APORTE</f>
        <v/>
      </c>
    </row>
    <row r="79">
      <c r="K79" s="151" t="n">
        <v>73</v>
      </c>
      <c r="L79" s="152">
        <f>EDATE(TODAY(),K79)</f>
        <v/>
      </c>
      <c r="M79" s="153">
        <f>M78*(1+PJ_G_PESS)^(1/12)+PJ_APORTE+PJ_REINV*M78*PJ_DY/12</f>
        <v/>
      </c>
      <c r="N79" s="153">
        <f>N78*(1+PJ_G_BASE)^(1/12)+PJ_APORTE+PJ_REINV*N78*PJ_DY/12</f>
        <v/>
      </c>
      <c r="O79" s="153">
        <f>O78*(1+PJ_G_OTIM)^(1/12)+PJ_APORTE+PJ_REINV*O78*PJ_DY/12</f>
        <v/>
      </c>
      <c r="P79" s="153">
        <f>P78*(1+PJ_CDI)^(1/12)+PJ_APORTE</f>
        <v/>
      </c>
      <c r="Q79" s="153">
        <f>N79*PJ_DY/12</f>
        <v/>
      </c>
      <c r="R79" s="153">
        <f>R78+PJ_APORTE</f>
        <v/>
      </c>
    </row>
    <row r="80">
      <c r="K80" s="151" t="n">
        <v>74</v>
      </c>
      <c r="L80" s="152">
        <f>EDATE(TODAY(),K80)</f>
        <v/>
      </c>
      <c r="M80" s="153">
        <f>M79*(1+PJ_G_PESS)^(1/12)+PJ_APORTE+PJ_REINV*M79*PJ_DY/12</f>
        <v/>
      </c>
      <c r="N80" s="153">
        <f>N79*(1+PJ_G_BASE)^(1/12)+PJ_APORTE+PJ_REINV*N79*PJ_DY/12</f>
        <v/>
      </c>
      <c r="O80" s="153">
        <f>O79*(1+PJ_G_OTIM)^(1/12)+PJ_APORTE+PJ_REINV*O79*PJ_DY/12</f>
        <v/>
      </c>
      <c r="P80" s="153">
        <f>P79*(1+PJ_CDI)^(1/12)+PJ_APORTE</f>
        <v/>
      </c>
      <c r="Q80" s="153">
        <f>N80*PJ_DY/12</f>
        <v/>
      </c>
      <c r="R80" s="153">
        <f>R79+PJ_APORTE</f>
        <v/>
      </c>
    </row>
    <row r="81">
      <c r="K81" s="151" t="n">
        <v>75</v>
      </c>
      <c r="L81" s="152">
        <f>EDATE(TODAY(),K81)</f>
        <v/>
      </c>
      <c r="M81" s="153">
        <f>M80*(1+PJ_G_PESS)^(1/12)+PJ_APORTE+PJ_REINV*M80*PJ_DY/12</f>
        <v/>
      </c>
      <c r="N81" s="153">
        <f>N80*(1+PJ_G_BASE)^(1/12)+PJ_APORTE+PJ_REINV*N80*PJ_DY/12</f>
        <v/>
      </c>
      <c r="O81" s="153">
        <f>O80*(1+PJ_G_OTIM)^(1/12)+PJ_APORTE+PJ_REINV*O80*PJ_DY/12</f>
        <v/>
      </c>
      <c r="P81" s="153">
        <f>P80*(1+PJ_CDI)^(1/12)+PJ_APORTE</f>
        <v/>
      </c>
      <c r="Q81" s="153">
        <f>N81*PJ_DY/12</f>
        <v/>
      </c>
      <c r="R81" s="153">
        <f>R80+PJ_APORTE</f>
        <v/>
      </c>
    </row>
    <row r="82">
      <c r="K82" s="151" t="n">
        <v>76</v>
      </c>
      <c r="L82" s="152">
        <f>EDATE(TODAY(),K82)</f>
        <v/>
      </c>
      <c r="M82" s="153">
        <f>M81*(1+PJ_G_PESS)^(1/12)+PJ_APORTE+PJ_REINV*M81*PJ_DY/12</f>
        <v/>
      </c>
      <c r="N82" s="153">
        <f>N81*(1+PJ_G_BASE)^(1/12)+PJ_APORTE+PJ_REINV*N81*PJ_DY/12</f>
        <v/>
      </c>
      <c r="O82" s="153">
        <f>O81*(1+PJ_G_OTIM)^(1/12)+PJ_APORTE+PJ_REINV*O81*PJ_DY/12</f>
        <v/>
      </c>
      <c r="P82" s="153">
        <f>P81*(1+PJ_CDI)^(1/12)+PJ_APORTE</f>
        <v/>
      </c>
      <c r="Q82" s="153">
        <f>N82*PJ_DY/12</f>
        <v/>
      </c>
      <c r="R82" s="153">
        <f>R81+PJ_APORTE</f>
        <v/>
      </c>
    </row>
    <row r="83">
      <c r="K83" s="151" t="n">
        <v>77</v>
      </c>
      <c r="L83" s="152">
        <f>EDATE(TODAY(),K83)</f>
        <v/>
      </c>
      <c r="M83" s="153">
        <f>M82*(1+PJ_G_PESS)^(1/12)+PJ_APORTE+PJ_REINV*M82*PJ_DY/12</f>
        <v/>
      </c>
      <c r="N83" s="153">
        <f>N82*(1+PJ_G_BASE)^(1/12)+PJ_APORTE+PJ_REINV*N82*PJ_DY/12</f>
        <v/>
      </c>
      <c r="O83" s="153">
        <f>O82*(1+PJ_G_OTIM)^(1/12)+PJ_APORTE+PJ_REINV*O82*PJ_DY/12</f>
        <v/>
      </c>
      <c r="P83" s="153">
        <f>P82*(1+PJ_CDI)^(1/12)+PJ_APORTE</f>
        <v/>
      </c>
      <c r="Q83" s="153">
        <f>N83*PJ_DY/12</f>
        <v/>
      </c>
      <c r="R83" s="153">
        <f>R82+PJ_APORTE</f>
        <v/>
      </c>
    </row>
    <row r="84">
      <c r="K84" s="151" t="n">
        <v>78</v>
      </c>
      <c r="L84" s="152">
        <f>EDATE(TODAY(),K84)</f>
        <v/>
      </c>
      <c r="M84" s="153">
        <f>M83*(1+PJ_G_PESS)^(1/12)+PJ_APORTE+PJ_REINV*M83*PJ_DY/12</f>
        <v/>
      </c>
      <c r="N84" s="153">
        <f>N83*(1+PJ_G_BASE)^(1/12)+PJ_APORTE+PJ_REINV*N83*PJ_DY/12</f>
        <v/>
      </c>
      <c r="O84" s="153">
        <f>O83*(1+PJ_G_OTIM)^(1/12)+PJ_APORTE+PJ_REINV*O83*PJ_DY/12</f>
        <v/>
      </c>
      <c r="P84" s="153">
        <f>P83*(1+PJ_CDI)^(1/12)+PJ_APORTE</f>
        <v/>
      </c>
      <c r="Q84" s="153">
        <f>N84*PJ_DY/12</f>
        <v/>
      </c>
      <c r="R84" s="153">
        <f>R83+PJ_APORTE</f>
        <v/>
      </c>
    </row>
    <row r="85">
      <c r="K85" s="151" t="n">
        <v>79</v>
      </c>
      <c r="L85" s="152">
        <f>EDATE(TODAY(),K85)</f>
        <v/>
      </c>
      <c r="M85" s="153">
        <f>M84*(1+PJ_G_PESS)^(1/12)+PJ_APORTE+PJ_REINV*M84*PJ_DY/12</f>
        <v/>
      </c>
      <c r="N85" s="153">
        <f>N84*(1+PJ_G_BASE)^(1/12)+PJ_APORTE+PJ_REINV*N84*PJ_DY/12</f>
        <v/>
      </c>
      <c r="O85" s="153">
        <f>O84*(1+PJ_G_OTIM)^(1/12)+PJ_APORTE+PJ_REINV*O84*PJ_DY/12</f>
        <v/>
      </c>
      <c r="P85" s="153">
        <f>P84*(1+PJ_CDI)^(1/12)+PJ_APORTE</f>
        <v/>
      </c>
      <c r="Q85" s="153">
        <f>N85*PJ_DY/12</f>
        <v/>
      </c>
      <c r="R85" s="153">
        <f>R84+PJ_APORTE</f>
        <v/>
      </c>
    </row>
    <row r="86">
      <c r="K86" s="151" t="n">
        <v>80</v>
      </c>
      <c r="L86" s="152">
        <f>EDATE(TODAY(),K86)</f>
        <v/>
      </c>
      <c r="M86" s="153">
        <f>M85*(1+PJ_G_PESS)^(1/12)+PJ_APORTE+PJ_REINV*M85*PJ_DY/12</f>
        <v/>
      </c>
      <c r="N86" s="153">
        <f>N85*(1+PJ_G_BASE)^(1/12)+PJ_APORTE+PJ_REINV*N85*PJ_DY/12</f>
        <v/>
      </c>
      <c r="O86" s="153">
        <f>O85*(1+PJ_G_OTIM)^(1/12)+PJ_APORTE+PJ_REINV*O85*PJ_DY/12</f>
        <v/>
      </c>
      <c r="P86" s="153">
        <f>P85*(1+PJ_CDI)^(1/12)+PJ_APORTE</f>
        <v/>
      </c>
      <c r="Q86" s="153">
        <f>N86*PJ_DY/12</f>
        <v/>
      </c>
      <c r="R86" s="153">
        <f>R85+PJ_APORTE</f>
        <v/>
      </c>
    </row>
    <row r="87">
      <c r="K87" s="151" t="n">
        <v>81</v>
      </c>
      <c r="L87" s="152">
        <f>EDATE(TODAY(),K87)</f>
        <v/>
      </c>
      <c r="M87" s="153">
        <f>M86*(1+PJ_G_PESS)^(1/12)+PJ_APORTE+PJ_REINV*M86*PJ_DY/12</f>
        <v/>
      </c>
      <c r="N87" s="153">
        <f>N86*(1+PJ_G_BASE)^(1/12)+PJ_APORTE+PJ_REINV*N86*PJ_DY/12</f>
        <v/>
      </c>
      <c r="O87" s="153">
        <f>O86*(1+PJ_G_OTIM)^(1/12)+PJ_APORTE+PJ_REINV*O86*PJ_DY/12</f>
        <v/>
      </c>
      <c r="P87" s="153">
        <f>P86*(1+PJ_CDI)^(1/12)+PJ_APORTE</f>
        <v/>
      </c>
      <c r="Q87" s="153">
        <f>N87*PJ_DY/12</f>
        <v/>
      </c>
      <c r="R87" s="153">
        <f>R86+PJ_APORTE</f>
        <v/>
      </c>
    </row>
    <row r="88">
      <c r="K88" s="151" t="n">
        <v>82</v>
      </c>
      <c r="L88" s="152">
        <f>EDATE(TODAY(),K88)</f>
        <v/>
      </c>
      <c r="M88" s="153">
        <f>M87*(1+PJ_G_PESS)^(1/12)+PJ_APORTE+PJ_REINV*M87*PJ_DY/12</f>
        <v/>
      </c>
      <c r="N88" s="153">
        <f>N87*(1+PJ_G_BASE)^(1/12)+PJ_APORTE+PJ_REINV*N87*PJ_DY/12</f>
        <v/>
      </c>
      <c r="O88" s="153">
        <f>O87*(1+PJ_G_OTIM)^(1/12)+PJ_APORTE+PJ_REINV*O87*PJ_DY/12</f>
        <v/>
      </c>
      <c r="P88" s="153">
        <f>P87*(1+PJ_CDI)^(1/12)+PJ_APORTE</f>
        <v/>
      </c>
      <c r="Q88" s="153">
        <f>N88*PJ_DY/12</f>
        <v/>
      </c>
      <c r="R88" s="153">
        <f>R87+PJ_APORTE</f>
        <v/>
      </c>
    </row>
    <row r="89">
      <c r="K89" s="151" t="n">
        <v>83</v>
      </c>
      <c r="L89" s="152">
        <f>EDATE(TODAY(),K89)</f>
        <v/>
      </c>
      <c r="M89" s="153">
        <f>M88*(1+PJ_G_PESS)^(1/12)+PJ_APORTE+PJ_REINV*M88*PJ_DY/12</f>
        <v/>
      </c>
      <c r="N89" s="153">
        <f>N88*(1+PJ_G_BASE)^(1/12)+PJ_APORTE+PJ_REINV*N88*PJ_DY/12</f>
        <v/>
      </c>
      <c r="O89" s="153">
        <f>O88*(1+PJ_G_OTIM)^(1/12)+PJ_APORTE+PJ_REINV*O88*PJ_DY/12</f>
        <v/>
      </c>
      <c r="P89" s="153">
        <f>P88*(1+PJ_CDI)^(1/12)+PJ_APORTE</f>
        <v/>
      </c>
      <c r="Q89" s="153">
        <f>N89*PJ_DY/12</f>
        <v/>
      </c>
      <c r="R89" s="153">
        <f>R88+PJ_APORTE</f>
        <v/>
      </c>
    </row>
    <row r="90">
      <c r="K90" s="151" t="n">
        <v>84</v>
      </c>
      <c r="L90" s="152">
        <f>EDATE(TODAY(),K90)</f>
        <v/>
      </c>
      <c r="M90" s="153">
        <f>M89*(1+PJ_G_PESS)^(1/12)+PJ_APORTE+PJ_REINV*M89*PJ_DY/12</f>
        <v/>
      </c>
      <c r="N90" s="153">
        <f>N89*(1+PJ_G_BASE)^(1/12)+PJ_APORTE+PJ_REINV*N89*PJ_DY/12</f>
        <v/>
      </c>
      <c r="O90" s="153">
        <f>O89*(1+PJ_G_OTIM)^(1/12)+PJ_APORTE+PJ_REINV*O89*PJ_DY/12</f>
        <v/>
      </c>
      <c r="P90" s="153">
        <f>P89*(1+PJ_CDI)^(1/12)+PJ_APORTE</f>
        <v/>
      </c>
      <c r="Q90" s="153">
        <f>N90*PJ_DY/12</f>
        <v/>
      </c>
      <c r="R90" s="153">
        <f>R89+PJ_APORTE</f>
        <v/>
      </c>
    </row>
    <row r="91">
      <c r="K91" s="151" t="n">
        <v>85</v>
      </c>
      <c r="L91" s="152">
        <f>EDATE(TODAY(),K91)</f>
        <v/>
      </c>
      <c r="M91" s="153">
        <f>M90*(1+PJ_G_PESS)^(1/12)+PJ_APORTE+PJ_REINV*M90*PJ_DY/12</f>
        <v/>
      </c>
      <c r="N91" s="153">
        <f>N90*(1+PJ_G_BASE)^(1/12)+PJ_APORTE+PJ_REINV*N90*PJ_DY/12</f>
        <v/>
      </c>
      <c r="O91" s="153">
        <f>O90*(1+PJ_G_OTIM)^(1/12)+PJ_APORTE+PJ_REINV*O90*PJ_DY/12</f>
        <v/>
      </c>
      <c r="P91" s="153">
        <f>P90*(1+PJ_CDI)^(1/12)+PJ_APORTE</f>
        <v/>
      </c>
      <c r="Q91" s="153">
        <f>N91*PJ_DY/12</f>
        <v/>
      </c>
      <c r="R91" s="153">
        <f>R90+PJ_APORTE</f>
        <v/>
      </c>
    </row>
    <row r="92">
      <c r="K92" s="151" t="n">
        <v>86</v>
      </c>
      <c r="L92" s="152">
        <f>EDATE(TODAY(),K92)</f>
        <v/>
      </c>
      <c r="M92" s="153">
        <f>M91*(1+PJ_G_PESS)^(1/12)+PJ_APORTE+PJ_REINV*M91*PJ_DY/12</f>
        <v/>
      </c>
      <c r="N92" s="153">
        <f>N91*(1+PJ_G_BASE)^(1/12)+PJ_APORTE+PJ_REINV*N91*PJ_DY/12</f>
        <v/>
      </c>
      <c r="O92" s="153">
        <f>O91*(1+PJ_G_OTIM)^(1/12)+PJ_APORTE+PJ_REINV*O91*PJ_DY/12</f>
        <v/>
      </c>
      <c r="P92" s="153">
        <f>P91*(1+PJ_CDI)^(1/12)+PJ_APORTE</f>
        <v/>
      </c>
      <c r="Q92" s="153">
        <f>N92*PJ_DY/12</f>
        <v/>
      </c>
      <c r="R92" s="153">
        <f>R91+PJ_APORTE</f>
        <v/>
      </c>
    </row>
    <row r="93">
      <c r="K93" s="151" t="n">
        <v>87</v>
      </c>
      <c r="L93" s="152">
        <f>EDATE(TODAY(),K93)</f>
        <v/>
      </c>
      <c r="M93" s="153">
        <f>M92*(1+PJ_G_PESS)^(1/12)+PJ_APORTE+PJ_REINV*M92*PJ_DY/12</f>
        <v/>
      </c>
      <c r="N93" s="153">
        <f>N92*(1+PJ_G_BASE)^(1/12)+PJ_APORTE+PJ_REINV*N92*PJ_DY/12</f>
        <v/>
      </c>
      <c r="O93" s="153">
        <f>O92*(1+PJ_G_OTIM)^(1/12)+PJ_APORTE+PJ_REINV*O92*PJ_DY/12</f>
        <v/>
      </c>
      <c r="P93" s="153">
        <f>P92*(1+PJ_CDI)^(1/12)+PJ_APORTE</f>
        <v/>
      </c>
      <c r="Q93" s="153">
        <f>N93*PJ_DY/12</f>
        <v/>
      </c>
      <c r="R93" s="153">
        <f>R92+PJ_APORTE</f>
        <v/>
      </c>
    </row>
    <row r="94">
      <c r="K94" s="151" t="n">
        <v>88</v>
      </c>
      <c r="L94" s="152">
        <f>EDATE(TODAY(),K94)</f>
        <v/>
      </c>
      <c r="M94" s="153">
        <f>M93*(1+PJ_G_PESS)^(1/12)+PJ_APORTE+PJ_REINV*M93*PJ_DY/12</f>
        <v/>
      </c>
      <c r="N94" s="153">
        <f>N93*(1+PJ_G_BASE)^(1/12)+PJ_APORTE+PJ_REINV*N93*PJ_DY/12</f>
        <v/>
      </c>
      <c r="O94" s="153">
        <f>O93*(1+PJ_G_OTIM)^(1/12)+PJ_APORTE+PJ_REINV*O93*PJ_DY/12</f>
        <v/>
      </c>
      <c r="P94" s="153">
        <f>P93*(1+PJ_CDI)^(1/12)+PJ_APORTE</f>
        <v/>
      </c>
      <c r="Q94" s="153">
        <f>N94*PJ_DY/12</f>
        <v/>
      </c>
      <c r="R94" s="153">
        <f>R93+PJ_APORTE</f>
        <v/>
      </c>
    </row>
    <row r="95">
      <c r="K95" s="151" t="n">
        <v>89</v>
      </c>
      <c r="L95" s="152">
        <f>EDATE(TODAY(),K95)</f>
        <v/>
      </c>
      <c r="M95" s="153">
        <f>M94*(1+PJ_G_PESS)^(1/12)+PJ_APORTE+PJ_REINV*M94*PJ_DY/12</f>
        <v/>
      </c>
      <c r="N95" s="153">
        <f>N94*(1+PJ_G_BASE)^(1/12)+PJ_APORTE+PJ_REINV*N94*PJ_DY/12</f>
        <v/>
      </c>
      <c r="O95" s="153">
        <f>O94*(1+PJ_G_OTIM)^(1/12)+PJ_APORTE+PJ_REINV*O94*PJ_DY/12</f>
        <v/>
      </c>
      <c r="P95" s="153">
        <f>P94*(1+PJ_CDI)^(1/12)+PJ_APORTE</f>
        <v/>
      </c>
      <c r="Q95" s="153">
        <f>N95*PJ_DY/12</f>
        <v/>
      </c>
      <c r="R95" s="153">
        <f>R94+PJ_APORTE</f>
        <v/>
      </c>
    </row>
    <row r="96">
      <c r="K96" s="151" t="n">
        <v>90</v>
      </c>
      <c r="L96" s="152">
        <f>EDATE(TODAY(),K96)</f>
        <v/>
      </c>
      <c r="M96" s="153">
        <f>M95*(1+PJ_G_PESS)^(1/12)+PJ_APORTE+PJ_REINV*M95*PJ_DY/12</f>
        <v/>
      </c>
      <c r="N96" s="153">
        <f>N95*(1+PJ_G_BASE)^(1/12)+PJ_APORTE+PJ_REINV*N95*PJ_DY/12</f>
        <v/>
      </c>
      <c r="O96" s="153">
        <f>O95*(1+PJ_G_OTIM)^(1/12)+PJ_APORTE+PJ_REINV*O95*PJ_DY/12</f>
        <v/>
      </c>
      <c r="P96" s="153">
        <f>P95*(1+PJ_CDI)^(1/12)+PJ_APORTE</f>
        <v/>
      </c>
      <c r="Q96" s="153">
        <f>N96*PJ_DY/12</f>
        <v/>
      </c>
      <c r="R96" s="153">
        <f>R95+PJ_APORTE</f>
        <v/>
      </c>
    </row>
    <row r="97">
      <c r="K97" s="151" t="n">
        <v>91</v>
      </c>
      <c r="L97" s="152">
        <f>EDATE(TODAY(),K97)</f>
        <v/>
      </c>
      <c r="M97" s="153">
        <f>M96*(1+PJ_G_PESS)^(1/12)+PJ_APORTE+PJ_REINV*M96*PJ_DY/12</f>
        <v/>
      </c>
      <c r="N97" s="153">
        <f>N96*(1+PJ_G_BASE)^(1/12)+PJ_APORTE+PJ_REINV*N96*PJ_DY/12</f>
        <v/>
      </c>
      <c r="O97" s="153">
        <f>O96*(1+PJ_G_OTIM)^(1/12)+PJ_APORTE+PJ_REINV*O96*PJ_DY/12</f>
        <v/>
      </c>
      <c r="P97" s="153">
        <f>P96*(1+PJ_CDI)^(1/12)+PJ_APORTE</f>
        <v/>
      </c>
      <c r="Q97" s="153">
        <f>N97*PJ_DY/12</f>
        <v/>
      </c>
      <c r="R97" s="153">
        <f>R96+PJ_APORTE</f>
        <v/>
      </c>
    </row>
    <row r="98">
      <c r="K98" s="151" t="n">
        <v>92</v>
      </c>
      <c r="L98" s="152">
        <f>EDATE(TODAY(),K98)</f>
        <v/>
      </c>
      <c r="M98" s="153">
        <f>M97*(1+PJ_G_PESS)^(1/12)+PJ_APORTE+PJ_REINV*M97*PJ_DY/12</f>
        <v/>
      </c>
      <c r="N98" s="153">
        <f>N97*(1+PJ_G_BASE)^(1/12)+PJ_APORTE+PJ_REINV*N97*PJ_DY/12</f>
        <v/>
      </c>
      <c r="O98" s="153">
        <f>O97*(1+PJ_G_OTIM)^(1/12)+PJ_APORTE+PJ_REINV*O97*PJ_DY/12</f>
        <v/>
      </c>
      <c r="P98" s="153">
        <f>P97*(1+PJ_CDI)^(1/12)+PJ_APORTE</f>
        <v/>
      </c>
      <c r="Q98" s="153">
        <f>N98*PJ_DY/12</f>
        <v/>
      </c>
      <c r="R98" s="153">
        <f>R97+PJ_APORTE</f>
        <v/>
      </c>
    </row>
    <row r="99">
      <c r="K99" s="151" t="n">
        <v>93</v>
      </c>
      <c r="L99" s="152">
        <f>EDATE(TODAY(),K99)</f>
        <v/>
      </c>
      <c r="M99" s="153">
        <f>M98*(1+PJ_G_PESS)^(1/12)+PJ_APORTE+PJ_REINV*M98*PJ_DY/12</f>
        <v/>
      </c>
      <c r="N99" s="153">
        <f>N98*(1+PJ_G_BASE)^(1/12)+PJ_APORTE+PJ_REINV*N98*PJ_DY/12</f>
        <v/>
      </c>
      <c r="O99" s="153">
        <f>O98*(1+PJ_G_OTIM)^(1/12)+PJ_APORTE+PJ_REINV*O98*PJ_DY/12</f>
        <v/>
      </c>
      <c r="P99" s="153">
        <f>P98*(1+PJ_CDI)^(1/12)+PJ_APORTE</f>
        <v/>
      </c>
      <c r="Q99" s="153">
        <f>N99*PJ_DY/12</f>
        <v/>
      </c>
      <c r="R99" s="153">
        <f>R98+PJ_APORTE</f>
        <v/>
      </c>
    </row>
    <row r="100">
      <c r="K100" s="151" t="n">
        <v>94</v>
      </c>
      <c r="L100" s="152">
        <f>EDATE(TODAY(),K100)</f>
        <v/>
      </c>
      <c r="M100" s="153">
        <f>M99*(1+PJ_G_PESS)^(1/12)+PJ_APORTE+PJ_REINV*M99*PJ_DY/12</f>
        <v/>
      </c>
      <c r="N100" s="153">
        <f>N99*(1+PJ_G_BASE)^(1/12)+PJ_APORTE+PJ_REINV*N99*PJ_DY/12</f>
        <v/>
      </c>
      <c r="O100" s="153">
        <f>O99*(1+PJ_G_OTIM)^(1/12)+PJ_APORTE+PJ_REINV*O99*PJ_DY/12</f>
        <v/>
      </c>
      <c r="P100" s="153">
        <f>P99*(1+PJ_CDI)^(1/12)+PJ_APORTE</f>
        <v/>
      </c>
      <c r="Q100" s="153">
        <f>N100*PJ_DY/12</f>
        <v/>
      </c>
      <c r="R100" s="153">
        <f>R99+PJ_APORTE</f>
        <v/>
      </c>
    </row>
    <row r="101">
      <c r="K101" s="151" t="n">
        <v>95</v>
      </c>
      <c r="L101" s="152">
        <f>EDATE(TODAY(),K101)</f>
        <v/>
      </c>
      <c r="M101" s="153">
        <f>M100*(1+PJ_G_PESS)^(1/12)+PJ_APORTE+PJ_REINV*M100*PJ_DY/12</f>
        <v/>
      </c>
      <c r="N101" s="153">
        <f>N100*(1+PJ_G_BASE)^(1/12)+PJ_APORTE+PJ_REINV*N100*PJ_DY/12</f>
        <v/>
      </c>
      <c r="O101" s="153">
        <f>O100*(1+PJ_G_OTIM)^(1/12)+PJ_APORTE+PJ_REINV*O100*PJ_DY/12</f>
        <v/>
      </c>
      <c r="P101" s="153">
        <f>P100*(1+PJ_CDI)^(1/12)+PJ_APORTE</f>
        <v/>
      </c>
      <c r="Q101" s="153">
        <f>N101*PJ_DY/12</f>
        <v/>
      </c>
      <c r="R101" s="153">
        <f>R100+PJ_APORTE</f>
        <v/>
      </c>
    </row>
    <row r="102">
      <c r="K102" s="151" t="n">
        <v>96</v>
      </c>
      <c r="L102" s="152">
        <f>EDATE(TODAY(),K102)</f>
        <v/>
      </c>
      <c r="M102" s="153">
        <f>M101*(1+PJ_G_PESS)^(1/12)+PJ_APORTE+PJ_REINV*M101*PJ_DY/12</f>
        <v/>
      </c>
      <c r="N102" s="153">
        <f>N101*(1+PJ_G_BASE)^(1/12)+PJ_APORTE+PJ_REINV*N101*PJ_DY/12</f>
        <v/>
      </c>
      <c r="O102" s="153">
        <f>O101*(1+PJ_G_OTIM)^(1/12)+PJ_APORTE+PJ_REINV*O101*PJ_DY/12</f>
        <v/>
      </c>
      <c r="P102" s="153">
        <f>P101*(1+PJ_CDI)^(1/12)+PJ_APORTE</f>
        <v/>
      </c>
      <c r="Q102" s="153">
        <f>N102*PJ_DY/12</f>
        <v/>
      </c>
      <c r="R102" s="153">
        <f>R101+PJ_APORTE</f>
        <v/>
      </c>
    </row>
    <row r="103">
      <c r="K103" s="151" t="n">
        <v>97</v>
      </c>
      <c r="L103" s="152">
        <f>EDATE(TODAY(),K103)</f>
        <v/>
      </c>
      <c r="M103" s="153">
        <f>M102*(1+PJ_G_PESS)^(1/12)+PJ_APORTE+PJ_REINV*M102*PJ_DY/12</f>
        <v/>
      </c>
      <c r="N103" s="153">
        <f>N102*(1+PJ_G_BASE)^(1/12)+PJ_APORTE+PJ_REINV*N102*PJ_DY/12</f>
        <v/>
      </c>
      <c r="O103" s="153">
        <f>O102*(1+PJ_G_OTIM)^(1/12)+PJ_APORTE+PJ_REINV*O102*PJ_DY/12</f>
        <v/>
      </c>
      <c r="P103" s="153">
        <f>P102*(1+PJ_CDI)^(1/12)+PJ_APORTE</f>
        <v/>
      </c>
      <c r="Q103" s="153">
        <f>N103*PJ_DY/12</f>
        <v/>
      </c>
      <c r="R103" s="153">
        <f>R102+PJ_APORTE</f>
        <v/>
      </c>
    </row>
    <row r="104">
      <c r="K104" s="151" t="n">
        <v>98</v>
      </c>
      <c r="L104" s="152">
        <f>EDATE(TODAY(),K104)</f>
        <v/>
      </c>
      <c r="M104" s="153">
        <f>M103*(1+PJ_G_PESS)^(1/12)+PJ_APORTE+PJ_REINV*M103*PJ_DY/12</f>
        <v/>
      </c>
      <c r="N104" s="153">
        <f>N103*(1+PJ_G_BASE)^(1/12)+PJ_APORTE+PJ_REINV*N103*PJ_DY/12</f>
        <v/>
      </c>
      <c r="O104" s="153">
        <f>O103*(1+PJ_G_OTIM)^(1/12)+PJ_APORTE+PJ_REINV*O103*PJ_DY/12</f>
        <v/>
      </c>
      <c r="P104" s="153">
        <f>P103*(1+PJ_CDI)^(1/12)+PJ_APORTE</f>
        <v/>
      </c>
      <c r="Q104" s="153">
        <f>N104*PJ_DY/12</f>
        <v/>
      </c>
      <c r="R104" s="153">
        <f>R103+PJ_APORTE</f>
        <v/>
      </c>
    </row>
    <row r="105">
      <c r="K105" s="151" t="n">
        <v>99</v>
      </c>
      <c r="L105" s="152">
        <f>EDATE(TODAY(),K105)</f>
        <v/>
      </c>
      <c r="M105" s="153">
        <f>M104*(1+PJ_G_PESS)^(1/12)+PJ_APORTE+PJ_REINV*M104*PJ_DY/12</f>
        <v/>
      </c>
      <c r="N105" s="153">
        <f>N104*(1+PJ_G_BASE)^(1/12)+PJ_APORTE+PJ_REINV*N104*PJ_DY/12</f>
        <v/>
      </c>
      <c r="O105" s="153">
        <f>O104*(1+PJ_G_OTIM)^(1/12)+PJ_APORTE+PJ_REINV*O104*PJ_DY/12</f>
        <v/>
      </c>
      <c r="P105" s="153">
        <f>P104*(1+PJ_CDI)^(1/12)+PJ_APORTE</f>
        <v/>
      </c>
      <c r="Q105" s="153">
        <f>N105*PJ_DY/12</f>
        <v/>
      </c>
      <c r="R105" s="153">
        <f>R104+PJ_APORTE</f>
        <v/>
      </c>
    </row>
    <row r="106">
      <c r="K106" s="151" t="n">
        <v>100</v>
      </c>
      <c r="L106" s="152">
        <f>EDATE(TODAY(),K106)</f>
        <v/>
      </c>
      <c r="M106" s="153">
        <f>M105*(1+PJ_G_PESS)^(1/12)+PJ_APORTE+PJ_REINV*M105*PJ_DY/12</f>
        <v/>
      </c>
      <c r="N106" s="153">
        <f>N105*(1+PJ_G_BASE)^(1/12)+PJ_APORTE+PJ_REINV*N105*PJ_DY/12</f>
        <v/>
      </c>
      <c r="O106" s="153">
        <f>O105*(1+PJ_G_OTIM)^(1/12)+PJ_APORTE+PJ_REINV*O105*PJ_DY/12</f>
        <v/>
      </c>
      <c r="P106" s="153">
        <f>P105*(1+PJ_CDI)^(1/12)+PJ_APORTE</f>
        <v/>
      </c>
      <c r="Q106" s="153">
        <f>N106*PJ_DY/12</f>
        <v/>
      </c>
      <c r="R106" s="153">
        <f>R105+PJ_APORTE</f>
        <v/>
      </c>
    </row>
    <row r="107">
      <c r="K107" s="151" t="n">
        <v>101</v>
      </c>
      <c r="L107" s="152">
        <f>EDATE(TODAY(),K107)</f>
        <v/>
      </c>
      <c r="M107" s="153">
        <f>M106*(1+PJ_G_PESS)^(1/12)+PJ_APORTE+PJ_REINV*M106*PJ_DY/12</f>
        <v/>
      </c>
      <c r="N107" s="153">
        <f>N106*(1+PJ_G_BASE)^(1/12)+PJ_APORTE+PJ_REINV*N106*PJ_DY/12</f>
        <v/>
      </c>
      <c r="O107" s="153">
        <f>O106*(1+PJ_G_OTIM)^(1/12)+PJ_APORTE+PJ_REINV*O106*PJ_DY/12</f>
        <v/>
      </c>
      <c r="P107" s="153">
        <f>P106*(1+PJ_CDI)^(1/12)+PJ_APORTE</f>
        <v/>
      </c>
      <c r="Q107" s="153">
        <f>N107*PJ_DY/12</f>
        <v/>
      </c>
      <c r="R107" s="153">
        <f>R106+PJ_APORTE</f>
        <v/>
      </c>
    </row>
    <row r="108">
      <c r="K108" s="151" t="n">
        <v>102</v>
      </c>
      <c r="L108" s="152">
        <f>EDATE(TODAY(),K108)</f>
        <v/>
      </c>
      <c r="M108" s="153">
        <f>M107*(1+PJ_G_PESS)^(1/12)+PJ_APORTE+PJ_REINV*M107*PJ_DY/12</f>
        <v/>
      </c>
      <c r="N108" s="153">
        <f>N107*(1+PJ_G_BASE)^(1/12)+PJ_APORTE+PJ_REINV*N107*PJ_DY/12</f>
        <v/>
      </c>
      <c r="O108" s="153">
        <f>O107*(1+PJ_G_OTIM)^(1/12)+PJ_APORTE+PJ_REINV*O107*PJ_DY/12</f>
        <v/>
      </c>
      <c r="P108" s="153">
        <f>P107*(1+PJ_CDI)^(1/12)+PJ_APORTE</f>
        <v/>
      </c>
      <c r="Q108" s="153">
        <f>N108*PJ_DY/12</f>
        <v/>
      </c>
      <c r="R108" s="153">
        <f>R107+PJ_APORTE</f>
        <v/>
      </c>
    </row>
    <row r="109">
      <c r="K109" s="151" t="n">
        <v>103</v>
      </c>
      <c r="L109" s="152">
        <f>EDATE(TODAY(),K109)</f>
        <v/>
      </c>
      <c r="M109" s="153">
        <f>M108*(1+PJ_G_PESS)^(1/12)+PJ_APORTE+PJ_REINV*M108*PJ_DY/12</f>
        <v/>
      </c>
      <c r="N109" s="153">
        <f>N108*(1+PJ_G_BASE)^(1/12)+PJ_APORTE+PJ_REINV*N108*PJ_DY/12</f>
        <v/>
      </c>
      <c r="O109" s="153">
        <f>O108*(1+PJ_G_OTIM)^(1/12)+PJ_APORTE+PJ_REINV*O108*PJ_DY/12</f>
        <v/>
      </c>
      <c r="P109" s="153">
        <f>P108*(1+PJ_CDI)^(1/12)+PJ_APORTE</f>
        <v/>
      </c>
      <c r="Q109" s="153">
        <f>N109*PJ_DY/12</f>
        <v/>
      </c>
      <c r="R109" s="153">
        <f>R108+PJ_APORTE</f>
        <v/>
      </c>
    </row>
    <row r="110">
      <c r="K110" s="151" t="n">
        <v>104</v>
      </c>
      <c r="L110" s="152">
        <f>EDATE(TODAY(),K110)</f>
        <v/>
      </c>
      <c r="M110" s="153">
        <f>M109*(1+PJ_G_PESS)^(1/12)+PJ_APORTE+PJ_REINV*M109*PJ_DY/12</f>
        <v/>
      </c>
      <c r="N110" s="153">
        <f>N109*(1+PJ_G_BASE)^(1/12)+PJ_APORTE+PJ_REINV*N109*PJ_DY/12</f>
        <v/>
      </c>
      <c r="O110" s="153">
        <f>O109*(1+PJ_G_OTIM)^(1/12)+PJ_APORTE+PJ_REINV*O109*PJ_DY/12</f>
        <v/>
      </c>
      <c r="P110" s="153">
        <f>P109*(1+PJ_CDI)^(1/12)+PJ_APORTE</f>
        <v/>
      </c>
      <c r="Q110" s="153">
        <f>N110*PJ_DY/12</f>
        <v/>
      </c>
      <c r="R110" s="153">
        <f>R109+PJ_APORTE</f>
        <v/>
      </c>
    </row>
    <row r="111">
      <c r="K111" s="151" t="n">
        <v>105</v>
      </c>
      <c r="L111" s="152">
        <f>EDATE(TODAY(),K111)</f>
        <v/>
      </c>
      <c r="M111" s="153">
        <f>M110*(1+PJ_G_PESS)^(1/12)+PJ_APORTE+PJ_REINV*M110*PJ_DY/12</f>
        <v/>
      </c>
      <c r="N111" s="153">
        <f>N110*(1+PJ_G_BASE)^(1/12)+PJ_APORTE+PJ_REINV*N110*PJ_DY/12</f>
        <v/>
      </c>
      <c r="O111" s="153">
        <f>O110*(1+PJ_G_OTIM)^(1/12)+PJ_APORTE+PJ_REINV*O110*PJ_DY/12</f>
        <v/>
      </c>
      <c r="P111" s="153">
        <f>P110*(1+PJ_CDI)^(1/12)+PJ_APORTE</f>
        <v/>
      </c>
      <c r="Q111" s="153">
        <f>N111*PJ_DY/12</f>
        <v/>
      </c>
      <c r="R111" s="153">
        <f>R110+PJ_APORTE</f>
        <v/>
      </c>
    </row>
    <row r="112">
      <c r="K112" s="151" t="n">
        <v>106</v>
      </c>
      <c r="L112" s="152">
        <f>EDATE(TODAY(),K112)</f>
        <v/>
      </c>
      <c r="M112" s="153">
        <f>M111*(1+PJ_G_PESS)^(1/12)+PJ_APORTE+PJ_REINV*M111*PJ_DY/12</f>
        <v/>
      </c>
      <c r="N112" s="153">
        <f>N111*(1+PJ_G_BASE)^(1/12)+PJ_APORTE+PJ_REINV*N111*PJ_DY/12</f>
        <v/>
      </c>
      <c r="O112" s="153">
        <f>O111*(1+PJ_G_OTIM)^(1/12)+PJ_APORTE+PJ_REINV*O111*PJ_DY/12</f>
        <v/>
      </c>
      <c r="P112" s="153">
        <f>P111*(1+PJ_CDI)^(1/12)+PJ_APORTE</f>
        <v/>
      </c>
      <c r="Q112" s="153">
        <f>N112*PJ_DY/12</f>
        <v/>
      </c>
      <c r="R112" s="153">
        <f>R111+PJ_APORTE</f>
        <v/>
      </c>
    </row>
    <row r="113">
      <c r="K113" s="151" t="n">
        <v>107</v>
      </c>
      <c r="L113" s="152">
        <f>EDATE(TODAY(),K113)</f>
        <v/>
      </c>
      <c r="M113" s="153">
        <f>M112*(1+PJ_G_PESS)^(1/12)+PJ_APORTE+PJ_REINV*M112*PJ_DY/12</f>
        <v/>
      </c>
      <c r="N113" s="153">
        <f>N112*(1+PJ_G_BASE)^(1/12)+PJ_APORTE+PJ_REINV*N112*PJ_DY/12</f>
        <v/>
      </c>
      <c r="O113" s="153">
        <f>O112*(1+PJ_G_OTIM)^(1/12)+PJ_APORTE+PJ_REINV*O112*PJ_DY/12</f>
        <v/>
      </c>
      <c r="P113" s="153">
        <f>P112*(1+PJ_CDI)^(1/12)+PJ_APORTE</f>
        <v/>
      </c>
      <c r="Q113" s="153">
        <f>N113*PJ_DY/12</f>
        <v/>
      </c>
      <c r="R113" s="153">
        <f>R112+PJ_APORTE</f>
        <v/>
      </c>
    </row>
    <row r="114">
      <c r="K114" s="151" t="n">
        <v>108</v>
      </c>
      <c r="L114" s="152">
        <f>EDATE(TODAY(),K114)</f>
        <v/>
      </c>
      <c r="M114" s="153">
        <f>M113*(1+PJ_G_PESS)^(1/12)+PJ_APORTE+PJ_REINV*M113*PJ_DY/12</f>
        <v/>
      </c>
      <c r="N114" s="153">
        <f>N113*(1+PJ_G_BASE)^(1/12)+PJ_APORTE+PJ_REINV*N113*PJ_DY/12</f>
        <v/>
      </c>
      <c r="O114" s="153">
        <f>O113*(1+PJ_G_OTIM)^(1/12)+PJ_APORTE+PJ_REINV*O113*PJ_DY/12</f>
        <v/>
      </c>
      <c r="P114" s="153">
        <f>P113*(1+PJ_CDI)^(1/12)+PJ_APORTE</f>
        <v/>
      </c>
      <c r="Q114" s="153">
        <f>N114*PJ_DY/12</f>
        <v/>
      </c>
      <c r="R114" s="153">
        <f>R113+PJ_APORTE</f>
        <v/>
      </c>
    </row>
    <row r="115">
      <c r="K115" s="151" t="n">
        <v>109</v>
      </c>
      <c r="L115" s="152">
        <f>EDATE(TODAY(),K115)</f>
        <v/>
      </c>
      <c r="M115" s="153">
        <f>M114*(1+PJ_G_PESS)^(1/12)+PJ_APORTE+PJ_REINV*M114*PJ_DY/12</f>
        <v/>
      </c>
      <c r="N115" s="153">
        <f>N114*(1+PJ_G_BASE)^(1/12)+PJ_APORTE+PJ_REINV*N114*PJ_DY/12</f>
        <v/>
      </c>
      <c r="O115" s="153">
        <f>O114*(1+PJ_G_OTIM)^(1/12)+PJ_APORTE+PJ_REINV*O114*PJ_DY/12</f>
        <v/>
      </c>
      <c r="P115" s="153">
        <f>P114*(1+PJ_CDI)^(1/12)+PJ_APORTE</f>
        <v/>
      </c>
      <c r="Q115" s="153">
        <f>N115*PJ_DY/12</f>
        <v/>
      </c>
      <c r="R115" s="153">
        <f>R114+PJ_APORTE</f>
        <v/>
      </c>
    </row>
    <row r="116">
      <c r="K116" s="151" t="n">
        <v>110</v>
      </c>
      <c r="L116" s="152">
        <f>EDATE(TODAY(),K116)</f>
        <v/>
      </c>
      <c r="M116" s="153">
        <f>M115*(1+PJ_G_PESS)^(1/12)+PJ_APORTE+PJ_REINV*M115*PJ_DY/12</f>
        <v/>
      </c>
      <c r="N116" s="153">
        <f>N115*(1+PJ_G_BASE)^(1/12)+PJ_APORTE+PJ_REINV*N115*PJ_DY/12</f>
        <v/>
      </c>
      <c r="O116" s="153">
        <f>O115*(1+PJ_G_OTIM)^(1/12)+PJ_APORTE+PJ_REINV*O115*PJ_DY/12</f>
        <v/>
      </c>
      <c r="P116" s="153">
        <f>P115*(1+PJ_CDI)^(1/12)+PJ_APORTE</f>
        <v/>
      </c>
      <c r="Q116" s="153">
        <f>N116*PJ_DY/12</f>
        <v/>
      </c>
      <c r="R116" s="153">
        <f>R115+PJ_APORTE</f>
        <v/>
      </c>
    </row>
    <row r="117">
      <c r="K117" s="151" t="n">
        <v>111</v>
      </c>
      <c r="L117" s="152">
        <f>EDATE(TODAY(),K117)</f>
        <v/>
      </c>
      <c r="M117" s="153">
        <f>M116*(1+PJ_G_PESS)^(1/12)+PJ_APORTE+PJ_REINV*M116*PJ_DY/12</f>
        <v/>
      </c>
      <c r="N117" s="153">
        <f>N116*(1+PJ_G_BASE)^(1/12)+PJ_APORTE+PJ_REINV*N116*PJ_DY/12</f>
        <v/>
      </c>
      <c r="O117" s="153">
        <f>O116*(1+PJ_G_OTIM)^(1/12)+PJ_APORTE+PJ_REINV*O116*PJ_DY/12</f>
        <v/>
      </c>
      <c r="P117" s="153">
        <f>P116*(1+PJ_CDI)^(1/12)+PJ_APORTE</f>
        <v/>
      </c>
      <c r="Q117" s="153">
        <f>N117*PJ_DY/12</f>
        <v/>
      </c>
      <c r="R117" s="153">
        <f>R116+PJ_APORTE</f>
        <v/>
      </c>
    </row>
    <row r="118">
      <c r="K118" s="151" t="n">
        <v>112</v>
      </c>
      <c r="L118" s="152">
        <f>EDATE(TODAY(),K118)</f>
        <v/>
      </c>
      <c r="M118" s="153">
        <f>M117*(1+PJ_G_PESS)^(1/12)+PJ_APORTE+PJ_REINV*M117*PJ_DY/12</f>
        <v/>
      </c>
      <c r="N118" s="153">
        <f>N117*(1+PJ_G_BASE)^(1/12)+PJ_APORTE+PJ_REINV*N117*PJ_DY/12</f>
        <v/>
      </c>
      <c r="O118" s="153">
        <f>O117*(1+PJ_G_OTIM)^(1/12)+PJ_APORTE+PJ_REINV*O117*PJ_DY/12</f>
        <v/>
      </c>
      <c r="P118" s="153">
        <f>P117*(1+PJ_CDI)^(1/12)+PJ_APORTE</f>
        <v/>
      </c>
      <c r="Q118" s="153">
        <f>N118*PJ_DY/12</f>
        <v/>
      </c>
      <c r="R118" s="153">
        <f>R117+PJ_APORTE</f>
        <v/>
      </c>
    </row>
    <row r="119">
      <c r="K119" s="151" t="n">
        <v>113</v>
      </c>
      <c r="L119" s="152">
        <f>EDATE(TODAY(),K119)</f>
        <v/>
      </c>
      <c r="M119" s="153">
        <f>M118*(1+PJ_G_PESS)^(1/12)+PJ_APORTE+PJ_REINV*M118*PJ_DY/12</f>
        <v/>
      </c>
      <c r="N119" s="153">
        <f>N118*(1+PJ_G_BASE)^(1/12)+PJ_APORTE+PJ_REINV*N118*PJ_DY/12</f>
        <v/>
      </c>
      <c r="O119" s="153">
        <f>O118*(1+PJ_G_OTIM)^(1/12)+PJ_APORTE+PJ_REINV*O118*PJ_DY/12</f>
        <v/>
      </c>
      <c r="P119" s="153">
        <f>P118*(1+PJ_CDI)^(1/12)+PJ_APORTE</f>
        <v/>
      </c>
      <c r="Q119" s="153">
        <f>N119*PJ_DY/12</f>
        <v/>
      </c>
      <c r="R119" s="153">
        <f>R118+PJ_APORTE</f>
        <v/>
      </c>
    </row>
    <row r="120">
      <c r="K120" s="151" t="n">
        <v>114</v>
      </c>
      <c r="L120" s="152">
        <f>EDATE(TODAY(),K120)</f>
        <v/>
      </c>
      <c r="M120" s="153">
        <f>M119*(1+PJ_G_PESS)^(1/12)+PJ_APORTE+PJ_REINV*M119*PJ_DY/12</f>
        <v/>
      </c>
      <c r="N120" s="153">
        <f>N119*(1+PJ_G_BASE)^(1/12)+PJ_APORTE+PJ_REINV*N119*PJ_DY/12</f>
        <v/>
      </c>
      <c r="O120" s="153">
        <f>O119*(1+PJ_G_OTIM)^(1/12)+PJ_APORTE+PJ_REINV*O119*PJ_DY/12</f>
        <v/>
      </c>
      <c r="P120" s="153">
        <f>P119*(1+PJ_CDI)^(1/12)+PJ_APORTE</f>
        <v/>
      </c>
      <c r="Q120" s="153">
        <f>N120*PJ_DY/12</f>
        <v/>
      </c>
      <c r="R120" s="153">
        <f>R119+PJ_APORTE</f>
        <v/>
      </c>
    </row>
    <row r="121">
      <c r="K121" s="151" t="n">
        <v>115</v>
      </c>
      <c r="L121" s="152">
        <f>EDATE(TODAY(),K121)</f>
        <v/>
      </c>
      <c r="M121" s="153">
        <f>M120*(1+PJ_G_PESS)^(1/12)+PJ_APORTE+PJ_REINV*M120*PJ_DY/12</f>
        <v/>
      </c>
      <c r="N121" s="153">
        <f>N120*(1+PJ_G_BASE)^(1/12)+PJ_APORTE+PJ_REINV*N120*PJ_DY/12</f>
        <v/>
      </c>
      <c r="O121" s="153">
        <f>O120*(1+PJ_G_OTIM)^(1/12)+PJ_APORTE+PJ_REINV*O120*PJ_DY/12</f>
        <v/>
      </c>
      <c r="P121" s="153">
        <f>P120*(1+PJ_CDI)^(1/12)+PJ_APORTE</f>
        <v/>
      </c>
      <c r="Q121" s="153">
        <f>N121*PJ_DY/12</f>
        <v/>
      </c>
      <c r="R121" s="153">
        <f>R120+PJ_APORTE</f>
        <v/>
      </c>
    </row>
    <row r="122">
      <c r="K122" s="151" t="n">
        <v>116</v>
      </c>
      <c r="L122" s="152">
        <f>EDATE(TODAY(),K122)</f>
        <v/>
      </c>
      <c r="M122" s="153">
        <f>M121*(1+PJ_G_PESS)^(1/12)+PJ_APORTE+PJ_REINV*M121*PJ_DY/12</f>
        <v/>
      </c>
      <c r="N122" s="153">
        <f>N121*(1+PJ_G_BASE)^(1/12)+PJ_APORTE+PJ_REINV*N121*PJ_DY/12</f>
        <v/>
      </c>
      <c r="O122" s="153">
        <f>O121*(1+PJ_G_OTIM)^(1/12)+PJ_APORTE+PJ_REINV*O121*PJ_DY/12</f>
        <v/>
      </c>
      <c r="P122" s="153">
        <f>P121*(1+PJ_CDI)^(1/12)+PJ_APORTE</f>
        <v/>
      </c>
      <c r="Q122" s="153">
        <f>N122*PJ_DY/12</f>
        <v/>
      </c>
      <c r="R122" s="153">
        <f>R121+PJ_APORTE</f>
        <v/>
      </c>
    </row>
    <row r="123">
      <c r="K123" s="151" t="n">
        <v>117</v>
      </c>
      <c r="L123" s="152">
        <f>EDATE(TODAY(),K123)</f>
        <v/>
      </c>
      <c r="M123" s="153">
        <f>M122*(1+PJ_G_PESS)^(1/12)+PJ_APORTE+PJ_REINV*M122*PJ_DY/12</f>
        <v/>
      </c>
      <c r="N123" s="153">
        <f>N122*(1+PJ_G_BASE)^(1/12)+PJ_APORTE+PJ_REINV*N122*PJ_DY/12</f>
        <v/>
      </c>
      <c r="O123" s="153">
        <f>O122*(1+PJ_G_OTIM)^(1/12)+PJ_APORTE+PJ_REINV*O122*PJ_DY/12</f>
        <v/>
      </c>
      <c r="P123" s="153">
        <f>P122*(1+PJ_CDI)^(1/12)+PJ_APORTE</f>
        <v/>
      </c>
      <c r="Q123" s="153">
        <f>N123*PJ_DY/12</f>
        <v/>
      </c>
      <c r="R123" s="153">
        <f>R122+PJ_APORTE</f>
        <v/>
      </c>
    </row>
    <row r="124">
      <c r="K124" s="151" t="n">
        <v>118</v>
      </c>
      <c r="L124" s="152">
        <f>EDATE(TODAY(),K124)</f>
        <v/>
      </c>
      <c r="M124" s="153">
        <f>M123*(1+PJ_G_PESS)^(1/12)+PJ_APORTE+PJ_REINV*M123*PJ_DY/12</f>
        <v/>
      </c>
      <c r="N124" s="153">
        <f>N123*(1+PJ_G_BASE)^(1/12)+PJ_APORTE+PJ_REINV*N123*PJ_DY/12</f>
        <v/>
      </c>
      <c r="O124" s="153">
        <f>O123*(1+PJ_G_OTIM)^(1/12)+PJ_APORTE+PJ_REINV*O123*PJ_DY/12</f>
        <v/>
      </c>
      <c r="P124" s="153">
        <f>P123*(1+PJ_CDI)^(1/12)+PJ_APORTE</f>
        <v/>
      </c>
      <c r="Q124" s="153">
        <f>N124*PJ_DY/12</f>
        <v/>
      </c>
      <c r="R124" s="153">
        <f>R123+PJ_APORTE</f>
        <v/>
      </c>
    </row>
    <row r="125">
      <c r="K125" s="151" t="n">
        <v>119</v>
      </c>
      <c r="L125" s="152">
        <f>EDATE(TODAY(),K125)</f>
        <v/>
      </c>
      <c r="M125" s="153">
        <f>M124*(1+PJ_G_PESS)^(1/12)+PJ_APORTE+PJ_REINV*M124*PJ_DY/12</f>
        <v/>
      </c>
      <c r="N125" s="153">
        <f>N124*(1+PJ_G_BASE)^(1/12)+PJ_APORTE+PJ_REINV*N124*PJ_DY/12</f>
        <v/>
      </c>
      <c r="O125" s="153">
        <f>O124*(1+PJ_G_OTIM)^(1/12)+PJ_APORTE+PJ_REINV*O124*PJ_DY/12</f>
        <v/>
      </c>
      <c r="P125" s="153">
        <f>P124*(1+PJ_CDI)^(1/12)+PJ_APORTE</f>
        <v/>
      </c>
      <c r="Q125" s="153">
        <f>N125*PJ_DY/12</f>
        <v/>
      </c>
      <c r="R125" s="153">
        <f>R124+PJ_APORTE</f>
        <v/>
      </c>
    </row>
    <row r="126">
      <c r="K126" s="151" t="n">
        <v>120</v>
      </c>
      <c r="L126" s="152">
        <f>EDATE(TODAY(),K126)</f>
        <v/>
      </c>
      <c r="M126" s="153">
        <f>M125*(1+PJ_G_PESS)^(1/12)+PJ_APORTE+PJ_REINV*M125*PJ_DY/12</f>
        <v/>
      </c>
      <c r="N126" s="153">
        <f>N125*(1+PJ_G_BASE)^(1/12)+PJ_APORTE+PJ_REINV*N125*PJ_DY/12</f>
        <v/>
      </c>
      <c r="O126" s="153">
        <f>O125*(1+PJ_G_OTIM)^(1/12)+PJ_APORTE+PJ_REINV*O125*PJ_DY/12</f>
        <v/>
      </c>
      <c r="P126" s="153">
        <f>P125*(1+PJ_CDI)^(1/12)+PJ_APORTE</f>
        <v/>
      </c>
      <c r="Q126" s="153">
        <f>N126*PJ_DY/12</f>
        <v/>
      </c>
      <c r="R126" s="153">
        <f>R125+PJ_APORTE</f>
        <v/>
      </c>
    </row>
    <row r="150">
      <c r="A150" s="115" t="inlineStr">
        <is>
          <t>Como ler</t>
        </is>
      </c>
    </row>
    <row r="151">
      <c r="A151" s="116" t="inlineStr">
        <is>
          <t>• Cada mês: patrimônio × (1 + valorização)^(1/12) + aporte + proventos reinvestidos (se PJ_REINV = 1).</t>
        </is>
      </c>
    </row>
    <row r="152">
      <c r="A152" s="116" t="inlineStr">
        <is>
          <t>• Cenários: base = tendência de 3 anos ponderada pela confiança (R²); pessimista/otimista = ± 1 desvio-padrão do retorno médio no horizonte (volatilidade ÷ √anos).</t>
        </is>
      </c>
    </row>
    <row r="153">
      <c r="A153" s="116" t="inlineStr">
        <is>
          <t>• CDI: mesmo aporte aplicado ao CDI da premissa, sem IR — serve de régua para o custo de oportunidade.</t>
        </is>
      </c>
    </row>
    <row r="154">
      <c r="A154" s="116" t="inlineStr">
        <is>
          <t>• Projeção é estimativa estatística a partir do passado; não é garantia de retorno.</t>
        </is>
      </c>
    </row>
  </sheetData>
  <conditionalFormatting sqref="H17:H26">
    <cfRule type="cellIs" priority="1" operator="lessThan" dxfId="2">
      <formula>0</formula>
    </cfRule>
    <cfRule type="cellIs" priority="2" operator="greaterThan" dxfId="8">
      <formula>0</formula>
    </cfRule>
  </conditionalFormatting>
  <conditionalFormatting sqref="I17:I26">
    <cfRule type="dataBar" priority="3">
      <dataBar>
        <cfvo type="num" val="0"/>
        <cfvo type="num" val="1"/>
        <color rgb="000D9488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6A34A"/>
    <outlinePr summaryBelow="1" summaryRight="1"/>
    <pageSetUpPr fitToPage="1"/>
  </sheetPr>
  <dimension ref="A1:AN28"/>
  <sheetViews>
    <sheetView showGridLines="0" showRowColHeader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3" customWidth="1" min="4" max="4"/>
    <col width="30" customWidth="1" min="5" max="5"/>
    <col width="20" customWidth="1" min="6" max="6"/>
    <col width="3" customWidth="1" min="7" max="7"/>
    <col width="11" customWidth="1" min="8" max="8"/>
    <col width="10" customWidth="1" min="9" max="9"/>
    <col width="10" customWidth="1" min="10" max="10"/>
    <col width="9" customWidth="1" min="11" max="11"/>
    <col width="12" customWidth="1" min="12" max="12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Novo Lançamento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Escolha o ticker, informe a quantidade e clique em Registrar — o resto vem do cadastro do ativo.</t>
        </is>
      </c>
      <c r="L3" s="158" t="inlineStr">
        <is>
          <t>cadastro-formulario-v3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159" t="inlineStr">
        <is>
          <t>Amarelo = você preenche   •   Cinza ⟲ = automático   •   Botão Registrar grava na hora (habilite as macros ao abrir o arquivo)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30" customHeight="1">
      <c r="A7" s="5" t="n"/>
      <c r="B7" s="160" t="inlineStr">
        <is>
          <t>✚  Compra / venda de cotas</t>
        </is>
      </c>
      <c r="C7" s="161" t="n"/>
      <c r="D7" s="5" t="n"/>
      <c r="E7" s="162" t="inlineStr">
        <is>
          <t>◈  Provento recebido</t>
        </is>
      </c>
      <c r="F7" s="163" t="n"/>
      <c r="G7" s="5" t="n"/>
      <c r="H7" s="162" t="inlineStr">
        <is>
          <t>Últimos lançamentos</t>
        </is>
      </c>
      <c r="I7" s="163" t="n"/>
      <c r="J7" s="163" t="n"/>
      <c r="K7" s="163" t="n"/>
      <c r="L7" s="163" t="n"/>
      <c r="M7" s="5" t="n"/>
    </row>
    <row r="8" ht="24" customHeight="1">
      <c r="A8" s="5" t="n"/>
      <c r="B8" s="164" t="inlineStr">
        <is>
          <t>Data  (vazio = hoje)</t>
        </is>
      </c>
      <c r="C8" s="165" t="n"/>
      <c r="D8" s="5" t="n"/>
      <c r="E8" s="164" t="inlineStr">
        <is>
          <t>Data pagamento  (vazio = hoje)</t>
        </is>
      </c>
      <c r="F8" s="165" t="n"/>
      <c r="G8" s="5" t="n"/>
      <c r="H8" s="166" t="inlineStr">
        <is>
          <t>Data</t>
        </is>
      </c>
      <c r="I8" s="166" t="inlineStr">
        <is>
          <t>Ticker</t>
        </is>
      </c>
      <c r="J8" s="166" t="inlineStr">
        <is>
          <t>Operação</t>
        </is>
      </c>
      <c r="K8" s="166" t="inlineStr">
        <is>
          <t>Cotas</t>
        </is>
      </c>
      <c r="L8" s="166" t="inlineStr">
        <is>
          <t>Preço (R$)</t>
        </is>
      </c>
      <c r="M8" s="5" t="n"/>
    </row>
    <row r="9" ht="24" customHeight="1">
      <c r="A9" s="5" t="n"/>
      <c r="B9" s="164" t="inlineStr">
        <is>
          <t>Ticker</t>
        </is>
      </c>
      <c r="C9" s="167" t="n"/>
      <c r="D9" s="5" t="n"/>
      <c r="E9" s="164" t="inlineStr">
        <is>
          <t>Ticker</t>
        </is>
      </c>
      <c r="F9" s="167" t="n"/>
      <c r="G9" s="5" t="n"/>
      <c r="H9" s="168">
        <f>IF((COUNTA('Lançamentos'!$B:$B)+3-0)&lt;5,"",INDEX('Lançamentos'!$A:$A,(COUNTA('Lançamentos'!$B:$B)+3-0)))</f>
        <v/>
      </c>
      <c r="I9" s="169">
        <f>IF((COUNTA('Lançamentos'!$B:$B)+3-0)&lt;5,"",INDEX('Lançamentos'!$B:$B,(COUNTA('Lançamentos'!$B:$B)+3-0)))</f>
        <v/>
      </c>
      <c r="J9" s="170">
        <f>IF((COUNTA('Lançamentos'!$B:$B)+3-0)&lt;5,"",INDEX('Lançamentos'!$C:$C,(COUNTA('Lançamentos'!$B:$B)+3-0)))</f>
        <v/>
      </c>
      <c r="K9" s="171">
        <f>IF((COUNTA('Lançamentos'!$B:$B)+3-0)&lt;5,"",INDEX('Lançamentos'!$D:$D,(COUNTA('Lançamentos'!$B:$B)+3-0)))</f>
        <v/>
      </c>
      <c r="L9" s="172">
        <f>IF((COUNTA('Lançamentos'!$B:$B)+3-0)&lt;5,"",INDEX('Lançamentos'!$E:$E,(COUNTA('Lançamentos'!$B:$B)+3-0)))</f>
        <v/>
      </c>
      <c r="M9" s="5" t="n"/>
    </row>
    <row r="10" ht="24" customHeight="1">
      <c r="A10" s="5" t="n"/>
      <c r="B10" s="164" t="inlineStr">
        <is>
          <t>Operação  (vazio = compra)</t>
        </is>
      </c>
      <c r="C10" s="167" t="n"/>
      <c r="D10" s="5" t="n"/>
      <c r="E10" s="164" t="inlineStr">
        <is>
          <t>Tipo de provento</t>
        </is>
      </c>
      <c r="F10" s="167" t="n"/>
      <c r="G10" s="5" t="n"/>
      <c r="H10" s="168">
        <f>IF((COUNTA('Lançamentos'!$B:$B)+3-1)&lt;5,"",INDEX('Lançamentos'!$A:$A,(COUNTA('Lançamentos'!$B:$B)+3-1)))</f>
        <v/>
      </c>
      <c r="I10" s="169">
        <f>IF((COUNTA('Lançamentos'!$B:$B)+3-1)&lt;5,"",INDEX('Lançamentos'!$B:$B,(COUNTA('Lançamentos'!$B:$B)+3-1)))</f>
        <v/>
      </c>
      <c r="J10" s="170">
        <f>IF((COUNTA('Lançamentos'!$B:$B)+3-1)&lt;5,"",INDEX('Lançamentos'!$C:$C,(COUNTA('Lançamentos'!$B:$B)+3-1)))</f>
        <v/>
      </c>
      <c r="K10" s="171">
        <f>IF((COUNTA('Lançamentos'!$B:$B)+3-1)&lt;5,"",INDEX('Lançamentos'!$D:$D,(COUNTA('Lançamentos'!$B:$B)+3-1)))</f>
        <v/>
      </c>
      <c r="L10" s="172">
        <f>IF((COUNTA('Lançamentos'!$B:$B)+3-1)&lt;5,"",INDEX('Lançamentos'!$E:$E,(COUNTA('Lançamentos'!$B:$B)+3-1)))</f>
        <v/>
      </c>
      <c r="M10" s="5" t="n"/>
    </row>
    <row r="11" ht="24" customHeight="1">
      <c r="A11" s="5" t="n"/>
      <c r="B11" s="164" t="inlineStr">
        <is>
          <t>Quantidade de cotas</t>
        </is>
      </c>
      <c r="C11" s="173" t="n"/>
      <c r="D11" s="5" t="n"/>
      <c r="E11" s="164" t="inlineStr">
        <is>
          <t>Valor por cota (R$)</t>
        </is>
      </c>
      <c r="F11" s="174" t="n"/>
      <c r="G11" s="5" t="n"/>
      <c r="H11" s="168">
        <f>IF((COUNTA('Lançamentos'!$B:$B)+3-2)&lt;5,"",INDEX('Lançamentos'!$A:$A,(COUNTA('Lançamentos'!$B:$B)+3-2)))</f>
        <v/>
      </c>
      <c r="I11" s="169">
        <f>IF((COUNTA('Lançamentos'!$B:$B)+3-2)&lt;5,"",INDEX('Lançamentos'!$B:$B,(COUNTA('Lançamentos'!$B:$B)+3-2)))</f>
        <v/>
      </c>
      <c r="J11" s="170">
        <f>IF((COUNTA('Lançamentos'!$B:$B)+3-2)&lt;5,"",INDEX('Lançamentos'!$C:$C,(COUNTA('Lançamentos'!$B:$B)+3-2)))</f>
        <v/>
      </c>
      <c r="K11" s="171">
        <f>IF((COUNTA('Lançamentos'!$B:$B)+3-2)&lt;5,"",INDEX('Lançamentos'!$D:$D,(COUNTA('Lançamentos'!$B:$B)+3-2)))</f>
        <v/>
      </c>
      <c r="L11" s="172">
        <f>IF((COUNTA('Lançamentos'!$B:$B)+3-2)&lt;5,"",INDEX('Lançamentos'!$E:$E,(COUNTA('Lançamentos'!$B:$B)+3-2)))</f>
        <v/>
      </c>
      <c r="M11" s="5" t="n"/>
    </row>
    <row r="12" ht="24" customHeight="1">
      <c r="A12" s="5" t="n"/>
      <c r="B12" s="164" t="inlineStr">
        <is>
          <t>Preço por cota  (vazio = cotação)</t>
        </is>
      </c>
      <c r="C12" s="175" t="n"/>
      <c r="D12" s="5" t="n"/>
      <c r="E12" s="164" t="inlineStr">
        <is>
          <t>Qtd de cotas  (vazio = suas cotas)</t>
        </is>
      </c>
      <c r="F12" s="173" t="n"/>
      <c r="G12" s="5" t="n"/>
      <c r="H12" s="168">
        <f>IF((COUNTA('Lançamentos'!$B:$B)+3-3)&lt;5,"",INDEX('Lançamentos'!$A:$A,(COUNTA('Lançamentos'!$B:$B)+3-3)))</f>
        <v/>
      </c>
      <c r="I12" s="169">
        <f>IF((COUNTA('Lançamentos'!$B:$B)+3-3)&lt;5,"",INDEX('Lançamentos'!$B:$B,(COUNTA('Lançamentos'!$B:$B)+3-3)))</f>
        <v/>
      </c>
      <c r="J12" s="170">
        <f>IF((COUNTA('Lançamentos'!$B:$B)+3-3)&lt;5,"",INDEX('Lançamentos'!$C:$C,(COUNTA('Lançamentos'!$B:$B)+3-3)))</f>
        <v/>
      </c>
      <c r="K12" s="171">
        <f>IF((COUNTA('Lançamentos'!$B:$B)+3-3)&lt;5,"",INDEX('Lançamentos'!$D:$D,(COUNTA('Lançamentos'!$B:$B)+3-3)))</f>
        <v/>
      </c>
      <c r="L12" s="172">
        <f>IF((COUNTA('Lançamentos'!$B:$B)+3-3)&lt;5,"",INDEX('Lançamentos'!$E:$E,(COUNTA('Lançamentos'!$B:$B)+3-3)))</f>
        <v/>
      </c>
      <c r="M12" s="5" t="n"/>
    </row>
    <row r="13" ht="18" customHeight="1">
      <c r="A13" s="5" t="n"/>
      <c r="B13" s="164" t="inlineStr">
        <is>
          <t>Custos / taxas (R$)</t>
        </is>
      </c>
      <c r="C13" s="175" t="n"/>
      <c r="D13" s="5" t="n"/>
      <c r="E13" s="176" t="inlineStr">
        <is>
          <t>AUTOMÁTICO  ⟲</t>
        </is>
      </c>
      <c r="F13" s="13" t="n"/>
      <c r="G13" s="5" t="n"/>
      <c r="H13" s="168">
        <f>IF((COUNTA('Lançamentos'!$B:$B)+3-4)&lt;5,"",INDEX('Lançamentos'!$A:$A,(COUNTA('Lançamentos'!$B:$B)+3-4)))</f>
        <v/>
      </c>
      <c r="I13" s="169">
        <f>IF((COUNTA('Lançamentos'!$B:$B)+3-4)&lt;5,"",INDEX('Lançamentos'!$B:$B,(COUNTA('Lançamentos'!$B:$B)+3-4)))</f>
        <v/>
      </c>
      <c r="J13" s="170">
        <f>IF((COUNTA('Lançamentos'!$B:$B)+3-4)&lt;5,"",INDEX('Lançamentos'!$C:$C,(COUNTA('Lançamentos'!$B:$B)+3-4)))</f>
        <v/>
      </c>
      <c r="K13" s="171">
        <f>IF((COUNTA('Lançamentos'!$B:$B)+3-4)&lt;5,"",INDEX('Lançamentos'!$D:$D,(COUNTA('Lançamentos'!$B:$B)+3-4)))</f>
        <v/>
      </c>
      <c r="L13" s="172">
        <f>IF((COUNTA('Lançamentos'!$B:$B)+3-4)&lt;5,"",INDEX('Lançamentos'!$E:$E,(COUNTA('Lançamentos'!$B:$B)+3-4)))</f>
        <v/>
      </c>
      <c r="M13" s="5" t="n"/>
    </row>
    <row r="14" ht="21" customHeight="1">
      <c r="A14" s="5" t="n"/>
      <c r="B14" s="176" t="inlineStr">
        <is>
          <t>DADOS DO ATIVO  ⟲ automático</t>
        </is>
      </c>
      <c r="C14" s="13" t="n"/>
      <c r="D14" s="5" t="n"/>
      <c r="E14" s="164" t="inlineStr">
        <is>
          <t>Cotas que você tem</t>
        </is>
      </c>
      <c r="F14" s="177">
        <f>IF(pv_ticker="","",IFERROR(INDEX(Carteira!$C$5:$C$20,MATCH(pv_ticker,Carteira!$A$5:$A$20,0)),0))</f>
        <v/>
      </c>
      <c r="G14" s="5" t="n"/>
      <c r="H14" s="168">
        <f>IF((COUNTA('Lançamentos'!$B:$B)+3-5)&lt;5,"",INDEX('Lançamentos'!$A:$A,(COUNTA('Lançamentos'!$B:$B)+3-5)))</f>
        <v/>
      </c>
      <c r="I14" s="169">
        <f>IF((COUNTA('Lançamentos'!$B:$B)+3-5)&lt;5,"",INDEX('Lançamentos'!$B:$B,(COUNTA('Lançamentos'!$B:$B)+3-5)))</f>
        <v/>
      </c>
      <c r="J14" s="170">
        <f>IF((COUNTA('Lançamentos'!$B:$B)+3-5)&lt;5,"",INDEX('Lançamentos'!$C:$C,(COUNTA('Lançamentos'!$B:$B)+3-5)))</f>
        <v/>
      </c>
      <c r="K14" s="171">
        <f>IF((COUNTA('Lançamentos'!$B:$B)+3-5)&lt;5,"",INDEX('Lançamentos'!$D:$D,(COUNTA('Lançamentos'!$B:$B)+3-5)))</f>
        <v/>
      </c>
      <c r="L14" s="172">
        <f>IF((COUNTA('Lançamentos'!$B:$B)+3-5)&lt;5,"",INDEX('Lançamentos'!$E:$E,(COUNTA('Lançamentos'!$B:$B)+3-5)))</f>
        <v/>
      </c>
      <c r="M14" s="5" t="n"/>
    </row>
    <row r="15" ht="21" customHeight="1">
      <c r="A15" s="5" t="n"/>
      <c r="B15" s="164" t="inlineStr">
        <is>
          <t>Ativo</t>
        </is>
      </c>
      <c r="C15" s="178">
        <f>IF(lc_ticker="","",IFERROR(INDEX(Ativos!$B$5:$B$20,MATCH(lc_ticker,Ativos!$A$5:$A$20,0))&amp;"  •  "&amp;INDEX(Ativos!$C$5:$C$20,MATCH(lc_ticker,Ativos!$A$5:$A$20,0)),"Ticker novo — preencha Tipo e Segmento abaixo"))</f>
        <v/>
      </c>
      <c r="D15" s="5" t="n"/>
      <c r="E15" s="164" t="inlineStr">
        <is>
          <t>Total recebido</t>
        </is>
      </c>
      <c r="F15" s="179">
        <f>IF(pv_valor="","",pv_valor*IF(pv_qtd="",N(pv_tem),pv_qtd))</f>
        <v/>
      </c>
      <c r="G15" s="5" t="n"/>
      <c r="H15" s="168">
        <f>IF((COUNTA('Lançamentos'!$B:$B)+3-6)&lt;5,"",INDEX('Lançamentos'!$A:$A,(COUNTA('Lançamentos'!$B:$B)+3-6)))</f>
        <v/>
      </c>
      <c r="I15" s="169">
        <f>IF((COUNTA('Lançamentos'!$B:$B)+3-6)&lt;5,"",INDEX('Lançamentos'!$B:$B,(COUNTA('Lançamentos'!$B:$B)+3-6)))</f>
        <v/>
      </c>
      <c r="J15" s="170">
        <f>IF((COUNTA('Lançamentos'!$B:$B)+3-6)&lt;5,"",INDEX('Lançamentos'!$C:$C,(COUNTA('Lançamentos'!$B:$B)+3-6)))</f>
        <v/>
      </c>
      <c r="K15" s="171">
        <f>IF((COUNTA('Lançamentos'!$B:$B)+3-6)&lt;5,"",INDEX('Lançamentos'!$D:$D,(COUNTA('Lançamentos'!$B:$B)+3-6)))</f>
        <v/>
      </c>
      <c r="L15" s="172">
        <f>IF((COUNTA('Lançamentos'!$B:$B)+3-6)&lt;5,"",INDEX('Lançamentos'!$E:$E,(COUNTA('Lançamentos'!$B:$B)+3-6)))</f>
        <v/>
      </c>
      <c r="M15" s="5" t="n"/>
    </row>
    <row r="16" ht="30" customHeight="1">
      <c r="A16" s="5" t="n"/>
      <c r="B16" s="164" t="inlineStr">
        <is>
          <t>Cotação atual (R$)</t>
        </is>
      </c>
      <c r="C16" s="180">
        <f>IF(lc_ticker="","",IFERROR(INDEX(Ativos!$D$5:$D$20,MATCH(lc_ticker,Ativos!$A$5:$A$20,0)),""))</f>
        <v/>
      </c>
      <c r="D16" s="5" t="n"/>
      <c r="E16" s="181" t="n"/>
      <c r="F16" s="44" t="n"/>
      <c r="G16" s="5" t="n"/>
      <c r="H16" s="168">
        <f>IF((COUNTA('Lançamentos'!$B:$B)+3-7)&lt;5,"",INDEX('Lançamentos'!$A:$A,(COUNTA('Lançamentos'!$B:$B)+3-7)))</f>
        <v/>
      </c>
      <c r="I16" s="169">
        <f>IF((COUNTA('Lançamentos'!$B:$B)+3-7)&lt;5,"",INDEX('Lançamentos'!$B:$B,(COUNTA('Lançamentos'!$B:$B)+3-7)))</f>
        <v/>
      </c>
      <c r="J16" s="170">
        <f>IF((COUNTA('Lançamentos'!$B:$B)+3-7)&lt;5,"",INDEX('Lançamentos'!$C:$C,(COUNTA('Lançamentos'!$B:$B)+3-7)))</f>
        <v/>
      </c>
      <c r="K16" s="171">
        <f>IF((COUNTA('Lançamentos'!$B:$B)+3-7)&lt;5,"",INDEX('Lançamentos'!$D:$D,(COUNTA('Lançamentos'!$B:$B)+3-7)))</f>
        <v/>
      </c>
      <c r="L16" s="172">
        <f>IF((COUNTA('Lançamentos'!$B:$B)+3-7)&lt;5,"",INDEX('Lançamentos'!$E:$E,(COUNTA('Lançamentos'!$B:$B)+3-7)))</f>
        <v/>
      </c>
      <c r="M16" s="5" t="n"/>
    </row>
    <row r="17" ht="15" customHeight="1">
      <c r="A17" s="5" t="n"/>
      <c r="B17" s="164" t="inlineStr">
        <is>
          <t>Cotas que você tem</t>
        </is>
      </c>
      <c r="C17" s="177">
        <f>IF(lc_ticker="","",IFERROR(INDEX(Carteira!$C$5:$C$20,MATCH(lc_ticker,Carteira!$A$5:$A$20,0)),0))</f>
        <v/>
      </c>
      <c r="D17" s="5" t="n"/>
      <c r="E17" s="5" t="n"/>
      <c r="F17" s="5" t="n"/>
      <c r="G17" s="5" t="n"/>
      <c r="H17" s="168">
        <f>IF((COUNTA('Lançamentos'!$B:$B)+3-8)&lt;5,"",INDEX('Lançamentos'!$A:$A,(COUNTA('Lançamentos'!$B:$B)+3-8)))</f>
        <v/>
      </c>
      <c r="I17" s="169">
        <f>IF((COUNTA('Lançamentos'!$B:$B)+3-8)&lt;5,"",INDEX('Lançamentos'!$B:$B,(COUNTA('Lançamentos'!$B:$B)+3-8)))</f>
        <v/>
      </c>
      <c r="J17" s="170">
        <f>IF((COUNTA('Lançamentos'!$B:$B)+3-8)&lt;5,"",INDEX('Lançamentos'!$C:$C,(COUNTA('Lançamentos'!$B:$B)+3-8)))</f>
        <v/>
      </c>
      <c r="K17" s="171">
        <f>IF((COUNTA('Lançamentos'!$B:$B)+3-8)&lt;5,"",INDEX('Lançamentos'!$D:$D,(COUNTA('Lançamentos'!$B:$B)+3-8)))</f>
        <v/>
      </c>
      <c r="L17" s="172">
        <f>IF((COUNTA('Lançamentos'!$B:$B)+3-8)&lt;5,"",INDEX('Lançamentos'!$E:$E,(COUNTA('Lançamentos'!$B:$B)+3-8)))</f>
        <v/>
      </c>
      <c r="M17" s="5" t="n"/>
    </row>
    <row r="18" ht="32" customHeight="1">
      <c r="A18" s="5" t="n"/>
      <c r="B18" s="176" t="inlineStr">
        <is>
          <t>SÓ PARA TICKER NOVO</t>
        </is>
      </c>
      <c r="C18" s="13" t="n"/>
      <c r="D18" s="5" t="n"/>
      <c r="E18" s="5" t="n"/>
      <c r="F18" s="5" t="n"/>
      <c r="G18" s="5" t="n"/>
      <c r="H18" s="168">
        <f>IF((COUNTA('Lançamentos'!$B:$B)+3-9)&lt;5,"",INDEX('Lançamentos'!$A:$A,(COUNTA('Lançamentos'!$B:$B)+3-9)))</f>
        <v/>
      </c>
      <c r="I18" s="169">
        <f>IF((COUNTA('Lançamentos'!$B:$B)+3-9)&lt;5,"",INDEX('Lançamentos'!$B:$B,(COUNTA('Lançamentos'!$B:$B)+3-9)))</f>
        <v/>
      </c>
      <c r="J18" s="170">
        <f>IF((COUNTA('Lançamentos'!$B:$B)+3-9)&lt;5,"",INDEX('Lançamentos'!$C:$C,(COUNTA('Lançamentos'!$B:$B)+3-9)))</f>
        <v/>
      </c>
      <c r="K18" s="171">
        <f>IF((COUNTA('Lançamentos'!$B:$B)+3-9)&lt;5,"",INDEX('Lançamentos'!$D:$D,(COUNTA('Lançamentos'!$B:$B)+3-9)))</f>
        <v/>
      </c>
      <c r="L18" s="172">
        <f>IF((COUNTA('Lançamentos'!$B:$B)+3-9)&lt;5,"",INDEX('Lançamentos'!$E:$E,(COUNTA('Lançamentos'!$B:$B)+3-9)))</f>
        <v/>
      </c>
      <c r="M18" s="5" t="n"/>
    </row>
    <row r="19" ht="24" customHeight="1">
      <c r="A19" s="5" t="n"/>
      <c r="B19" s="164" t="inlineStr">
        <is>
          <t>Tipo do ativo (AÇÃO / FII)</t>
        </is>
      </c>
      <c r="C19" s="167" t="n"/>
      <c r="D19" s="5" t="n"/>
      <c r="E19" s="5" t="n"/>
      <c r="F19" s="5" t="n"/>
      <c r="G19" s="5" t="n"/>
      <c r="H19" s="168">
        <f>IF((COUNTA('Lançamentos'!$B:$B)+3-10)&lt;5,"",INDEX('Lançamentos'!$A:$A,(COUNTA('Lançamentos'!$B:$B)+3-10)))</f>
        <v/>
      </c>
      <c r="I19" s="169">
        <f>IF((COUNTA('Lançamentos'!$B:$B)+3-10)&lt;5,"",INDEX('Lançamentos'!$B:$B,(COUNTA('Lançamentos'!$B:$B)+3-10)))</f>
        <v/>
      </c>
      <c r="J19" s="170">
        <f>IF((COUNTA('Lançamentos'!$B:$B)+3-10)&lt;5,"",INDEX('Lançamentos'!$C:$C,(COUNTA('Lançamentos'!$B:$B)+3-10)))</f>
        <v/>
      </c>
      <c r="K19" s="171">
        <f>IF((COUNTA('Lançamentos'!$B:$B)+3-10)&lt;5,"",INDEX('Lançamentos'!$D:$D,(COUNTA('Lançamentos'!$B:$B)+3-10)))</f>
        <v/>
      </c>
      <c r="L19" s="172">
        <f>IF((COUNTA('Lançamentos'!$B:$B)+3-10)&lt;5,"",INDEX('Lançamentos'!$E:$E,(COUNTA('Lançamentos'!$B:$B)+3-10)))</f>
        <v/>
      </c>
      <c r="M19" s="5" t="n"/>
    </row>
    <row r="20" ht="24" customHeight="1">
      <c r="A20" s="5" t="n"/>
      <c r="B20" s="164" t="inlineStr">
        <is>
          <t>Segmento</t>
        </is>
      </c>
      <c r="C20" s="167" t="n"/>
      <c r="D20" s="5" t="n"/>
      <c r="E20" s="5" t="n"/>
      <c r="F20" s="5" t="n"/>
      <c r="G20" s="5" t="n"/>
      <c r="H20" s="168">
        <f>IF((COUNTA('Lançamentos'!$B:$B)+3-11)&lt;5,"",INDEX('Lançamentos'!$A:$A,(COUNTA('Lançamentos'!$B:$B)+3-11)))</f>
        <v/>
      </c>
      <c r="I20" s="169">
        <f>IF((COUNTA('Lançamentos'!$B:$B)+3-11)&lt;5,"",INDEX('Lançamentos'!$B:$B,(COUNTA('Lançamentos'!$B:$B)+3-11)))</f>
        <v/>
      </c>
      <c r="J20" s="170">
        <f>IF((COUNTA('Lançamentos'!$B:$B)+3-11)&lt;5,"",INDEX('Lançamentos'!$C:$C,(COUNTA('Lançamentos'!$B:$B)+3-11)))</f>
        <v/>
      </c>
      <c r="K20" s="171">
        <f>IF((COUNTA('Lançamentos'!$B:$B)+3-11)&lt;5,"",INDEX('Lançamentos'!$D:$D,(COUNTA('Lançamentos'!$B:$B)+3-11)))</f>
        <v/>
      </c>
      <c r="L20" s="172">
        <f>IF((COUNTA('Lançamentos'!$B:$B)+3-11)&lt;5,"",INDEX('Lançamentos'!$E:$E,(COUNTA('Lançamentos'!$B:$B)+3-11)))</f>
        <v/>
      </c>
      <c r="M20" s="5" t="n"/>
    </row>
    <row r="21" ht="18" customHeight="1">
      <c r="A21" s="5" t="n"/>
      <c r="B21" s="176" t="inlineStr">
        <is>
          <t>RESUMO</t>
        </is>
      </c>
      <c r="C21" s="13" t="n"/>
      <c r="D21" s="5" t="n"/>
      <c r="E21" s="5" t="n"/>
      <c r="F21" s="5" t="n"/>
      <c r="G21" s="5" t="n"/>
      <c r="H21" s="168">
        <f>IF((COUNTA('Lançamentos'!$B:$B)+3-12)&lt;5,"",INDEX('Lançamentos'!$A:$A,(COUNTA('Lançamentos'!$B:$B)+3-12)))</f>
        <v/>
      </c>
      <c r="I21" s="169">
        <f>IF((COUNTA('Lançamentos'!$B:$B)+3-12)&lt;5,"",INDEX('Lançamentos'!$B:$B,(COUNTA('Lançamentos'!$B:$B)+3-12)))</f>
        <v/>
      </c>
      <c r="J21" s="170">
        <f>IF((COUNTA('Lançamentos'!$B:$B)+3-12)&lt;5,"",INDEX('Lançamentos'!$C:$C,(COUNTA('Lançamentos'!$B:$B)+3-12)))</f>
        <v/>
      </c>
      <c r="K21" s="171">
        <f>IF((COUNTA('Lançamentos'!$B:$B)+3-12)&lt;5,"",INDEX('Lançamentos'!$D:$D,(COUNTA('Lançamentos'!$B:$B)+3-12)))</f>
        <v/>
      </c>
      <c r="L21" s="172">
        <f>IF((COUNTA('Lançamentos'!$B:$B)+3-12)&lt;5,"",INDEX('Lançamentos'!$E:$E,(COUNTA('Lançamentos'!$B:$B)+3-12)))</f>
        <v/>
      </c>
      <c r="M21" s="5" t="n"/>
    </row>
    <row r="22" ht="21" customHeight="1">
      <c r="A22" s="5" t="n"/>
      <c r="B22" s="164" t="inlineStr">
        <is>
          <t>Total do lançamento</t>
        </is>
      </c>
      <c r="C22" s="179">
        <f>IF(lc_qtd="","",lc_qtd*IF(lc_preco="",N(lc_cot),lc_preco)+N(lc_custos))</f>
        <v/>
      </c>
      <c r="D22" s="5" t="n"/>
      <c r="E22" s="5" t="n"/>
      <c r="F22" s="5" t="n"/>
      <c r="G22" s="5" t="n"/>
      <c r="H22" s="168">
        <f>IF((COUNTA('Lançamentos'!$B:$B)+3-13)&lt;5,"",INDEX('Lançamentos'!$A:$A,(COUNTA('Lançamentos'!$B:$B)+3-13)))</f>
        <v/>
      </c>
      <c r="I22" s="169">
        <f>IF((COUNTA('Lançamentos'!$B:$B)+3-13)&lt;5,"",INDEX('Lançamentos'!$B:$B,(COUNTA('Lançamentos'!$B:$B)+3-13)))</f>
        <v/>
      </c>
      <c r="J22" s="170">
        <f>IF((COUNTA('Lançamentos'!$B:$B)+3-13)&lt;5,"",INDEX('Lançamentos'!$C:$C,(COUNTA('Lançamentos'!$B:$B)+3-13)))</f>
        <v/>
      </c>
      <c r="K22" s="171">
        <f>IF((COUNTA('Lançamentos'!$B:$B)+3-13)&lt;5,"",INDEX('Lançamentos'!$D:$D,(COUNTA('Lançamentos'!$B:$B)+3-13)))</f>
        <v/>
      </c>
      <c r="L22" s="172">
        <f>IF((COUNTA('Lançamentos'!$B:$B)+3-13)&lt;5,"",INDEX('Lançamentos'!$E:$E,(COUNTA('Lançamentos'!$B:$B)+3-13)))</f>
        <v/>
      </c>
      <c r="M22" s="5" t="n"/>
    </row>
    <row r="23" ht="21" customHeight="1">
      <c r="A23" s="5" t="n"/>
      <c r="B23" s="164" t="inlineStr">
        <is>
          <t>Cotas após o lançamento</t>
        </is>
      </c>
      <c r="C23" s="177">
        <f>IF(lc_qtd="","",N(lc_tem)+IF(UPPER(lc_op)="VENDA",-1,1)*lc_qtd)</f>
        <v/>
      </c>
      <c r="D23" s="5" t="n"/>
      <c r="E23" s="5" t="n"/>
      <c r="F23" s="5" t="n"/>
      <c r="G23" s="5" t="n"/>
      <c r="H23" s="168">
        <f>IF((COUNTA('Lançamentos'!$B:$B)+3-14)&lt;5,"",INDEX('Lançamentos'!$A:$A,(COUNTA('Lançamentos'!$B:$B)+3-14)))</f>
        <v/>
      </c>
      <c r="I23" s="169">
        <f>IF((COUNTA('Lançamentos'!$B:$B)+3-14)&lt;5,"",INDEX('Lançamentos'!$B:$B,(COUNTA('Lançamentos'!$B:$B)+3-14)))</f>
        <v/>
      </c>
      <c r="J23" s="170">
        <f>IF((COUNTA('Lançamentos'!$B:$B)+3-14)&lt;5,"",INDEX('Lançamentos'!$C:$C,(COUNTA('Lançamentos'!$B:$B)+3-14)))</f>
        <v/>
      </c>
      <c r="K23" s="171">
        <f>IF((COUNTA('Lançamentos'!$B:$B)+3-14)&lt;5,"",INDEX('Lançamentos'!$D:$D,(COUNTA('Lançamentos'!$B:$B)+3-14)))</f>
        <v/>
      </c>
      <c r="L23" s="172">
        <f>IF((COUNTA('Lançamentos'!$B:$B)+3-14)&lt;5,"",INDEX('Lançamentos'!$E:$E,(COUNTA('Lançamentos'!$B:$B)+3-14)))</f>
        <v/>
      </c>
      <c r="M23" s="5" t="n"/>
    </row>
    <row r="24" ht="30" customHeight="1">
      <c r="A24" s="5" t="n"/>
      <c r="B24" s="181" t="n"/>
      <c r="C24" s="44" t="n"/>
      <c r="D24" s="5" t="n"/>
      <c r="E24" s="5" t="n"/>
      <c r="F24" s="5" t="n"/>
      <c r="G24" s="5" t="n"/>
      <c r="H24" s="159" t="inlineStr">
        <is>
          <t>Histórico completo na aba Lançamentos • posição de cada ativo na aba Carteira</t>
        </is>
      </c>
      <c r="I24" s="5" t="n"/>
      <c r="J24" s="5" t="n"/>
      <c r="K24" s="5" t="n"/>
      <c r="L24" s="5" t="n"/>
      <c r="M24" s="5" t="n"/>
    </row>
    <row r="25" ht="1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3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</sheetData>
  <mergeCells count="9">
    <mergeCell ref="B21:C21"/>
    <mergeCell ref="B24:C24"/>
    <mergeCell ref="E16:F16"/>
    <mergeCell ref="B7:C7"/>
    <mergeCell ref="H7:L7"/>
    <mergeCell ref="E7:F7"/>
    <mergeCell ref="B14:C14"/>
    <mergeCell ref="E13:F13"/>
    <mergeCell ref="B18:C18"/>
  </mergeCells>
  <dataValidations count="5">
    <dataValidation sqref="C9" showDropDown="0" showInputMessage="0" showErrorMessage="0" allowBlank="1" type="list">
      <formula1>=Ativos!$A$5:$A$20</formula1>
    </dataValidation>
    <dataValidation sqref="C10" showDropDown="0" showInputMessage="0" showErrorMessage="0" allowBlank="1" type="list">
      <formula1>"COMPRA,VENDA"</formula1>
    </dataValidation>
    <dataValidation sqref="C19" showDropDown="0" showInputMessage="0" showErrorMessage="0" allowBlank="1" type="list">
      <formula1>"AÇÃO,FII"</formula1>
    </dataValidation>
    <dataValidation sqref="F9" showDropDown="0" showInputMessage="0" showErrorMessage="0" allowBlank="1" type="list">
      <formula1>=Ativos!$A$5:$A$20</formula1>
    </dataValidation>
    <dataValidation sqref="F10" showDropDown="0" showInputMessage="0" showErrorMessage="0" allowBlank="1" type="list">
      <formula1>"DIVIDENDO,JCP,RENDIMENTO,AMORTIZAÇÃO"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AN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6" customWidth="1" min="3" max="3"/>
    <col width="14" customWidth="1" min="4" max="4"/>
    <col width="16" customWidth="1" min="5" max="5"/>
    <col width="11" customWidth="1" min="6" max="6"/>
    <col width="14" customWidth="1" min="7" max="7"/>
    <col width="14" customWidth="1" min="8" max="8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Cadastro de Ativos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Gerado a partir de dados/ativos.csv — edite lá e rode gestao.py (ou atualizar.bat).</t>
        </is>
      </c>
    </row>
    <row r="4" ht="32" customHeight="1">
      <c r="A4" s="89" t="inlineStr">
        <is>
          <t>Ticker</t>
        </is>
      </c>
      <c r="B4" s="89" t="inlineStr">
        <is>
          <t>Tipo</t>
        </is>
      </c>
      <c r="C4" s="89" t="inlineStr">
        <is>
          <t>Segmento</t>
        </is>
      </c>
      <c r="D4" s="89" t="inlineStr">
        <is>
          <t>Cotação (R$)</t>
        </is>
      </c>
      <c r="E4" s="89" t="inlineStr">
        <is>
          <t>Provento 12m por cota (R$)</t>
        </is>
      </c>
      <c r="F4" s="89" t="inlineStr">
        <is>
          <t>Peso ideal</t>
        </is>
      </c>
      <c r="G4" s="89" t="inlineStr">
        <is>
          <t>Atualizado em</t>
        </is>
      </c>
    </row>
    <row r="5">
      <c r="A5" s="182" t="inlineStr">
        <is>
          <t>VALE3</t>
        </is>
      </c>
      <c r="B5" s="182" t="inlineStr">
        <is>
          <t>AÇÃO</t>
        </is>
      </c>
      <c r="C5" s="182" t="inlineStr">
        <is>
          <t>Mineração</t>
        </is>
      </c>
      <c r="D5" s="120" t="n">
        <v>71.16</v>
      </c>
      <c r="E5" s="120" t="n">
        <v>5.6125</v>
      </c>
      <c r="F5" s="154" t="n">
        <v>0.1</v>
      </c>
      <c r="G5" s="141" t="inlineStr">
        <is>
          <t>28/09/2026</t>
        </is>
      </c>
    </row>
    <row r="6">
      <c r="A6" s="182" t="inlineStr">
        <is>
          <t>TAEE11</t>
        </is>
      </c>
      <c r="B6" s="182" t="inlineStr">
        <is>
          <t>AÇÃO</t>
        </is>
      </c>
      <c r="C6" s="182" t="inlineStr">
        <is>
          <t>Energia – Transmissão</t>
        </is>
      </c>
      <c r="D6" s="120" t="n">
        <v>40.22</v>
      </c>
      <c r="E6" s="120" t="n">
        <v>3.0065</v>
      </c>
      <c r="F6" s="154" t="n">
        <v>0.05</v>
      </c>
      <c r="G6" s="141" t="inlineStr">
        <is>
          <t>28/09/2026</t>
        </is>
      </c>
    </row>
    <row r="7">
      <c r="A7" s="182" t="inlineStr">
        <is>
          <t>PETR4</t>
        </is>
      </c>
      <c r="B7" s="182" t="inlineStr">
        <is>
          <t>AÇÃO</t>
        </is>
      </c>
      <c r="C7" s="182" t="inlineStr">
        <is>
          <t>Petróleo &amp; Gás</t>
        </is>
      </c>
      <c r="D7" s="120" t="n">
        <v>48.72</v>
      </c>
      <c r="E7" s="120" t="n">
        <v>3.6643</v>
      </c>
      <c r="F7" s="154" t="n">
        <v>0.07000000000000001</v>
      </c>
      <c r="G7" s="141" t="inlineStr">
        <is>
          <t>28/09/2026</t>
        </is>
      </c>
    </row>
    <row r="8">
      <c r="A8" s="182" t="inlineStr">
        <is>
          <t>BBAS3</t>
        </is>
      </c>
      <c r="B8" s="182" t="inlineStr">
        <is>
          <t>AÇÃO</t>
        </is>
      </c>
      <c r="C8" s="182" t="inlineStr">
        <is>
          <t>Bancos</t>
        </is>
      </c>
      <c r="D8" s="120" t="n">
        <v>21.49</v>
      </c>
      <c r="E8" s="120" t="n">
        <v>0.655</v>
      </c>
      <c r="F8" s="154" t="n">
        <v>0.06</v>
      </c>
      <c r="G8" s="141" t="inlineStr">
        <is>
          <t>28/09/2026</t>
        </is>
      </c>
    </row>
    <row r="9">
      <c r="A9" s="182" t="inlineStr">
        <is>
          <t>BRBI11</t>
        </is>
      </c>
      <c r="B9" s="182" t="inlineStr">
        <is>
          <t>AÇÃO</t>
        </is>
      </c>
      <c r="C9" s="182" t="inlineStr">
        <is>
          <t>Banco de investimento</t>
        </is>
      </c>
      <c r="D9" s="120" t="n">
        <v>14.5</v>
      </c>
      <c r="E9" s="120" t="n">
        <v>1.38</v>
      </c>
      <c r="F9" s="154" t="n">
        <v>0.05</v>
      </c>
      <c r="G9" s="141" t="inlineStr">
        <is>
          <t>28/09/2026</t>
        </is>
      </c>
    </row>
    <row r="10">
      <c r="A10" s="182" t="inlineStr">
        <is>
          <t>BBDC4</t>
        </is>
      </c>
      <c r="B10" s="182" t="inlineStr">
        <is>
          <t>AÇÃO</t>
        </is>
      </c>
      <c r="C10" s="182" t="inlineStr">
        <is>
          <t>Bancos</t>
        </is>
      </c>
      <c r="D10" s="120" t="n">
        <v>17.66</v>
      </c>
      <c r="E10" s="120" t="n">
        <v>1.5528</v>
      </c>
      <c r="F10" s="154" t="n">
        <v>0.05</v>
      </c>
      <c r="G10" s="141" t="inlineStr">
        <is>
          <t>28/09/2026</t>
        </is>
      </c>
    </row>
    <row r="11">
      <c r="A11" s="182" t="inlineStr">
        <is>
          <t>ITSA4</t>
        </is>
      </c>
      <c r="B11" s="182" t="inlineStr">
        <is>
          <t>AÇÃO</t>
        </is>
      </c>
      <c r="C11" s="182" t="inlineStr">
        <is>
          <t>Holding – Bancos</t>
        </is>
      </c>
      <c r="D11" s="120" t="n">
        <v>13.95</v>
      </c>
      <c r="E11" s="120" t="n">
        <v>1.1278</v>
      </c>
      <c r="F11" s="154" t="n">
        <v>0.1</v>
      </c>
      <c r="G11" s="141" t="inlineStr">
        <is>
          <t>28/09/2026</t>
        </is>
      </c>
    </row>
    <row r="12">
      <c r="A12" s="182" t="inlineStr">
        <is>
          <t>CMIG4</t>
        </is>
      </c>
      <c r="B12" s="182" t="inlineStr">
        <is>
          <t>AÇÃO</t>
        </is>
      </c>
      <c r="C12" s="182" t="inlineStr">
        <is>
          <t>Energia – Utilities</t>
        </is>
      </c>
      <c r="D12" s="120" t="n">
        <v>10.84</v>
      </c>
      <c r="E12" s="120" t="n">
        <v>1.3507</v>
      </c>
      <c r="F12" s="154" t="n">
        <v>0.1</v>
      </c>
      <c r="G12" s="141" t="inlineStr">
        <is>
          <t>28/09/2026</t>
        </is>
      </c>
    </row>
    <row r="13">
      <c r="A13" s="182" t="inlineStr">
        <is>
          <t>FIQE3</t>
        </is>
      </c>
      <c r="B13" s="182" t="inlineStr">
        <is>
          <t>AÇÃO</t>
        </is>
      </c>
      <c r="C13" s="182" t="inlineStr">
        <is>
          <t>Telecom / Tecnologia</t>
        </is>
      </c>
      <c r="D13" s="120" t="n">
        <v>4.92</v>
      </c>
      <c r="E13" s="120" t="n">
        <v>0.6820000000000001</v>
      </c>
      <c r="F13" s="154" t="n">
        <v>0.05</v>
      </c>
      <c r="G13" s="141" t="inlineStr">
        <is>
          <t>28/09/2026</t>
        </is>
      </c>
    </row>
    <row r="14">
      <c r="A14" s="182" t="inlineStr">
        <is>
          <t>KLBN11</t>
        </is>
      </c>
      <c r="B14" s="182" t="inlineStr">
        <is>
          <t>AÇÃO</t>
        </is>
      </c>
      <c r="C14" s="182" t="inlineStr">
        <is>
          <t>Papel &amp; Celulose</t>
        </is>
      </c>
      <c r="D14" s="120" t="n">
        <v>18.31</v>
      </c>
      <c r="E14" s="120" t="n">
        <v>1.1611</v>
      </c>
      <c r="F14" s="154" t="n">
        <v>0.07000000000000001</v>
      </c>
      <c r="G14" s="141" t="inlineStr">
        <is>
          <t>28/09/2026</t>
        </is>
      </c>
    </row>
    <row r="15">
      <c r="A15" s="182" t="inlineStr">
        <is>
          <t>MXRF11</t>
        </is>
      </c>
      <c r="B15" s="182" t="inlineStr">
        <is>
          <t>FII</t>
        </is>
      </c>
      <c r="C15" s="182" t="inlineStr">
        <is>
          <t>Papel (recebíveis)</t>
        </is>
      </c>
      <c r="D15" s="120" t="n">
        <v>9.08</v>
      </c>
      <c r="E15" s="120" t="n">
        <v>1.1943</v>
      </c>
      <c r="F15" s="154" t="n">
        <v>0.05</v>
      </c>
      <c r="G15" s="141" t="inlineStr">
        <is>
          <t>28/09/2026</t>
        </is>
      </c>
    </row>
    <row r="16">
      <c r="A16" s="182" t="inlineStr">
        <is>
          <t>BRCR11</t>
        </is>
      </c>
      <c r="B16" s="182" t="inlineStr">
        <is>
          <t>FII</t>
        </is>
      </c>
      <c r="C16" s="182" t="inlineStr">
        <is>
          <t>Lajes corporativas</t>
        </is>
      </c>
      <c r="D16" s="120" t="n">
        <v>41.31</v>
      </c>
      <c r="E16" s="120" t="n">
        <v>4.92</v>
      </c>
      <c r="F16" s="154" t="n">
        <v>0.04</v>
      </c>
      <c r="G16" s="141" t="inlineStr">
        <is>
          <t>28/09/2026</t>
        </is>
      </c>
    </row>
    <row r="17">
      <c r="A17" s="182" t="inlineStr">
        <is>
          <t>XPLG11</t>
        </is>
      </c>
      <c r="B17" s="182" t="inlineStr">
        <is>
          <t>FII</t>
        </is>
      </c>
      <c r="C17" s="182" t="inlineStr">
        <is>
          <t>Logística</t>
        </is>
      </c>
      <c r="D17" s="120" t="n">
        <v>92.54000000000001</v>
      </c>
      <c r="E17" s="120" t="n">
        <v>9.84</v>
      </c>
      <c r="F17" s="154" t="n">
        <v>0.06</v>
      </c>
      <c r="G17" s="141" t="inlineStr">
        <is>
          <t>28/09/2026</t>
        </is>
      </c>
    </row>
    <row r="18">
      <c r="A18" s="182" t="inlineStr">
        <is>
          <t>XPML11</t>
        </is>
      </c>
      <c r="B18" s="182" t="inlineStr">
        <is>
          <t>FII</t>
        </is>
      </c>
      <c r="C18" s="182" t="inlineStr">
        <is>
          <t>Shopping</t>
        </is>
      </c>
      <c r="D18" s="120" t="n">
        <v>99.17</v>
      </c>
      <c r="E18" s="120" t="n">
        <v>11.0694</v>
      </c>
      <c r="F18" s="154" t="n">
        <v>0.05</v>
      </c>
      <c r="G18" s="141" t="inlineStr">
        <is>
          <t>28/09/2026</t>
        </is>
      </c>
    </row>
    <row r="19">
      <c r="A19" s="182" t="inlineStr">
        <is>
          <t>SNAG11</t>
        </is>
      </c>
      <c r="B19" s="182" t="inlineStr">
        <is>
          <t>FII</t>
        </is>
      </c>
      <c r="C19" s="182" t="inlineStr">
        <is>
          <t>Fiagro</t>
        </is>
      </c>
      <c r="D19" s="120" t="n">
        <v>9.81</v>
      </c>
      <c r="E19" s="120" t="n">
        <v>1.58</v>
      </c>
      <c r="F19" s="154" t="n">
        <v>0.06</v>
      </c>
      <c r="G19" s="141" t="inlineStr">
        <is>
          <t>29/09/2026</t>
        </is>
      </c>
    </row>
    <row r="20">
      <c r="A20" s="182" t="inlineStr">
        <is>
          <t>CPTS11</t>
        </is>
      </c>
      <c r="B20" s="182" t="inlineStr">
        <is>
          <t>FII</t>
        </is>
      </c>
      <c r="C20" s="182" t="inlineStr">
        <is>
          <t>Híbrido (papel)</t>
        </is>
      </c>
      <c r="D20" s="120" t="n">
        <v>7.42</v>
      </c>
      <c r="E20" s="120" t="n">
        <v>1.08</v>
      </c>
      <c r="F20" s="154" t="n">
        <v>0.04</v>
      </c>
      <c r="G20" s="141" t="inlineStr">
        <is>
          <t>28/09/2026</t>
        </is>
      </c>
    </row>
    <row r="21">
      <c r="A21" s="110" t="inlineStr">
        <is>
          <t>TOTAL</t>
        </is>
      </c>
      <c r="B21" s="110" t="n"/>
      <c r="C21" s="110" t="n"/>
      <c r="D21" s="110" t="n"/>
      <c r="E21" s="110" t="n"/>
      <c r="F21" s="112">
        <f>SUM(F5:F20)</f>
        <v/>
      </c>
      <c r="G21" s="110" t="n"/>
    </row>
    <row r="23">
      <c r="A23" s="115" t="inlineStr">
        <is>
          <t>Observações</t>
        </is>
      </c>
    </row>
    <row r="24">
      <c r="A24" s="116" t="inlineStr">
        <is>
          <t>• Cotação, provento 12m e 'Atualizado em' são preenchidos pelo Yahoo Finance a cada execução; 'manual' = não atualizado online.</t>
        </is>
      </c>
    </row>
    <row r="25">
      <c r="A25" s="116" t="inlineStr">
        <is>
          <t>• Peso ideal: participação desejada de cada ativo dentro da renda variável — deve somar 100%.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AN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12" customWidth="1" min="5" max="5"/>
    <col width="11" customWidth="1" min="6" max="6"/>
    <col width="15" customWidth="1" min="7" max="7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Lançamentos de Compra e Venda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Gerado a partir de dados/lancamentos.csv — edite lá e rode gestao.py (ou atualizar.bat).</t>
        </is>
      </c>
    </row>
    <row r="4" ht="32" customHeight="1">
      <c r="A4" s="89" t="inlineStr">
        <is>
          <t>Data</t>
        </is>
      </c>
      <c r="B4" s="89" t="inlineStr">
        <is>
          <t>Ticker</t>
        </is>
      </c>
      <c r="C4" s="89" t="inlineStr">
        <is>
          <t>Operação</t>
        </is>
      </c>
      <c r="D4" s="89" t="inlineStr">
        <is>
          <t>Quantidade</t>
        </is>
      </c>
      <c r="E4" s="89" t="inlineStr">
        <is>
          <t>Preço (R$)</t>
        </is>
      </c>
      <c r="F4" s="89" t="inlineStr">
        <is>
          <t>Custos (R$)</t>
        </is>
      </c>
      <c r="G4" s="89" t="inlineStr">
        <is>
          <t>Total (R$)</t>
        </is>
      </c>
    </row>
    <row r="5">
      <c r="A5" s="183" t="n">
        <v>45299</v>
      </c>
      <c r="B5" s="184" t="inlineStr">
        <is>
          <t>FIQE3</t>
        </is>
      </c>
      <c r="C5" s="184" t="inlineStr">
        <is>
          <t>COMPRA</t>
        </is>
      </c>
      <c r="D5" s="185" t="n">
        <v>419</v>
      </c>
      <c r="E5" s="186" t="n">
        <v>3.57</v>
      </c>
      <c r="F5" s="186" t="n">
        <v>0.45</v>
      </c>
      <c r="G5" s="92">
        <f>D5*E5+F5</f>
        <v/>
      </c>
    </row>
    <row r="6">
      <c r="A6" s="187" t="n">
        <v>45299</v>
      </c>
      <c r="B6" s="188" t="inlineStr">
        <is>
          <t>XPML11</t>
        </is>
      </c>
      <c r="C6" s="188" t="inlineStr">
        <is>
          <t>COMPRA</t>
        </is>
      </c>
      <c r="D6" s="189" t="n">
        <v>12</v>
      </c>
      <c r="E6" s="190" t="n">
        <v>115.5</v>
      </c>
      <c r="F6" s="190" t="n">
        <v>0.42</v>
      </c>
      <c r="G6" s="102">
        <f>D6*E6+F6</f>
        <v/>
      </c>
    </row>
    <row r="7">
      <c r="A7" s="183" t="n">
        <v>45327</v>
      </c>
      <c r="B7" s="184" t="inlineStr">
        <is>
          <t>BRCR11</t>
        </is>
      </c>
      <c r="C7" s="184" t="inlineStr">
        <is>
          <t>COMPRA</t>
        </is>
      </c>
      <c r="D7" s="185" t="n">
        <v>25</v>
      </c>
      <c r="E7" s="186" t="n">
        <v>59.48</v>
      </c>
      <c r="F7" s="186" t="n">
        <v>0.45</v>
      </c>
      <c r="G7" s="92">
        <f>D7*E7+F7</f>
        <v/>
      </c>
    </row>
    <row r="8">
      <c r="A8" s="187" t="n">
        <v>45327</v>
      </c>
      <c r="B8" s="188" t="inlineStr">
        <is>
          <t>BBAS3</t>
        </is>
      </c>
      <c r="C8" s="188" t="inlineStr">
        <is>
          <t>COMPRA</t>
        </is>
      </c>
      <c r="D8" s="189" t="n">
        <v>52</v>
      </c>
      <c r="E8" s="190" t="n">
        <v>28.78</v>
      </c>
      <c r="F8" s="190" t="n">
        <v>0.45</v>
      </c>
      <c r="G8" s="102">
        <f>D8*E8+F8</f>
        <v/>
      </c>
    </row>
    <row r="9">
      <c r="A9" s="183" t="n">
        <v>45355</v>
      </c>
      <c r="B9" s="184" t="inlineStr">
        <is>
          <t>BRBI11</t>
        </is>
      </c>
      <c r="C9" s="184" t="inlineStr">
        <is>
          <t>COMPRA</t>
        </is>
      </c>
      <c r="D9" s="185" t="n">
        <v>88</v>
      </c>
      <c r="E9" s="186" t="n">
        <v>16.9</v>
      </c>
      <c r="F9" s="186" t="n">
        <v>0.45</v>
      </c>
      <c r="G9" s="92">
        <f>D9*E9+F9</f>
        <v/>
      </c>
    </row>
    <row r="10">
      <c r="A10" s="187" t="n">
        <v>45355</v>
      </c>
      <c r="B10" s="188" t="inlineStr">
        <is>
          <t>XPML11</t>
        </is>
      </c>
      <c r="C10" s="188" t="inlineStr">
        <is>
          <t>COMPRA</t>
        </is>
      </c>
      <c r="D10" s="189" t="n">
        <v>12</v>
      </c>
      <c r="E10" s="190" t="n">
        <v>118.49</v>
      </c>
      <c r="F10" s="190" t="n">
        <v>0.43</v>
      </c>
      <c r="G10" s="102">
        <f>D10*E10+F10</f>
        <v/>
      </c>
    </row>
    <row r="11">
      <c r="A11" s="183" t="n">
        <v>45383</v>
      </c>
      <c r="B11" s="184" t="inlineStr">
        <is>
          <t>VALE3</t>
        </is>
      </c>
      <c r="C11" s="184" t="inlineStr">
        <is>
          <t>COMPRA</t>
        </is>
      </c>
      <c r="D11" s="185" t="n">
        <v>25</v>
      </c>
      <c r="E11" s="186" t="n">
        <v>59.71</v>
      </c>
      <c r="F11" s="186" t="n">
        <v>0.45</v>
      </c>
      <c r="G11" s="92">
        <f>D11*E11+F11</f>
        <v/>
      </c>
    </row>
    <row r="12">
      <c r="A12" s="187" t="n">
        <v>45383</v>
      </c>
      <c r="B12" s="188" t="inlineStr">
        <is>
          <t>XPLG11</t>
        </is>
      </c>
      <c r="C12" s="188" t="inlineStr">
        <is>
          <t>COMPRA</t>
        </is>
      </c>
      <c r="D12" s="189" t="n">
        <v>13</v>
      </c>
      <c r="E12" s="190" t="n">
        <v>108.8</v>
      </c>
      <c r="F12" s="190" t="n">
        <v>0.42</v>
      </c>
      <c r="G12" s="102">
        <f>D12*E12+F12</f>
        <v/>
      </c>
    </row>
    <row r="13">
      <c r="A13" s="183" t="n">
        <v>45418</v>
      </c>
      <c r="B13" s="184" t="inlineStr">
        <is>
          <t>XPLG11</t>
        </is>
      </c>
      <c r="C13" s="184" t="inlineStr">
        <is>
          <t>COMPRA</t>
        </is>
      </c>
      <c r="D13" s="185" t="n">
        <v>14</v>
      </c>
      <c r="E13" s="186" t="n">
        <v>104.98</v>
      </c>
      <c r="F13" s="186" t="n">
        <v>0.44</v>
      </c>
      <c r="G13" s="92">
        <f>D13*E13+F13</f>
        <v/>
      </c>
    </row>
    <row r="14">
      <c r="A14" s="187" t="n">
        <v>45418</v>
      </c>
      <c r="B14" s="188" t="inlineStr">
        <is>
          <t>ITSA4</t>
        </is>
      </c>
      <c r="C14" s="188" t="inlineStr">
        <is>
          <t>COMPRA</t>
        </is>
      </c>
      <c r="D14" s="189" t="n">
        <v>160</v>
      </c>
      <c r="E14" s="190" t="n">
        <v>9.33</v>
      </c>
      <c r="F14" s="190" t="n">
        <v>0.45</v>
      </c>
      <c r="G14" s="102">
        <f>D14*E14+F14</f>
        <v/>
      </c>
    </row>
    <row r="15">
      <c r="A15" s="183" t="n">
        <v>45446</v>
      </c>
      <c r="B15" s="184" t="inlineStr">
        <is>
          <t>BRBI11</t>
        </is>
      </c>
      <c r="C15" s="184" t="inlineStr">
        <is>
          <t>COMPRA</t>
        </is>
      </c>
      <c r="D15" s="185" t="n">
        <v>108</v>
      </c>
      <c r="E15" s="186" t="n">
        <v>13.83</v>
      </c>
      <c r="F15" s="186" t="n">
        <v>0.45</v>
      </c>
      <c r="G15" s="92">
        <f>D15*E15+F15</f>
        <v/>
      </c>
    </row>
    <row r="16">
      <c r="A16" s="187" t="n">
        <v>45446</v>
      </c>
      <c r="B16" s="188" t="inlineStr">
        <is>
          <t>BBAS3</t>
        </is>
      </c>
      <c r="C16" s="188" t="inlineStr">
        <is>
          <t>COMPRA</t>
        </is>
      </c>
      <c r="D16" s="189" t="n">
        <v>55</v>
      </c>
      <c r="E16" s="190" t="n">
        <v>27.18</v>
      </c>
      <c r="F16" s="190" t="n">
        <v>0.45</v>
      </c>
      <c r="G16" s="102">
        <f>D16*E16+F16</f>
        <v/>
      </c>
    </row>
    <row r="17">
      <c r="A17" s="183" t="n">
        <v>45474</v>
      </c>
      <c r="B17" s="184" t="inlineStr">
        <is>
          <t>BBAS3</t>
        </is>
      </c>
      <c r="C17" s="184" t="inlineStr">
        <is>
          <t>COMPRA</t>
        </is>
      </c>
      <c r="D17" s="185" t="n">
        <v>56</v>
      </c>
      <c r="E17" s="186" t="n">
        <v>26.73</v>
      </c>
      <c r="F17" s="186" t="n">
        <v>0.45</v>
      </c>
      <c r="G17" s="92">
        <f>D17*E17+F17</f>
        <v/>
      </c>
    </row>
    <row r="18">
      <c r="A18" s="187" t="n">
        <v>45474</v>
      </c>
      <c r="B18" s="188" t="inlineStr">
        <is>
          <t>ITSA4</t>
        </is>
      </c>
      <c r="C18" s="188" t="inlineStr">
        <is>
          <t>COMPRA</t>
        </is>
      </c>
      <c r="D18" s="189" t="n">
        <v>162</v>
      </c>
      <c r="E18" s="190" t="n">
        <v>9.25</v>
      </c>
      <c r="F18" s="190" t="n">
        <v>0.45</v>
      </c>
      <c r="G18" s="102">
        <f>D18*E18+F18</f>
        <v/>
      </c>
    </row>
    <row r="19">
      <c r="A19" s="183" t="n">
        <v>45509</v>
      </c>
      <c r="B19" s="184" t="inlineStr">
        <is>
          <t>CPTS11</t>
        </is>
      </c>
      <c r="C19" s="184" t="inlineStr">
        <is>
          <t>COMPRA</t>
        </is>
      </c>
      <c r="D19" s="185" t="n">
        <v>145</v>
      </c>
      <c r="E19" s="186" t="n">
        <v>10.28</v>
      </c>
      <c r="F19" s="186" t="n">
        <v>0.45</v>
      </c>
      <c r="G19" s="92">
        <f>D19*E19+F19</f>
        <v/>
      </c>
    </row>
    <row r="20">
      <c r="A20" s="187" t="n">
        <v>45509</v>
      </c>
      <c r="B20" s="188" t="inlineStr">
        <is>
          <t>CMIG4</t>
        </is>
      </c>
      <c r="C20" s="188" t="inlineStr">
        <is>
          <t>COMPRA</t>
        </is>
      </c>
      <c r="D20" s="189" t="n">
        <v>138</v>
      </c>
      <c r="E20" s="190" t="n">
        <v>10.86</v>
      </c>
      <c r="F20" s="190" t="n">
        <v>0.45</v>
      </c>
      <c r="G20" s="102">
        <f>D20*E20+F20</f>
        <v/>
      </c>
    </row>
    <row r="21">
      <c r="A21" s="183" t="n">
        <v>45537</v>
      </c>
      <c r="B21" s="184" t="inlineStr">
        <is>
          <t>XPLG11</t>
        </is>
      </c>
      <c r="C21" s="184" t="inlineStr">
        <is>
          <t>COMPRA</t>
        </is>
      </c>
      <c r="D21" s="185" t="n">
        <v>14</v>
      </c>
      <c r="E21" s="186" t="n">
        <v>102.03</v>
      </c>
      <c r="F21" s="186" t="n">
        <v>0.43</v>
      </c>
      <c r="G21" s="92">
        <f>D21*E21+F21</f>
        <v/>
      </c>
    </row>
    <row r="22">
      <c r="A22" s="187" t="n">
        <v>45537</v>
      </c>
      <c r="B22" s="188" t="inlineStr">
        <is>
          <t>FIQE3</t>
        </is>
      </c>
      <c r="C22" s="188" t="inlineStr">
        <is>
          <t>COMPRA</t>
        </is>
      </c>
      <c r="D22" s="189" t="n">
        <v>436</v>
      </c>
      <c r="E22" s="190" t="n">
        <v>3.44</v>
      </c>
      <c r="F22" s="190" t="n">
        <v>0.45</v>
      </c>
      <c r="G22" s="102">
        <f>D22*E22+F22</f>
        <v/>
      </c>
    </row>
    <row r="23">
      <c r="A23" s="183" t="n">
        <v>45572</v>
      </c>
      <c r="B23" s="184" t="inlineStr">
        <is>
          <t>CPTS11</t>
        </is>
      </c>
      <c r="C23" s="184" t="inlineStr">
        <is>
          <t>COMPRA</t>
        </is>
      </c>
      <c r="D23" s="185" t="n">
        <v>197</v>
      </c>
      <c r="E23" s="186" t="n">
        <v>7.6</v>
      </c>
      <c r="F23" s="186" t="n">
        <v>0.45</v>
      </c>
      <c r="G23" s="92">
        <f>D23*E23+F23</f>
        <v/>
      </c>
    </row>
    <row r="24">
      <c r="A24" s="187" t="n">
        <v>45572</v>
      </c>
      <c r="B24" s="188" t="inlineStr">
        <is>
          <t>PETR4</t>
        </is>
      </c>
      <c r="C24" s="188" t="inlineStr">
        <is>
          <t>COMPRA</t>
        </is>
      </c>
      <c r="D24" s="189" t="n">
        <v>39</v>
      </c>
      <c r="E24" s="190" t="n">
        <v>37.62</v>
      </c>
      <c r="F24" s="190" t="n">
        <v>0.44</v>
      </c>
      <c r="G24" s="102">
        <f>D24*E24+F24</f>
        <v/>
      </c>
    </row>
    <row r="25">
      <c r="A25" s="183" t="n">
        <v>45600</v>
      </c>
      <c r="B25" s="184" t="inlineStr">
        <is>
          <t>PETR4</t>
        </is>
      </c>
      <c r="C25" s="184" t="inlineStr">
        <is>
          <t>COMPRA</t>
        </is>
      </c>
      <c r="D25" s="185" t="n">
        <v>41</v>
      </c>
      <c r="E25" s="186" t="n">
        <v>36.18</v>
      </c>
      <c r="F25" s="186" t="n">
        <v>0.45</v>
      </c>
      <c r="G25" s="92">
        <f>D25*E25+F25</f>
        <v/>
      </c>
    </row>
    <row r="26">
      <c r="A26" s="187" t="n">
        <v>45600</v>
      </c>
      <c r="B26" s="188" t="inlineStr">
        <is>
          <t>FIQE3</t>
        </is>
      </c>
      <c r="C26" s="188" t="inlineStr">
        <is>
          <t>COMPRA</t>
        </is>
      </c>
      <c r="D26" s="189" t="n">
        <v>436</v>
      </c>
      <c r="E26" s="190" t="n">
        <v>3.44</v>
      </c>
      <c r="F26" s="190" t="n">
        <v>0.45</v>
      </c>
      <c r="G26" s="102">
        <f>D26*E26+F26</f>
        <v/>
      </c>
    </row>
    <row r="27">
      <c r="A27" s="183" t="n">
        <v>45628</v>
      </c>
      <c r="B27" s="184" t="inlineStr">
        <is>
          <t>CMIG4</t>
        </is>
      </c>
      <c r="C27" s="184" t="inlineStr">
        <is>
          <t>COMPRA</t>
        </is>
      </c>
      <c r="D27" s="185" t="n">
        <v>130</v>
      </c>
      <c r="E27" s="186" t="n">
        <v>11.5</v>
      </c>
      <c r="F27" s="186" t="n">
        <v>0.45</v>
      </c>
      <c r="G27" s="92">
        <f>D27*E27+F27</f>
        <v/>
      </c>
    </row>
    <row r="28">
      <c r="A28" s="187" t="n">
        <v>45628</v>
      </c>
      <c r="B28" s="188" t="inlineStr">
        <is>
          <t>VALE3</t>
        </is>
      </c>
      <c r="C28" s="188" t="inlineStr">
        <is>
          <t>COMPRA</t>
        </is>
      </c>
      <c r="D28" s="189" t="n">
        <v>26</v>
      </c>
      <c r="E28" s="190" t="n">
        <v>56.81</v>
      </c>
      <c r="F28" s="190" t="n">
        <v>0.44</v>
      </c>
      <c r="G28" s="102">
        <f>D28*E28+F28</f>
        <v/>
      </c>
    </row>
    <row r="29">
      <c r="A29" s="183" t="n">
        <v>45663</v>
      </c>
      <c r="B29" s="184" t="inlineStr">
        <is>
          <t>ITSA4</t>
        </is>
      </c>
      <c r="C29" s="184" t="inlineStr">
        <is>
          <t>COMPRA</t>
        </is>
      </c>
      <c r="D29" s="185" t="n">
        <v>177</v>
      </c>
      <c r="E29" s="186" t="n">
        <v>8.449999999999999</v>
      </c>
      <c r="F29" s="186" t="n">
        <v>0.45</v>
      </c>
      <c r="G29" s="92">
        <f>D29*E29+F29</f>
        <v/>
      </c>
    </row>
    <row r="30">
      <c r="A30" s="187" t="n">
        <v>45663</v>
      </c>
      <c r="B30" s="188" t="inlineStr">
        <is>
          <t>SNAG11</t>
        </is>
      </c>
      <c r="C30" s="188" t="inlineStr">
        <is>
          <t>COMPRA</t>
        </is>
      </c>
      <c r="D30" s="189" t="n">
        <v>162</v>
      </c>
      <c r="E30" s="190" t="n">
        <v>9.220000000000001</v>
      </c>
      <c r="F30" s="190" t="n">
        <v>0.45</v>
      </c>
      <c r="G30" s="102">
        <f>D30*E30+F30</f>
        <v/>
      </c>
    </row>
    <row r="31">
      <c r="A31" s="183" t="n">
        <v>45691</v>
      </c>
      <c r="B31" s="184" t="inlineStr">
        <is>
          <t>FIQE3</t>
        </is>
      </c>
      <c r="C31" s="184" t="inlineStr">
        <is>
          <t>COMPRA</t>
        </is>
      </c>
      <c r="D31" s="185" t="n">
        <v>490</v>
      </c>
      <c r="E31" s="186" t="n">
        <v>3.06</v>
      </c>
      <c r="F31" s="186" t="n">
        <v>0.45</v>
      </c>
      <c r="G31" s="92">
        <f>D31*E31+F31</f>
        <v/>
      </c>
    </row>
    <row r="32">
      <c r="A32" s="187" t="n">
        <v>45691</v>
      </c>
      <c r="B32" s="188" t="inlineStr">
        <is>
          <t>CMIG4</t>
        </is>
      </c>
      <c r="C32" s="188" t="inlineStr">
        <is>
          <t>COMPRA</t>
        </is>
      </c>
      <c r="D32" s="189" t="n">
        <v>136</v>
      </c>
      <c r="E32" s="190" t="n">
        <v>10.97</v>
      </c>
      <c r="F32" s="190" t="n">
        <v>0.45</v>
      </c>
      <c r="G32" s="102">
        <f>D32*E32+F32</f>
        <v/>
      </c>
    </row>
    <row r="33">
      <c r="A33" s="183" t="n">
        <v>45719</v>
      </c>
      <c r="B33" s="184" t="inlineStr">
        <is>
          <t>CMIG4</t>
        </is>
      </c>
      <c r="C33" s="184" t="inlineStr">
        <is>
          <t>COMPRA</t>
        </is>
      </c>
      <c r="D33" s="185" t="n">
        <v>132</v>
      </c>
      <c r="E33" s="186" t="n">
        <v>11.36</v>
      </c>
      <c r="F33" s="186" t="n">
        <v>0.45</v>
      </c>
      <c r="G33" s="92">
        <f>D33*E33+F33</f>
        <v/>
      </c>
    </row>
    <row r="34">
      <c r="A34" s="187" t="n">
        <v>45719</v>
      </c>
      <c r="B34" s="188" t="inlineStr">
        <is>
          <t>BBAS3</t>
        </is>
      </c>
      <c r="C34" s="188" t="inlineStr">
        <is>
          <t>COMPRA</t>
        </is>
      </c>
      <c r="D34" s="189" t="n">
        <v>53</v>
      </c>
      <c r="E34" s="190" t="n">
        <v>28.06</v>
      </c>
      <c r="F34" s="190" t="n">
        <v>0.45</v>
      </c>
      <c r="G34" s="102">
        <f>D34*E34+F34</f>
        <v/>
      </c>
    </row>
    <row r="35">
      <c r="A35" s="183" t="n">
        <v>45754</v>
      </c>
      <c r="B35" s="184" t="inlineStr">
        <is>
          <t>VALE3</t>
        </is>
      </c>
      <c r="C35" s="184" t="inlineStr">
        <is>
          <t>COMPRA</t>
        </is>
      </c>
      <c r="D35" s="185" t="n">
        <v>27</v>
      </c>
      <c r="E35" s="186" t="n">
        <v>53.66</v>
      </c>
      <c r="F35" s="186" t="n">
        <v>0.43</v>
      </c>
      <c r="G35" s="92">
        <f>D35*E35+F35</f>
        <v/>
      </c>
    </row>
    <row r="36">
      <c r="A36" s="187" t="n">
        <v>45754</v>
      </c>
      <c r="B36" s="188" t="inlineStr">
        <is>
          <t>PETR4</t>
        </is>
      </c>
      <c r="C36" s="188" t="inlineStr">
        <is>
          <t>COMPRA</t>
        </is>
      </c>
      <c r="D36" s="189" t="n">
        <v>47</v>
      </c>
      <c r="E36" s="190" t="n">
        <v>31.85</v>
      </c>
      <c r="F36" s="190" t="n">
        <v>0.45</v>
      </c>
      <c r="G36" s="102">
        <f>D36*E36+F36</f>
        <v/>
      </c>
    </row>
    <row r="37">
      <c r="A37" s="183" t="n">
        <v>45782</v>
      </c>
      <c r="B37" s="184" t="inlineStr">
        <is>
          <t>PETR4</t>
        </is>
      </c>
      <c r="C37" s="184" t="inlineStr">
        <is>
          <t>COMPRA</t>
        </is>
      </c>
      <c r="D37" s="185" t="n">
        <v>48</v>
      </c>
      <c r="E37" s="186" t="n">
        <v>30.91</v>
      </c>
      <c r="F37" s="186" t="n">
        <v>0.45</v>
      </c>
      <c r="G37" s="92">
        <f>D37*E37+F37</f>
        <v/>
      </c>
    </row>
    <row r="38">
      <c r="A38" s="187" t="n">
        <v>45782</v>
      </c>
      <c r="B38" s="188" t="inlineStr">
        <is>
          <t>KLBN11</t>
        </is>
      </c>
      <c r="C38" s="188" t="inlineStr">
        <is>
          <t>COMPRA</t>
        </is>
      </c>
      <c r="D38" s="189" t="n">
        <v>78</v>
      </c>
      <c r="E38" s="190" t="n">
        <v>19.11</v>
      </c>
      <c r="F38" s="190" t="n">
        <v>0.45</v>
      </c>
      <c r="G38" s="102">
        <f>D38*E38+F38</f>
        <v/>
      </c>
    </row>
    <row r="39">
      <c r="A39" s="183" t="n">
        <v>45810</v>
      </c>
      <c r="B39" s="184" t="inlineStr">
        <is>
          <t>BBDC4</t>
        </is>
      </c>
      <c r="C39" s="184" t="inlineStr">
        <is>
          <t>COMPRA</t>
        </is>
      </c>
      <c r="D39" s="185" t="n">
        <v>93</v>
      </c>
      <c r="E39" s="186" t="n">
        <v>15.96</v>
      </c>
      <c r="F39" s="186" t="n">
        <v>0.45</v>
      </c>
      <c r="G39" s="92">
        <f>D39*E39+F39</f>
        <v/>
      </c>
    </row>
    <row r="40">
      <c r="A40" s="187" t="n">
        <v>45810</v>
      </c>
      <c r="B40" s="188" t="inlineStr">
        <is>
          <t>VALE3</t>
        </is>
      </c>
      <c r="C40" s="188" t="inlineStr">
        <is>
          <t>COMPRA</t>
        </is>
      </c>
      <c r="D40" s="189" t="n">
        <v>28</v>
      </c>
      <c r="E40" s="190" t="n">
        <v>52.98</v>
      </c>
      <c r="F40" s="190" t="n">
        <v>0.45</v>
      </c>
      <c r="G40" s="102">
        <f>D40*E40+F40</f>
        <v/>
      </c>
    </row>
    <row r="41">
      <c r="A41" s="183" t="n">
        <v>45845</v>
      </c>
      <c r="B41" s="184" t="inlineStr">
        <is>
          <t>XPLG11</t>
        </is>
      </c>
      <c r="C41" s="184" t="inlineStr">
        <is>
          <t>COMPRA</t>
        </is>
      </c>
      <c r="D41" s="185" t="n">
        <v>14</v>
      </c>
      <c r="E41" s="186" t="n">
        <v>100.14</v>
      </c>
      <c r="F41" s="186" t="n">
        <v>0.42</v>
      </c>
      <c r="G41" s="92">
        <f>D41*E41+F41</f>
        <v/>
      </c>
    </row>
    <row r="42">
      <c r="A42" s="187" t="n">
        <v>45845</v>
      </c>
      <c r="B42" s="188" t="inlineStr">
        <is>
          <t>PETR4</t>
        </is>
      </c>
      <c r="C42" s="188" t="inlineStr">
        <is>
          <t>COMPRA</t>
        </is>
      </c>
      <c r="D42" s="189" t="n">
        <v>45</v>
      </c>
      <c r="E42" s="190" t="n">
        <v>32.63</v>
      </c>
      <c r="F42" s="190" t="n">
        <v>0.44</v>
      </c>
      <c r="G42" s="102">
        <f>D42*E42+F42</f>
        <v/>
      </c>
    </row>
    <row r="43">
      <c r="A43" s="183" t="n">
        <v>45873</v>
      </c>
      <c r="B43" s="184" t="inlineStr">
        <is>
          <t>BBAS3</t>
        </is>
      </c>
      <c r="C43" s="184" t="inlineStr">
        <is>
          <t>COMPRA</t>
        </is>
      </c>
      <c r="D43" s="185" t="n">
        <v>79</v>
      </c>
      <c r="E43" s="186" t="n">
        <v>18.93</v>
      </c>
      <c r="F43" s="186" t="n">
        <v>0.45</v>
      </c>
      <c r="G43" s="92">
        <f>D43*E43+F43</f>
        <v/>
      </c>
    </row>
    <row r="44">
      <c r="A44" s="187" t="n">
        <v>45873</v>
      </c>
      <c r="B44" s="188" t="inlineStr">
        <is>
          <t>XPML11</t>
        </is>
      </c>
      <c r="C44" s="188" t="inlineStr">
        <is>
          <t>COMPRA</t>
        </is>
      </c>
      <c r="D44" s="189" t="n">
        <v>14</v>
      </c>
      <c r="E44" s="190" t="n">
        <v>101.02</v>
      </c>
      <c r="F44" s="190" t="n">
        <v>0.42</v>
      </c>
      <c r="G44" s="102">
        <f>D44*E44+F44</f>
        <v/>
      </c>
    </row>
    <row r="45">
      <c r="A45" s="183" t="n">
        <v>45875</v>
      </c>
      <c r="B45" s="184" t="inlineStr">
        <is>
          <t>PETR4</t>
        </is>
      </c>
      <c r="C45" s="184" t="inlineStr">
        <is>
          <t>VENDA</t>
        </is>
      </c>
      <c r="D45" s="185" t="n">
        <v>55</v>
      </c>
      <c r="E45" s="186" t="n">
        <v>30.53</v>
      </c>
      <c r="F45" s="186" t="n">
        <v>0.5</v>
      </c>
      <c r="G45" s="92">
        <f>D45*E45+F45</f>
        <v/>
      </c>
    </row>
    <row r="46">
      <c r="A46" s="187" t="n">
        <v>45901</v>
      </c>
      <c r="B46" s="188" t="inlineStr">
        <is>
          <t>XPLG11</t>
        </is>
      </c>
      <c r="C46" s="188" t="inlineStr">
        <is>
          <t>COMPRA</t>
        </is>
      </c>
      <c r="D46" s="189" t="n">
        <v>15</v>
      </c>
      <c r="E46" s="190" t="n">
        <v>97.64</v>
      </c>
      <c r="F46" s="190" t="n">
        <v>0.44</v>
      </c>
      <c r="G46" s="102">
        <f>D46*E46+F46</f>
        <v/>
      </c>
    </row>
    <row r="47">
      <c r="A47" s="183" t="n">
        <v>45901</v>
      </c>
      <c r="B47" s="184" t="inlineStr">
        <is>
          <t>CMIG4</t>
        </is>
      </c>
      <c r="C47" s="184" t="inlineStr">
        <is>
          <t>COMPRA</t>
        </is>
      </c>
      <c r="D47" s="185" t="n">
        <v>134</v>
      </c>
      <c r="E47" s="186" t="n">
        <v>11.14</v>
      </c>
      <c r="F47" s="186" t="n">
        <v>0.45</v>
      </c>
      <c r="G47" s="92">
        <f>D47*E47+F47</f>
        <v/>
      </c>
    </row>
    <row r="48">
      <c r="A48" s="187" t="n">
        <v>45936</v>
      </c>
      <c r="B48" s="188" t="inlineStr">
        <is>
          <t>KLBN11</t>
        </is>
      </c>
      <c r="C48" s="188" t="inlineStr">
        <is>
          <t>COMPRA</t>
        </is>
      </c>
      <c r="D48" s="189" t="n">
        <v>87</v>
      </c>
      <c r="E48" s="190" t="n">
        <v>17.2</v>
      </c>
      <c r="F48" s="190" t="n">
        <v>0.45</v>
      </c>
      <c r="G48" s="102">
        <f>D48*E48+F48</f>
        <v/>
      </c>
    </row>
    <row r="49">
      <c r="A49" s="183" t="n">
        <v>45936</v>
      </c>
      <c r="B49" s="184" t="inlineStr">
        <is>
          <t>MXRF11</t>
        </is>
      </c>
      <c r="C49" s="184" t="inlineStr">
        <is>
          <t>COMPRA</t>
        </is>
      </c>
      <c r="D49" s="185" t="n">
        <v>157</v>
      </c>
      <c r="E49" s="186" t="n">
        <v>9.550000000000001</v>
      </c>
      <c r="F49" s="186" t="n">
        <v>0.45</v>
      </c>
      <c r="G49" s="92">
        <f>D49*E49+F49</f>
        <v/>
      </c>
    </row>
    <row r="50">
      <c r="A50" s="187" t="n">
        <v>45964</v>
      </c>
      <c r="B50" s="188" t="inlineStr">
        <is>
          <t>VALE3</t>
        </is>
      </c>
      <c r="C50" s="188" t="inlineStr">
        <is>
          <t>COMPRA</t>
        </is>
      </c>
      <c r="D50" s="189" t="n">
        <v>23</v>
      </c>
      <c r="E50" s="190" t="n">
        <v>64.78</v>
      </c>
      <c r="F50" s="190" t="n">
        <v>0.45</v>
      </c>
      <c r="G50" s="102">
        <f>D50*E50+F50</f>
        <v/>
      </c>
    </row>
    <row r="51">
      <c r="A51" s="183" t="n">
        <v>45964</v>
      </c>
      <c r="B51" s="184" t="inlineStr">
        <is>
          <t>CMIG4</t>
        </is>
      </c>
      <c r="C51" s="184" t="inlineStr">
        <is>
          <t>COMPRA</t>
        </is>
      </c>
      <c r="D51" s="185" t="n">
        <v>129</v>
      </c>
      <c r="E51" s="186" t="n">
        <v>11.57</v>
      </c>
      <c r="F51" s="186" t="n">
        <v>0.45</v>
      </c>
      <c r="G51" s="92">
        <f>D51*E51+F51</f>
        <v/>
      </c>
    </row>
    <row r="52">
      <c r="A52" s="187" t="n">
        <v>45992</v>
      </c>
      <c r="B52" s="188" t="inlineStr">
        <is>
          <t>CMIG4</t>
        </is>
      </c>
      <c r="C52" s="188" t="inlineStr">
        <is>
          <t>COMPRA</t>
        </is>
      </c>
      <c r="D52" s="189" t="n">
        <v>135</v>
      </c>
      <c r="E52" s="190" t="n">
        <v>11.08</v>
      </c>
      <c r="F52" s="190" t="n">
        <v>0.45</v>
      </c>
      <c r="G52" s="102">
        <f>D52*E52+F52</f>
        <v/>
      </c>
    </row>
    <row r="53">
      <c r="A53" s="183" t="n">
        <v>45992</v>
      </c>
      <c r="B53" s="184" t="inlineStr">
        <is>
          <t>XPML11</t>
        </is>
      </c>
      <c r="C53" s="184" t="inlineStr">
        <is>
          <t>COMPRA</t>
        </is>
      </c>
      <c r="D53" s="185" t="n">
        <v>14</v>
      </c>
      <c r="E53" s="186" t="n">
        <v>106.45</v>
      </c>
      <c r="F53" s="186" t="n">
        <v>0.45</v>
      </c>
      <c r="G53" s="92">
        <f>D53*E53+F53</f>
        <v/>
      </c>
    </row>
    <row r="54">
      <c r="A54" s="187" t="n">
        <v>46027</v>
      </c>
      <c r="B54" s="188" t="inlineStr">
        <is>
          <t>FIQE3</t>
        </is>
      </c>
      <c r="C54" s="188" t="inlineStr">
        <is>
          <t>COMPRA</t>
        </is>
      </c>
      <c r="D54" s="189" t="n">
        <v>304</v>
      </c>
      <c r="E54" s="190" t="n">
        <v>4.93</v>
      </c>
      <c r="F54" s="190" t="n">
        <v>0.45</v>
      </c>
      <c r="G54" s="102">
        <f>D54*E54+F54</f>
        <v/>
      </c>
    </row>
    <row r="55">
      <c r="A55" s="183" t="n">
        <v>46027</v>
      </c>
      <c r="B55" s="184" t="inlineStr">
        <is>
          <t>BBDC4</t>
        </is>
      </c>
      <c r="C55" s="184" t="inlineStr">
        <is>
          <t>COMPRA</t>
        </is>
      </c>
      <c r="D55" s="185" t="n">
        <v>80</v>
      </c>
      <c r="E55" s="186" t="n">
        <v>18.54</v>
      </c>
      <c r="F55" s="186" t="n">
        <v>0.44</v>
      </c>
      <c r="G55" s="92">
        <f>D55*E55+F55</f>
        <v/>
      </c>
    </row>
    <row r="56">
      <c r="A56" s="187" t="n">
        <v>46055</v>
      </c>
      <c r="B56" s="188" t="inlineStr">
        <is>
          <t>VALE3</t>
        </is>
      </c>
      <c r="C56" s="188" t="inlineStr">
        <is>
          <t>COMPRA</t>
        </is>
      </c>
      <c r="D56" s="189" t="n">
        <v>17</v>
      </c>
      <c r="E56" s="190" t="n">
        <v>85.63</v>
      </c>
      <c r="F56" s="190" t="n">
        <v>0.44</v>
      </c>
      <c r="G56" s="102">
        <f>D56*E56+F56</f>
        <v/>
      </c>
    </row>
    <row r="57">
      <c r="A57" s="183" t="n">
        <v>46055</v>
      </c>
      <c r="B57" s="184" t="inlineStr">
        <is>
          <t>ITSA4</t>
        </is>
      </c>
      <c r="C57" s="184" t="inlineStr">
        <is>
          <t>COMPRA</t>
        </is>
      </c>
      <c r="D57" s="185" t="n">
        <v>105</v>
      </c>
      <c r="E57" s="186" t="n">
        <v>14.18</v>
      </c>
      <c r="F57" s="186" t="n">
        <v>0.45</v>
      </c>
      <c r="G57" s="92">
        <f>D57*E57+F57</f>
        <v/>
      </c>
    </row>
    <row r="58">
      <c r="A58" s="187" t="n">
        <v>46083</v>
      </c>
      <c r="B58" s="188" t="inlineStr">
        <is>
          <t>BRBI11</t>
        </is>
      </c>
      <c r="C58" s="188" t="inlineStr">
        <is>
          <t>COMPRA</t>
        </is>
      </c>
      <c r="D58" s="189" t="n">
        <v>80</v>
      </c>
      <c r="E58" s="190" t="n">
        <v>18.7</v>
      </c>
      <c r="F58" s="190" t="n">
        <v>0.45</v>
      </c>
      <c r="G58" s="102">
        <f>D58*E58+F58</f>
        <v/>
      </c>
    </row>
    <row r="59">
      <c r="A59" s="183" t="n">
        <v>46083</v>
      </c>
      <c r="B59" s="184" t="inlineStr">
        <is>
          <t>PETR4</t>
        </is>
      </c>
      <c r="C59" s="184" t="inlineStr">
        <is>
          <t>COMPRA</t>
        </is>
      </c>
      <c r="D59" s="185" t="n">
        <v>35</v>
      </c>
      <c r="E59" s="186" t="n">
        <v>42.16</v>
      </c>
      <c r="F59" s="186" t="n">
        <v>0.44</v>
      </c>
      <c r="G59" s="92">
        <f>D59*E59+F59</f>
        <v/>
      </c>
    </row>
    <row r="60">
      <c r="A60" s="187" t="n">
        <v>46118</v>
      </c>
      <c r="B60" s="188" t="inlineStr">
        <is>
          <t>XPLG11</t>
        </is>
      </c>
      <c r="C60" s="188" t="inlineStr">
        <is>
          <t>COMPRA</t>
        </is>
      </c>
      <c r="D60" s="189" t="n">
        <v>14</v>
      </c>
      <c r="E60" s="190" t="n">
        <v>100.04</v>
      </c>
      <c r="F60" s="190" t="n">
        <v>0.42</v>
      </c>
      <c r="G60" s="102">
        <f>D60*E60+F60</f>
        <v/>
      </c>
    </row>
    <row r="61">
      <c r="A61" s="183" t="n">
        <v>46118</v>
      </c>
      <c r="B61" s="184" t="inlineStr">
        <is>
          <t>BBDC4</t>
        </is>
      </c>
      <c r="C61" s="184" t="inlineStr">
        <is>
          <t>COMPRA</t>
        </is>
      </c>
      <c r="D61" s="185" t="n">
        <v>73</v>
      </c>
      <c r="E61" s="186" t="n">
        <v>20.44</v>
      </c>
      <c r="F61" s="186" t="n">
        <v>0.45</v>
      </c>
      <c r="G61" s="92">
        <f>D61*E61+F61</f>
        <v/>
      </c>
    </row>
    <row r="62">
      <c r="A62" s="187" t="n">
        <v>46146</v>
      </c>
      <c r="B62" s="188" t="inlineStr">
        <is>
          <t>CPTS11</t>
        </is>
      </c>
      <c r="C62" s="188" t="inlineStr">
        <is>
          <t>COMPRA</t>
        </is>
      </c>
      <c r="D62" s="189" t="n">
        <v>192</v>
      </c>
      <c r="E62" s="190" t="n">
        <v>7.78</v>
      </c>
      <c r="F62" s="190" t="n">
        <v>0.45</v>
      </c>
      <c r="G62" s="102">
        <f>D62*E62+F62</f>
        <v/>
      </c>
    </row>
    <row r="63">
      <c r="A63" s="183" t="n">
        <v>46146</v>
      </c>
      <c r="B63" s="184" t="inlineStr">
        <is>
          <t>FIQE3</t>
        </is>
      </c>
      <c r="C63" s="184" t="inlineStr">
        <is>
          <t>COMPRA</t>
        </is>
      </c>
      <c r="D63" s="185" t="n">
        <v>217</v>
      </c>
      <c r="E63" s="186" t="n">
        <v>6.89</v>
      </c>
      <c r="F63" s="186" t="n">
        <v>0.45</v>
      </c>
      <c r="G63" s="92">
        <f>D63*E63+F63</f>
        <v/>
      </c>
    </row>
    <row r="64">
      <c r="A64" s="187" t="n">
        <v>46174</v>
      </c>
      <c r="B64" s="188" t="inlineStr">
        <is>
          <t>FIQE3</t>
        </is>
      </c>
      <c r="C64" s="188" t="inlineStr">
        <is>
          <t>COMPRA</t>
        </is>
      </c>
      <c r="D64" s="189" t="n">
        <v>240</v>
      </c>
      <c r="E64" s="190" t="n">
        <v>6.24</v>
      </c>
      <c r="F64" s="190" t="n">
        <v>0.45</v>
      </c>
      <c r="G64" s="102">
        <f>D64*E64+F64</f>
        <v/>
      </c>
    </row>
    <row r="65">
      <c r="A65" s="183" t="n">
        <v>46174</v>
      </c>
      <c r="B65" s="184" t="inlineStr">
        <is>
          <t>KLBN11</t>
        </is>
      </c>
      <c r="C65" s="184" t="inlineStr">
        <is>
          <t>COMPRA</t>
        </is>
      </c>
      <c r="D65" s="185" t="n">
        <v>87</v>
      </c>
      <c r="E65" s="186" t="n">
        <v>17.05</v>
      </c>
      <c r="F65" s="186" t="n">
        <v>0.45</v>
      </c>
      <c r="G65" s="92">
        <f>D65*E65+F65</f>
        <v/>
      </c>
    </row>
    <row r="66">
      <c r="A66" s="187" t="n">
        <v>46209</v>
      </c>
      <c r="B66" s="188" t="inlineStr">
        <is>
          <t>KLBN11</t>
        </is>
      </c>
      <c r="C66" s="188" t="inlineStr">
        <is>
          <t>COMPRA</t>
        </is>
      </c>
      <c r="D66" s="189" t="n">
        <v>85</v>
      </c>
      <c r="E66" s="190" t="n">
        <v>17.54</v>
      </c>
      <c r="F66" s="190" t="n">
        <v>0.45</v>
      </c>
      <c r="G66" s="102">
        <f>D66*E66+F66</f>
        <v/>
      </c>
    </row>
    <row r="67">
      <c r="A67" s="183" t="n">
        <v>46209</v>
      </c>
      <c r="B67" s="184" t="inlineStr">
        <is>
          <t>PETR4</t>
        </is>
      </c>
      <c r="C67" s="184" t="inlineStr">
        <is>
          <t>COMPRA</t>
        </is>
      </c>
      <c r="D67" s="185" t="n">
        <v>37</v>
      </c>
      <c r="E67" s="186" t="n">
        <v>39.65</v>
      </c>
      <c r="F67" s="186" t="n">
        <v>0.44</v>
      </c>
      <c r="G67" s="92">
        <f>D67*E67+F67</f>
        <v/>
      </c>
    </row>
    <row r="68">
      <c r="A68" s="187" t="n">
        <v>46237</v>
      </c>
      <c r="B68" s="188" t="inlineStr">
        <is>
          <t>ITSA4</t>
        </is>
      </c>
      <c r="C68" s="188" t="inlineStr">
        <is>
          <t>COMPRA</t>
        </is>
      </c>
      <c r="D68" s="189" t="n">
        <v>113</v>
      </c>
      <c r="E68" s="190" t="n">
        <v>13.21</v>
      </c>
      <c r="F68" s="190" t="n">
        <v>0.45</v>
      </c>
      <c r="G68" s="102">
        <f>D68*E68+F68</f>
        <v/>
      </c>
    </row>
    <row r="69">
      <c r="A69" s="183" t="n">
        <v>46237</v>
      </c>
      <c r="B69" s="184" t="inlineStr">
        <is>
          <t>BBAS3</t>
        </is>
      </c>
      <c r="C69" s="184" t="inlineStr">
        <is>
          <t>COMPRA</t>
        </is>
      </c>
      <c r="D69" s="185" t="n">
        <v>74</v>
      </c>
      <c r="E69" s="186" t="n">
        <v>20.06</v>
      </c>
      <c r="F69" s="186" t="n">
        <v>0.45</v>
      </c>
      <c r="G69" s="92">
        <f>D69*E69+F69</f>
        <v/>
      </c>
    </row>
    <row r="70">
      <c r="A70" s="187" t="n">
        <v>46272</v>
      </c>
      <c r="B70" s="188" t="inlineStr">
        <is>
          <t>ITSA4</t>
        </is>
      </c>
      <c r="C70" s="188" t="inlineStr">
        <is>
          <t>COMPRA</t>
        </is>
      </c>
      <c r="D70" s="189" t="n">
        <v>105</v>
      </c>
      <c r="E70" s="190" t="n">
        <v>14.19</v>
      </c>
      <c r="F70" s="190" t="n">
        <v>0.45</v>
      </c>
      <c r="G70" s="102">
        <f>D70*E70+F70</f>
        <v/>
      </c>
    </row>
    <row r="71">
      <c r="A71" s="183" t="n">
        <v>46272</v>
      </c>
      <c r="B71" s="184" t="inlineStr">
        <is>
          <t>VALE3</t>
        </is>
      </c>
      <c r="C71" s="184" t="inlineStr">
        <is>
          <t>COMPRA</t>
        </is>
      </c>
      <c r="D71" s="185" t="n">
        <v>19</v>
      </c>
      <c r="E71" s="186" t="n">
        <v>78.2</v>
      </c>
      <c r="F71" s="186" t="n">
        <v>0.45</v>
      </c>
      <c r="G71" s="92">
        <f>D71*E71+F71</f>
        <v/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AN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6" customWidth="1" min="4" max="4"/>
    <col width="13" customWidth="1" min="5" max="5"/>
    <col width="15" customWidth="1" min="6" max="6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Proventos Recebidos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Gerado a partir de dados/proventos.csv — edite lá e rode gestao.py (ou atualizar.bat).</t>
        </is>
      </c>
    </row>
    <row r="4" ht="32" customHeight="1">
      <c r="A4" s="89" t="inlineStr">
        <is>
          <t>Data pagamento</t>
        </is>
      </c>
      <c r="B4" s="89" t="inlineStr">
        <is>
          <t>Ticker</t>
        </is>
      </c>
      <c r="C4" s="89" t="inlineStr">
        <is>
          <t>Tipo</t>
        </is>
      </c>
      <c r="D4" s="89" t="inlineStr">
        <is>
          <t>Valor por cota (R$)</t>
        </is>
      </c>
      <c r="E4" s="89" t="inlineStr">
        <is>
          <t>Qtd de cotas</t>
        </is>
      </c>
      <c r="F4" s="89" t="inlineStr">
        <is>
          <t>Total (R$)</t>
        </is>
      </c>
    </row>
    <row r="5">
      <c r="A5" s="183" t="n">
        <v>45309</v>
      </c>
      <c r="B5" s="184" t="inlineStr">
        <is>
          <t>XPML11</t>
        </is>
      </c>
      <c r="C5" s="184" t="inlineStr">
        <is>
          <t>RENDIMENTO</t>
        </is>
      </c>
      <c r="D5" s="191" t="n">
        <v>0.9198</v>
      </c>
      <c r="E5" s="185" t="n">
        <v>12</v>
      </c>
      <c r="F5" s="92">
        <f>D5*E5</f>
        <v/>
      </c>
    </row>
    <row r="6">
      <c r="A6" s="187" t="n">
        <v>45330</v>
      </c>
      <c r="B6" s="188" t="inlineStr">
        <is>
          <t>FIQE3</t>
        </is>
      </c>
      <c r="C6" s="188" t="inlineStr">
        <is>
          <t>DIVIDENDO</t>
        </is>
      </c>
      <c r="D6" s="192" t="n">
        <v>0.0514</v>
      </c>
      <c r="E6" s="189" t="n">
        <v>419</v>
      </c>
      <c r="F6" s="102">
        <f>D6*E6</f>
        <v/>
      </c>
    </row>
    <row r="7">
      <c r="A7" s="183" t="n">
        <v>45344</v>
      </c>
      <c r="B7" s="184" t="inlineStr">
        <is>
          <t>XPML11</t>
        </is>
      </c>
      <c r="C7" s="184" t="inlineStr">
        <is>
          <t>RENDIMENTO</t>
        </is>
      </c>
      <c r="D7" s="191" t="n">
        <v>0.8998</v>
      </c>
      <c r="E7" s="185" t="n">
        <v>12</v>
      </c>
      <c r="F7" s="92">
        <f>D7*E7</f>
        <v/>
      </c>
    </row>
    <row r="8">
      <c r="A8" s="187" t="n">
        <v>45358</v>
      </c>
      <c r="B8" s="188" t="inlineStr">
        <is>
          <t>BRCR11</t>
        </is>
      </c>
      <c r="C8" s="188" t="inlineStr">
        <is>
          <t>RENDIMENTO</t>
        </is>
      </c>
      <c r="D8" s="192" t="n">
        <v>0.41</v>
      </c>
      <c r="E8" s="189" t="n">
        <v>25</v>
      </c>
      <c r="F8" s="102">
        <f>D8*E8</f>
        <v/>
      </c>
    </row>
    <row r="9">
      <c r="A9" s="183" t="n">
        <v>45365</v>
      </c>
      <c r="B9" s="184" t="inlineStr">
        <is>
          <t>BBAS3</t>
        </is>
      </c>
      <c r="C9" s="184" t="inlineStr">
        <is>
          <t>JCP</t>
        </is>
      </c>
      <c r="D9" s="191" t="n">
        <v>0.205</v>
      </c>
      <c r="E9" s="185" t="n">
        <v>52</v>
      </c>
      <c r="F9" s="92">
        <f>D9*E9</f>
        <v/>
      </c>
    </row>
    <row r="10">
      <c r="A10" s="187" t="n">
        <v>45372</v>
      </c>
      <c r="B10" s="188" t="inlineStr">
        <is>
          <t>XPML11</t>
        </is>
      </c>
      <c r="C10" s="188" t="inlineStr">
        <is>
          <t>RENDIMENTO</t>
        </is>
      </c>
      <c r="D10" s="192" t="n">
        <v>0.8998</v>
      </c>
      <c r="E10" s="189" t="n">
        <v>24</v>
      </c>
      <c r="F10" s="102">
        <f>D10*E10</f>
        <v/>
      </c>
    </row>
    <row r="11">
      <c r="A11" s="183" t="n">
        <v>45379</v>
      </c>
      <c r="B11" s="184" t="inlineStr">
        <is>
          <t>BRBI11</t>
        </is>
      </c>
      <c r="C11" s="184" t="inlineStr">
        <is>
          <t>DIVIDENDO</t>
        </is>
      </c>
      <c r="D11" s="191" t="n">
        <v>0.12</v>
      </c>
      <c r="E11" s="185" t="n">
        <v>88</v>
      </c>
      <c r="F11" s="92">
        <f>D11*E11</f>
        <v/>
      </c>
    </row>
    <row r="12">
      <c r="A12" s="187" t="n">
        <v>45393</v>
      </c>
      <c r="B12" s="188" t="inlineStr">
        <is>
          <t>BRCR11</t>
        </is>
      </c>
      <c r="C12" s="188" t="inlineStr">
        <is>
          <t>RENDIMENTO</t>
        </is>
      </c>
      <c r="D12" s="192" t="n">
        <v>0.5</v>
      </c>
      <c r="E12" s="189" t="n">
        <v>25</v>
      </c>
      <c r="F12" s="102">
        <f>D12*E12</f>
        <v/>
      </c>
    </row>
    <row r="13">
      <c r="A13" s="183" t="n">
        <v>45400</v>
      </c>
      <c r="B13" s="184" t="inlineStr">
        <is>
          <t>XPML11</t>
        </is>
      </c>
      <c r="C13" s="184" t="inlineStr">
        <is>
          <t>RENDIMENTO</t>
        </is>
      </c>
      <c r="D13" s="191" t="n">
        <v>0.9098000000000001</v>
      </c>
      <c r="E13" s="185" t="n">
        <v>24</v>
      </c>
      <c r="F13" s="92">
        <f>D13*E13</f>
        <v/>
      </c>
    </row>
    <row r="14">
      <c r="A14" s="187" t="n">
        <v>45414</v>
      </c>
      <c r="B14" s="188" t="inlineStr">
        <is>
          <t>XPLG11</t>
        </is>
      </c>
      <c r="C14" s="188" t="inlineStr">
        <is>
          <t>RENDIMENTO</t>
        </is>
      </c>
      <c r="D14" s="192" t="n">
        <v>0.78</v>
      </c>
      <c r="E14" s="189" t="n">
        <v>13</v>
      </c>
      <c r="F14" s="102">
        <f>D14*E14</f>
        <v/>
      </c>
    </row>
    <row r="15">
      <c r="A15" s="183" t="n">
        <v>45421</v>
      </c>
      <c r="B15" s="184" t="inlineStr">
        <is>
          <t>BRCR11</t>
        </is>
      </c>
      <c r="C15" s="184" t="inlineStr">
        <is>
          <t>RENDIMENTO</t>
        </is>
      </c>
      <c r="D15" s="191" t="n">
        <v>0.5</v>
      </c>
      <c r="E15" s="185" t="n">
        <v>25</v>
      </c>
      <c r="F15" s="92">
        <f>D15*E15</f>
        <v/>
      </c>
    </row>
    <row r="16">
      <c r="A16" s="187" t="n">
        <v>45428</v>
      </c>
      <c r="B16" s="188" t="inlineStr">
        <is>
          <t>BRBI11</t>
        </is>
      </c>
      <c r="C16" s="188" t="inlineStr">
        <is>
          <t>DIVIDENDO</t>
        </is>
      </c>
      <c r="D16" s="192" t="n">
        <v>0.3</v>
      </c>
      <c r="E16" s="189" t="n">
        <v>88</v>
      </c>
      <c r="F16" s="102">
        <f>D16*E16</f>
        <v/>
      </c>
    </row>
    <row r="17">
      <c r="A17" s="183" t="n">
        <v>45435</v>
      </c>
      <c r="B17" s="184" t="inlineStr">
        <is>
          <t>XPML11</t>
        </is>
      </c>
      <c r="C17" s="184" t="inlineStr">
        <is>
          <t>RENDIMENTO</t>
        </is>
      </c>
      <c r="D17" s="191" t="n">
        <v>0.9198</v>
      </c>
      <c r="E17" s="185" t="n">
        <v>24</v>
      </c>
      <c r="F17" s="92">
        <f>D17*E17</f>
        <v/>
      </c>
    </row>
    <row r="18">
      <c r="A18" s="187" t="n">
        <v>45449</v>
      </c>
      <c r="B18" s="188" t="inlineStr">
        <is>
          <t>ITSA4</t>
        </is>
      </c>
      <c r="C18" s="188" t="inlineStr">
        <is>
          <t>DIVIDENDO</t>
        </is>
      </c>
      <c r="D18" s="192" t="n">
        <v>0.0219</v>
      </c>
      <c r="E18" s="189" t="n">
        <v>160</v>
      </c>
      <c r="F18" s="102">
        <f>D18*E18</f>
        <v/>
      </c>
    </row>
    <row r="19">
      <c r="A19" s="183" t="n">
        <v>45449</v>
      </c>
      <c r="B19" s="184" t="inlineStr">
        <is>
          <t>XPLG11</t>
        </is>
      </c>
      <c r="C19" s="184" t="inlineStr">
        <is>
          <t>RENDIMENTO</t>
        </is>
      </c>
      <c r="D19" s="191" t="n">
        <v>0.78</v>
      </c>
      <c r="E19" s="185" t="n">
        <v>27</v>
      </c>
      <c r="F19" s="92">
        <f>D19*E19</f>
        <v/>
      </c>
    </row>
    <row r="20">
      <c r="A20" s="187" t="n">
        <v>45456</v>
      </c>
      <c r="B20" s="188" t="inlineStr">
        <is>
          <t>BBAS3</t>
        </is>
      </c>
      <c r="C20" s="188" t="inlineStr">
        <is>
          <t>DIVIDENDO</t>
        </is>
      </c>
      <c r="D20" s="192" t="n">
        <v>0.6622</v>
      </c>
      <c r="E20" s="189" t="n">
        <v>107</v>
      </c>
      <c r="F20" s="102">
        <f>D20*E20</f>
        <v/>
      </c>
    </row>
    <row r="21">
      <c r="A21" s="183" t="n">
        <v>45456</v>
      </c>
      <c r="B21" s="184" t="inlineStr">
        <is>
          <t>BRCR11</t>
        </is>
      </c>
      <c r="C21" s="184" t="inlineStr">
        <is>
          <t>RENDIMENTO</t>
        </is>
      </c>
      <c r="D21" s="191" t="n">
        <v>0.5</v>
      </c>
      <c r="E21" s="185" t="n">
        <v>25</v>
      </c>
      <c r="F21" s="92">
        <f>D21*E21</f>
        <v/>
      </c>
    </row>
    <row r="22">
      <c r="A22" s="187" t="n">
        <v>45463</v>
      </c>
      <c r="B22" s="188" t="inlineStr">
        <is>
          <t>FIQE3</t>
        </is>
      </c>
      <c r="C22" s="188" t="inlineStr">
        <is>
          <t>JCP</t>
        </is>
      </c>
      <c r="D22" s="192" t="n">
        <v>0.1413</v>
      </c>
      <c r="E22" s="189" t="n">
        <v>419</v>
      </c>
      <c r="F22" s="102">
        <f>D22*E22</f>
        <v/>
      </c>
    </row>
    <row r="23">
      <c r="A23" s="183" t="n">
        <v>45463</v>
      </c>
      <c r="B23" s="184" t="inlineStr">
        <is>
          <t>ITSA4</t>
        </is>
      </c>
      <c r="C23" s="184" t="inlineStr">
        <is>
          <t>DIVIDENDO</t>
        </is>
      </c>
      <c r="D23" s="191" t="n">
        <v>0.08790000000000001</v>
      </c>
      <c r="E23" s="185" t="n">
        <v>160</v>
      </c>
      <c r="F23" s="92">
        <f>D23*E23</f>
        <v/>
      </c>
    </row>
    <row r="24">
      <c r="A24" s="187" t="n">
        <v>45463</v>
      </c>
      <c r="B24" s="188" t="inlineStr">
        <is>
          <t>XPML11</t>
        </is>
      </c>
      <c r="C24" s="188" t="inlineStr">
        <is>
          <t>RENDIMENTO</t>
        </is>
      </c>
      <c r="D24" s="192" t="n">
        <v>0.9198</v>
      </c>
      <c r="E24" s="189" t="n">
        <v>24</v>
      </c>
      <c r="F24" s="102">
        <f>D24*E24</f>
        <v/>
      </c>
    </row>
    <row r="25">
      <c r="A25" s="183" t="n">
        <v>45477</v>
      </c>
      <c r="B25" s="184" t="inlineStr">
        <is>
          <t>XPLG11</t>
        </is>
      </c>
      <c r="C25" s="184" t="inlineStr">
        <is>
          <t>RENDIMENTO</t>
        </is>
      </c>
      <c r="D25" s="191" t="n">
        <v>0.78</v>
      </c>
      <c r="E25" s="185" t="n">
        <v>27</v>
      </c>
      <c r="F25" s="92">
        <f>D25*E25</f>
        <v/>
      </c>
    </row>
    <row r="26">
      <c r="A26" s="187" t="n">
        <v>45484</v>
      </c>
      <c r="B26" s="188" t="inlineStr">
        <is>
          <t>BRCR11</t>
        </is>
      </c>
      <c r="C26" s="188" t="inlineStr">
        <is>
          <t>RENDIMENTO</t>
        </is>
      </c>
      <c r="D26" s="192" t="n">
        <v>0.5</v>
      </c>
      <c r="E26" s="189" t="n">
        <v>25</v>
      </c>
      <c r="F26" s="102">
        <f>D26*E26</f>
        <v/>
      </c>
    </row>
    <row r="27">
      <c r="A27" s="183" t="n">
        <v>45491</v>
      </c>
      <c r="B27" s="184" t="inlineStr">
        <is>
          <t>XPML11</t>
        </is>
      </c>
      <c r="C27" s="184" t="inlineStr">
        <is>
          <t>RENDIMENTO</t>
        </is>
      </c>
      <c r="D27" s="191" t="n">
        <v>0.9198</v>
      </c>
      <c r="E27" s="185" t="n">
        <v>24</v>
      </c>
      <c r="F27" s="92">
        <f>D27*E27</f>
        <v/>
      </c>
    </row>
    <row r="28">
      <c r="A28" s="187" t="n">
        <v>45505</v>
      </c>
      <c r="B28" s="188" t="inlineStr">
        <is>
          <t>XPLG11</t>
        </is>
      </c>
      <c r="C28" s="188" t="inlineStr">
        <is>
          <t>RENDIMENTO</t>
        </is>
      </c>
      <c r="D28" s="192" t="n">
        <v>0.78</v>
      </c>
      <c r="E28" s="189" t="n">
        <v>27</v>
      </c>
      <c r="F28" s="102">
        <f>D28*E28</f>
        <v/>
      </c>
    </row>
    <row r="29">
      <c r="A29" s="183" t="n">
        <v>45512</v>
      </c>
      <c r="B29" s="184" t="inlineStr">
        <is>
          <t>BRCR11</t>
        </is>
      </c>
      <c r="C29" s="184" t="inlineStr">
        <is>
          <t>RENDIMENTO</t>
        </is>
      </c>
      <c r="D29" s="191" t="n">
        <v>0.5</v>
      </c>
      <c r="E29" s="185" t="n">
        <v>25</v>
      </c>
      <c r="F29" s="92">
        <f>D29*E29</f>
        <v/>
      </c>
    </row>
    <row r="30">
      <c r="A30" s="187" t="n">
        <v>45512</v>
      </c>
      <c r="B30" s="188" t="inlineStr">
        <is>
          <t>VALE3</t>
        </is>
      </c>
      <c r="C30" s="188" t="inlineStr">
        <is>
          <t>DIVIDENDO</t>
        </is>
      </c>
      <c r="D30" s="192" t="n">
        <v>2.0938</v>
      </c>
      <c r="E30" s="189" t="n">
        <v>25</v>
      </c>
      <c r="F30" s="102">
        <f>D30*E30</f>
        <v/>
      </c>
    </row>
    <row r="31">
      <c r="A31" s="183" t="n">
        <v>45519</v>
      </c>
      <c r="B31" s="184" t="inlineStr">
        <is>
          <t>BRBI11</t>
        </is>
      </c>
      <c r="C31" s="184" t="inlineStr">
        <is>
          <t>DIVIDENDO</t>
        </is>
      </c>
      <c r="D31" s="191" t="n">
        <v>0.3</v>
      </c>
      <c r="E31" s="185" t="n">
        <v>196</v>
      </c>
      <c r="F31" s="92">
        <f>D31*E31</f>
        <v/>
      </c>
    </row>
    <row r="32">
      <c r="A32" s="187" t="n">
        <v>45519</v>
      </c>
      <c r="B32" s="188" t="inlineStr">
        <is>
          <t>CPTS11</t>
        </is>
      </c>
      <c r="C32" s="188" t="inlineStr">
        <is>
          <t>RENDIMENTO</t>
        </is>
      </c>
      <c r="D32" s="192" t="n">
        <v>0.081</v>
      </c>
      <c r="E32" s="189" t="n">
        <v>145</v>
      </c>
      <c r="F32" s="102">
        <f>D32*E32</f>
        <v/>
      </c>
    </row>
    <row r="33">
      <c r="A33" s="183" t="n">
        <v>45526</v>
      </c>
      <c r="B33" s="184" t="inlineStr">
        <is>
          <t>BBAS3</t>
        </is>
      </c>
      <c r="C33" s="184" t="inlineStr">
        <is>
          <t>DIVIDENDO</t>
        </is>
      </c>
      <c r="D33" s="191" t="n">
        <v>0.4747</v>
      </c>
      <c r="E33" s="185" t="n">
        <v>163</v>
      </c>
      <c r="F33" s="92">
        <f>D33*E33</f>
        <v/>
      </c>
    </row>
    <row r="34">
      <c r="A34" s="187" t="n">
        <v>45526</v>
      </c>
      <c r="B34" s="188" t="inlineStr">
        <is>
          <t>XPML11</t>
        </is>
      </c>
      <c r="C34" s="188" t="inlineStr">
        <is>
          <t>RENDIMENTO</t>
        </is>
      </c>
      <c r="D34" s="192" t="n">
        <v>0.9198</v>
      </c>
      <c r="E34" s="189" t="n">
        <v>24</v>
      </c>
      <c r="F34" s="102">
        <f>D34*E34</f>
        <v/>
      </c>
    </row>
    <row r="35">
      <c r="A35" s="183" t="n">
        <v>45533</v>
      </c>
      <c r="B35" s="184" t="inlineStr">
        <is>
          <t>CMIG4</t>
        </is>
      </c>
      <c r="C35" s="184" t="inlineStr">
        <is>
          <t>JCP</t>
        </is>
      </c>
      <c r="D35" s="191" t="n">
        <v>0.4964</v>
      </c>
      <c r="E35" s="185" t="n">
        <v>138</v>
      </c>
      <c r="F35" s="92">
        <f>D35*E35</f>
        <v/>
      </c>
    </row>
    <row r="36">
      <c r="A36" s="187" t="n">
        <v>45540</v>
      </c>
      <c r="B36" s="188" t="inlineStr">
        <is>
          <t>ITSA4</t>
        </is>
      </c>
      <c r="C36" s="188" t="inlineStr">
        <is>
          <t>JCP</t>
        </is>
      </c>
      <c r="D36" s="192" t="n">
        <v>0.0219</v>
      </c>
      <c r="E36" s="189" t="n">
        <v>322</v>
      </c>
      <c r="F36" s="102">
        <f>D36*E36</f>
        <v/>
      </c>
    </row>
    <row r="37">
      <c r="A37" s="183" t="n">
        <v>45540</v>
      </c>
      <c r="B37" s="184" t="inlineStr">
        <is>
          <t>XPLG11</t>
        </is>
      </c>
      <c r="C37" s="184" t="inlineStr">
        <is>
          <t>RENDIMENTO</t>
        </is>
      </c>
      <c r="D37" s="191" t="n">
        <v>0.78</v>
      </c>
      <c r="E37" s="185" t="n">
        <v>27</v>
      </c>
      <c r="F37" s="92">
        <f>D37*E37</f>
        <v/>
      </c>
    </row>
    <row r="38">
      <c r="A38" s="187" t="n">
        <v>45547</v>
      </c>
      <c r="B38" s="188" t="inlineStr">
        <is>
          <t>BBAS3</t>
        </is>
      </c>
      <c r="C38" s="188" t="inlineStr">
        <is>
          <t>DIVIDENDO</t>
        </is>
      </c>
      <c r="D38" s="192" t="n">
        <v>0.1866</v>
      </c>
      <c r="E38" s="189" t="n">
        <v>163</v>
      </c>
      <c r="F38" s="102">
        <f>D38*E38</f>
        <v/>
      </c>
    </row>
    <row r="39">
      <c r="A39" s="183" t="n">
        <v>45547</v>
      </c>
      <c r="B39" s="184" t="inlineStr">
        <is>
          <t>BRCR11</t>
        </is>
      </c>
      <c r="C39" s="184" t="inlineStr">
        <is>
          <t>RENDIMENTO</t>
        </is>
      </c>
      <c r="D39" s="191" t="n">
        <v>0.5</v>
      </c>
      <c r="E39" s="185" t="n">
        <v>25</v>
      </c>
      <c r="F39" s="92">
        <f>D39*E39</f>
        <v/>
      </c>
    </row>
    <row r="40">
      <c r="A40" s="187" t="n">
        <v>45547</v>
      </c>
      <c r="B40" s="188" t="inlineStr">
        <is>
          <t>CPTS11</t>
        </is>
      </c>
      <c r="C40" s="188" t="inlineStr">
        <is>
          <t>RENDIMENTO</t>
        </is>
      </c>
      <c r="D40" s="192" t="n">
        <v>0.081</v>
      </c>
      <c r="E40" s="189" t="n">
        <v>145</v>
      </c>
      <c r="F40" s="102">
        <f>D40*E40</f>
        <v/>
      </c>
    </row>
    <row r="41">
      <c r="A41" s="183" t="n">
        <v>45554</v>
      </c>
      <c r="B41" s="184" t="inlineStr">
        <is>
          <t>ITSA4</t>
        </is>
      </c>
      <c r="C41" s="184" t="inlineStr">
        <is>
          <t>DIVIDENDO</t>
        </is>
      </c>
      <c r="D41" s="191" t="n">
        <v>0.045</v>
      </c>
      <c r="E41" s="185" t="n">
        <v>322</v>
      </c>
      <c r="F41" s="92">
        <f>D41*E41</f>
        <v/>
      </c>
    </row>
    <row r="42">
      <c r="A42" s="187" t="n">
        <v>45554</v>
      </c>
      <c r="B42" s="188" t="inlineStr">
        <is>
          <t>XPML11</t>
        </is>
      </c>
      <c r="C42" s="188" t="inlineStr">
        <is>
          <t>RENDIMENTO</t>
        </is>
      </c>
      <c r="D42" s="192" t="n">
        <v>0.9198</v>
      </c>
      <c r="E42" s="189" t="n">
        <v>24</v>
      </c>
      <c r="F42" s="102">
        <f>D42*E42</f>
        <v/>
      </c>
    </row>
    <row r="43">
      <c r="A43" s="183" t="n">
        <v>45561</v>
      </c>
      <c r="B43" s="184" t="inlineStr">
        <is>
          <t>CMIG4</t>
        </is>
      </c>
      <c r="C43" s="184" t="inlineStr">
        <is>
          <t>JCP</t>
        </is>
      </c>
      <c r="D43" s="191" t="n">
        <v>0.1652</v>
      </c>
      <c r="E43" s="185" t="n">
        <v>138</v>
      </c>
      <c r="F43" s="92">
        <f>D43*E43</f>
        <v/>
      </c>
    </row>
    <row r="44">
      <c r="A44" s="187" t="n">
        <v>45568</v>
      </c>
      <c r="B44" s="188" t="inlineStr">
        <is>
          <t>XPLG11</t>
        </is>
      </c>
      <c r="C44" s="188" t="inlineStr">
        <is>
          <t>RENDIMENTO</t>
        </is>
      </c>
      <c r="D44" s="192" t="n">
        <v>0.78</v>
      </c>
      <c r="E44" s="189" t="n">
        <v>41</v>
      </c>
      <c r="F44" s="102">
        <f>D44*E44</f>
        <v/>
      </c>
    </row>
    <row r="45">
      <c r="A45" s="183" t="n">
        <v>45575</v>
      </c>
      <c r="B45" s="184" t="inlineStr">
        <is>
          <t>BRCR11</t>
        </is>
      </c>
      <c r="C45" s="184" t="inlineStr">
        <is>
          <t>RENDIMENTO</t>
        </is>
      </c>
      <c r="D45" s="191" t="n">
        <v>0.5</v>
      </c>
      <c r="E45" s="185" t="n">
        <v>25</v>
      </c>
      <c r="F45" s="92">
        <f>D45*E45</f>
        <v/>
      </c>
    </row>
    <row r="46">
      <c r="A46" s="187" t="n">
        <v>45575</v>
      </c>
      <c r="B46" s="188" t="inlineStr">
        <is>
          <t>CPTS11</t>
        </is>
      </c>
      <c r="C46" s="188" t="inlineStr">
        <is>
          <t>RENDIMENTO</t>
        </is>
      </c>
      <c r="D46" s="192" t="n">
        <v>0.07199999999999999</v>
      </c>
      <c r="E46" s="189" t="n">
        <v>145</v>
      </c>
      <c r="F46" s="102">
        <f>D46*E46</f>
        <v/>
      </c>
    </row>
    <row r="47">
      <c r="A47" s="183" t="n">
        <v>45589</v>
      </c>
      <c r="B47" s="184" t="inlineStr">
        <is>
          <t>XPML11</t>
        </is>
      </c>
      <c r="C47" s="184" t="inlineStr">
        <is>
          <t>RENDIMENTO</t>
        </is>
      </c>
      <c r="D47" s="191" t="n">
        <v>0.9198</v>
      </c>
      <c r="E47" s="185" t="n">
        <v>24</v>
      </c>
      <c r="F47" s="92">
        <f>D47*E47</f>
        <v/>
      </c>
    </row>
    <row r="48">
      <c r="A48" s="187" t="n">
        <v>45596</v>
      </c>
      <c r="B48" s="188" t="inlineStr">
        <is>
          <t>XPLG11</t>
        </is>
      </c>
      <c r="C48" s="188" t="inlineStr">
        <is>
          <t>RENDIMENTO</t>
        </is>
      </c>
      <c r="D48" s="192" t="n">
        <v>0.78</v>
      </c>
      <c r="E48" s="189" t="n">
        <v>41</v>
      </c>
      <c r="F48" s="102">
        <f>D48*E48</f>
        <v/>
      </c>
    </row>
    <row r="49">
      <c r="A49" s="183" t="n">
        <v>45603</v>
      </c>
      <c r="B49" s="184" t="inlineStr">
        <is>
          <t>BRCR11</t>
        </is>
      </c>
      <c r="C49" s="184" t="inlineStr">
        <is>
          <t>RENDIMENTO</t>
        </is>
      </c>
      <c r="D49" s="191" t="n">
        <v>0.5</v>
      </c>
      <c r="E49" s="185" t="n">
        <v>25</v>
      </c>
      <c r="F49" s="92">
        <f>D49*E49</f>
        <v/>
      </c>
    </row>
    <row r="50">
      <c r="A50" s="187" t="n">
        <v>45610</v>
      </c>
      <c r="B50" s="188" t="inlineStr">
        <is>
          <t>BRBI11</t>
        </is>
      </c>
      <c r="C50" s="188" t="inlineStr">
        <is>
          <t>DIVIDENDO</t>
        </is>
      </c>
      <c r="D50" s="192" t="n">
        <v>0.45</v>
      </c>
      <c r="E50" s="189" t="n">
        <v>196</v>
      </c>
      <c r="F50" s="102">
        <f>D50*E50</f>
        <v/>
      </c>
    </row>
    <row r="51">
      <c r="A51" s="183" t="n">
        <v>45610</v>
      </c>
      <c r="B51" s="184" t="inlineStr">
        <is>
          <t>CPTS11</t>
        </is>
      </c>
      <c r="C51" s="184" t="inlineStr">
        <is>
          <t>RENDIMENTO</t>
        </is>
      </c>
      <c r="D51" s="191" t="n">
        <v>0.062</v>
      </c>
      <c r="E51" s="185" t="n">
        <v>342</v>
      </c>
      <c r="F51" s="92">
        <f>D51*E51</f>
        <v/>
      </c>
    </row>
    <row r="52">
      <c r="A52" s="187" t="n">
        <v>45617</v>
      </c>
      <c r="B52" s="188" t="inlineStr">
        <is>
          <t>XPML11</t>
        </is>
      </c>
      <c r="C52" s="188" t="inlineStr">
        <is>
          <t>RENDIMENTO</t>
        </is>
      </c>
      <c r="D52" s="192" t="n">
        <v>0.9198</v>
      </c>
      <c r="E52" s="189" t="n">
        <v>24</v>
      </c>
      <c r="F52" s="102">
        <f>D52*E52</f>
        <v/>
      </c>
    </row>
    <row r="53">
      <c r="A53" s="183" t="n">
        <v>45624</v>
      </c>
      <c r="B53" s="184" t="inlineStr">
        <is>
          <t>BBAS3</t>
        </is>
      </c>
      <c r="C53" s="184" t="inlineStr">
        <is>
          <t>DIVIDENDO</t>
        </is>
      </c>
      <c r="D53" s="191" t="n">
        <v>0.4833</v>
      </c>
      <c r="E53" s="185" t="n">
        <v>163</v>
      </c>
      <c r="F53" s="92">
        <f>D53*E53</f>
        <v/>
      </c>
    </row>
    <row r="54">
      <c r="A54" s="187" t="n">
        <v>45631</v>
      </c>
      <c r="B54" s="188" t="inlineStr">
        <is>
          <t>BRBI11</t>
        </is>
      </c>
      <c r="C54" s="188" t="inlineStr">
        <is>
          <t>DIVIDENDO</t>
        </is>
      </c>
      <c r="D54" s="192" t="n">
        <v>0.78</v>
      </c>
      <c r="E54" s="189" t="n">
        <v>196</v>
      </c>
      <c r="F54" s="102">
        <f>D54*E54</f>
        <v/>
      </c>
    </row>
    <row r="55">
      <c r="A55" s="183" t="n">
        <v>45631</v>
      </c>
      <c r="B55" s="184" t="inlineStr">
        <is>
          <t>ITSA4</t>
        </is>
      </c>
      <c r="C55" s="184" t="inlineStr">
        <is>
          <t>DIVIDENDO</t>
        </is>
      </c>
      <c r="D55" s="191" t="n">
        <v>0.0219</v>
      </c>
      <c r="E55" s="185" t="n">
        <v>322</v>
      </c>
      <c r="F55" s="92">
        <f>D55*E55</f>
        <v/>
      </c>
    </row>
    <row r="56">
      <c r="A56" s="187" t="n">
        <v>45631</v>
      </c>
      <c r="B56" s="188" t="inlineStr">
        <is>
          <t>XPLG11</t>
        </is>
      </c>
      <c r="C56" s="188" t="inlineStr">
        <is>
          <t>RENDIMENTO</t>
        </is>
      </c>
      <c r="D56" s="192" t="n">
        <v>0.78</v>
      </c>
      <c r="E56" s="189" t="n">
        <v>41</v>
      </c>
      <c r="F56" s="102">
        <f>D56*E56</f>
        <v/>
      </c>
    </row>
    <row r="57">
      <c r="A57" s="183" t="n">
        <v>45638</v>
      </c>
      <c r="B57" s="184" t="inlineStr">
        <is>
          <t>BBAS3</t>
        </is>
      </c>
      <c r="C57" s="184" t="inlineStr">
        <is>
          <t>DIVIDENDO</t>
        </is>
      </c>
      <c r="D57" s="191" t="n">
        <v>0.1765</v>
      </c>
      <c r="E57" s="185" t="n">
        <v>163</v>
      </c>
      <c r="F57" s="92">
        <f>D57*E57</f>
        <v/>
      </c>
    </row>
    <row r="58">
      <c r="A58" s="187" t="n">
        <v>45638</v>
      </c>
      <c r="B58" s="188" t="inlineStr">
        <is>
          <t>BRCR11</t>
        </is>
      </c>
      <c r="C58" s="188" t="inlineStr">
        <is>
          <t>RENDIMENTO</t>
        </is>
      </c>
      <c r="D58" s="192" t="n">
        <v>0.5</v>
      </c>
      <c r="E58" s="189" t="n">
        <v>25</v>
      </c>
      <c r="F58" s="102">
        <f>D58*E58</f>
        <v/>
      </c>
    </row>
    <row r="59">
      <c r="A59" s="183" t="n">
        <v>45638</v>
      </c>
      <c r="B59" s="184" t="inlineStr">
        <is>
          <t>CPTS11</t>
        </is>
      </c>
      <c r="C59" s="184" t="inlineStr">
        <is>
          <t>RENDIMENTO</t>
        </is>
      </c>
      <c r="D59" s="191" t="n">
        <v>0.075</v>
      </c>
      <c r="E59" s="185" t="n">
        <v>342</v>
      </c>
      <c r="F59" s="92">
        <f>D59*E59</f>
        <v/>
      </c>
    </row>
    <row r="60">
      <c r="A60" s="187" t="n">
        <v>45638</v>
      </c>
      <c r="B60" s="188" t="inlineStr">
        <is>
          <t>ITSA4</t>
        </is>
      </c>
      <c r="C60" s="188" t="inlineStr">
        <is>
          <t>JCP</t>
        </is>
      </c>
      <c r="D60" s="192" t="n">
        <v>0.0567</v>
      </c>
      <c r="E60" s="189" t="n">
        <v>322</v>
      </c>
      <c r="F60" s="102">
        <f>D60*E60</f>
        <v/>
      </c>
    </row>
    <row r="61">
      <c r="A61" s="183" t="n">
        <v>45638</v>
      </c>
      <c r="B61" s="184" t="inlineStr">
        <is>
          <t>PETR4</t>
        </is>
      </c>
      <c r="C61" s="184" t="inlineStr">
        <is>
          <t>JCP</t>
        </is>
      </c>
      <c r="D61" s="191" t="n">
        <v>1.5517</v>
      </c>
      <c r="E61" s="185" t="n">
        <v>80</v>
      </c>
      <c r="F61" s="92">
        <f>D61*E61</f>
        <v/>
      </c>
    </row>
    <row r="62">
      <c r="A62" s="187" t="n">
        <v>45638</v>
      </c>
      <c r="B62" s="188" t="inlineStr">
        <is>
          <t>VALE3</t>
        </is>
      </c>
      <c r="C62" s="188" t="inlineStr">
        <is>
          <t>DIVIDENDO</t>
        </is>
      </c>
      <c r="D62" s="192" t="n">
        <v>0.5205</v>
      </c>
      <c r="E62" s="189" t="n">
        <v>51</v>
      </c>
      <c r="F62" s="102">
        <f>D62*E62</f>
        <v/>
      </c>
    </row>
    <row r="63">
      <c r="A63" s="183" t="n">
        <v>45645</v>
      </c>
      <c r="B63" s="184" t="inlineStr">
        <is>
          <t>XPML11</t>
        </is>
      </c>
      <c r="C63" s="184" t="inlineStr">
        <is>
          <t>RENDIMENTO</t>
        </is>
      </c>
      <c r="D63" s="191" t="n">
        <v>0.9198</v>
      </c>
      <c r="E63" s="185" t="n">
        <v>24</v>
      </c>
      <c r="F63" s="92">
        <f>D63*E63</f>
        <v/>
      </c>
    </row>
    <row r="64">
      <c r="A64" s="187" t="n">
        <v>45652</v>
      </c>
      <c r="B64" s="188" t="inlineStr">
        <is>
          <t>CMIG4</t>
        </is>
      </c>
      <c r="C64" s="188" t="inlineStr">
        <is>
          <t>DIVIDENDO</t>
        </is>
      </c>
      <c r="D64" s="192" t="n">
        <v>0.1958</v>
      </c>
      <c r="E64" s="189" t="n">
        <v>268</v>
      </c>
      <c r="F64" s="102">
        <f>D64*E64</f>
        <v/>
      </c>
    </row>
    <row r="65">
      <c r="A65" s="183" t="n">
        <v>45652</v>
      </c>
      <c r="B65" s="184" t="inlineStr">
        <is>
          <t>PETR4</t>
        </is>
      </c>
      <c r="C65" s="184" t="inlineStr">
        <is>
          <t>DIVIDENDO</t>
        </is>
      </c>
      <c r="D65" s="191" t="n">
        <v>1.3569</v>
      </c>
      <c r="E65" s="185" t="n">
        <v>80</v>
      </c>
      <c r="F65" s="92">
        <f>D65*E65</f>
        <v/>
      </c>
    </row>
    <row r="66">
      <c r="A66" s="187" t="n">
        <v>45659</v>
      </c>
      <c r="B66" s="188" t="inlineStr">
        <is>
          <t>XPLG11</t>
        </is>
      </c>
      <c r="C66" s="188" t="inlineStr">
        <is>
          <t>RENDIMENTO</t>
        </is>
      </c>
      <c r="D66" s="192" t="n">
        <v>0.78</v>
      </c>
      <c r="E66" s="189" t="n">
        <v>41</v>
      </c>
      <c r="F66" s="102">
        <f>D66*E66</f>
        <v/>
      </c>
    </row>
    <row r="67">
      <c r="A67" s="183" t="n">
        <v>45666</v>
      </c>
      <c r="B67" s="184" t="inlineStr">
        <is>
          <t>BRCR11</t>
        </is>
      </c>
      <c r="C67" s="184" t="inlineStr">
        <is>
          <t>RENDIMENTO</t>
        </is>
      </c>
      <c r="D67" s="191" t="n">
        <v>0.5</v>
      </c>
      <c r="E67" s="185" t="n">
        <v>25</v>
      </c>
      <c r="F67" s="92">
        <f>D67*E67</f>
        <v/>
      </c>
    </row>
    <row r="68">
      <c r="A68" s="187" t="n">
        <v>45673</v>
      </c>
      <c r="B68" s="188" t="inlineStr">
        <is>
          <t>CPTS11</t>
        </is>
      </c>
      <c r="C68" s="188" t="inlineStr">
        <is>
          <t>RENDIMENTO</t>
        </is>
      </c>
      <c r="D68" s="192" t="n">
        <v>0.075</v>
      </c>
      <c r="E68" s="189" t="n">
        <v>342</v>
      </c>
      <c r="F68" s="102">
        <f>D68*E68</f>
        <v/>
      </c>
    </row>
    <row r="69">
      <c r="A69" s="183" t="n">
        <v>45673</v>
      </c>
      <c r="B69" s="184" t="inlineStr">
        <is>
          <t>SNAG11</t>
        </is>
      </c>
      <c r="C69" s="184" t="inlineStr">
        <is>
          <t>RENDIMENTO</t>
        </is>
      </c>
      <c r="D69" s="191" t="n">
        <v>0.11</v>
      </c>
      <c r="E69" s="185" t="n">
        <v>162</v>
      </c>
      <c r="F69" s="92">
        <f>D69*E69</f>
        <v/>
      </c>
    </row>
    <row r="70">
      <c r="A70" s="187" t="n">
        <v>45680</v>
      </c>
      <c r="B70" s="188" t="inlineStr">
        <is>
          <t>XPML11</t>
        </is>
      </c>
      <c r="C70" s="188" t="inlineStr">
        <is>
          <t>RENDIMENTO</t>
        </is>
      </c>
      <c r="D70" s="192" t="n">
        <v>0.9198</v>
      </c>
      <c r="E70" s="189" t="n">
        <v>24</v>
      </c>
      <c r="F70" s="102">
        <f>D70*E70</f>
        <v/>
      </c>
    </row>
    <row r="71">
      <c r="A71" s="183" t="n">
        <v>45694</v>
      </c>
      <c r="B71" s="184" t="inlineStr">
        <is>
          <t>FIQE3</t>
        </is>
      </c>
      <c r="C71" s="184" t="inlineStr">
        <is>
          <t>DIVIDENDO</t>
        </is>
      </c>
      <c r="D71" s="191" t="n">
        <v>0.08989999999999999</v>
      </c>
      <c r="E71" s="185" t="n">
        <v>1291</v>
      </c>
      <c r="F71" s="92">
        <f>D71*E71</f>
        <v/>
      </c>
    </row>
    <row r="72">
      <c r="A72" s="187" t="n">
        <v>45694</v>
      </c>
      <c r="B72" s="188" t="inlineStr">
        <is>
          <t>XPLG11</t>
        </is>
      </c>
      <c r="C72" s="188" t="inlineStr">
        <is>
          <t>RENDIMENTO</t>
        </is>
      </c>
      <c r="D72" s="192" t="n">
        <v>0.82</v>
      </c>
      <c r="E72" s="189" t="n">
        <v>41</v>
      </c>
      <c r="F72" s="102">
        <f>D72*E72</f>
        <v/>
      </c>
    </row>
    <row r="73">
      <c r="A73" s="183" t="n">
        <v>45701</v>
      </c>
      <c r="B73" s="184" t="inlineStr">
        <is>
          <t>BRCR11</t>
        </is>
      </c>
      <c r="C73" s="184" t="inlineStr">
        <is>
          <t>RENDIMENTO</t>
        </is>
      </c>
      <c r="D73" s="191" t="n">
        <v>0.48</v>
      </c>
      <c r="E73" s="185" t="n">
        <v>25</v>
      </c>
      <c r="F73" s="92">
        <f>D73*E73</f>
        <v/>
      </c>
    </row>
    <row r="74">
      <c r="A74" s="187" t="n">
        <v>45701</v>
      </c>
      <c r="B74" s="188" t="inlineStr">
        <is>
          <t>CPTS11</t>
        </is>
      </c>
      <c r="C74" s="188" t="inlineStr">
        <is>
          <t>RENDIMENTO</t>
        </is>
      </c>
      <c r="D74" s="192" t="n">
        <v>0.075</v>
      </c>
      <c r="E74" s="189" t="n">
        <v>342</v>
      </c>
      <c r="F74" s="102">
        <f>D74*E74</f>
        <v/>
      </c>
    </row>
    <row r="75">
      <c r="A75" s="183" t="n">
        <v>45708</v>
      </c>
      <c r="B75" s="184" t="inlineStr">
        <is>
          <t>ITSA4</t>
        </is>
      </c>
      <c r="C75" s="184" t="inlineStr">
        <is>
          <t>DIVIDENDO</t>
        </is>
      </c>
      <c r="D75" s="191" t="n">
        <v>0.5897</v>
      </c>
      <c r="E75" s="185" t="n">
        <v>499</v>
      </c>
      <c r="F75" s="92">
        <f>D75*E75</f>
        <v/>
      </c>
    </row>
    <row r="76">
      <c r="A76" s="187" t="n">
        <v>45708</v>
      </c>
      <c r="B76" s="188" t="inlineStr">
        <is>
          <t>SNAG11</t>
        </is>
      </c>
      <c r="C76" s="188" t="inlineStr">
        <is>
          <t>RENDIMENTO</t>
        </is>
      </c>
      <c r="D76" s="192" t="n">
        <v>0.11</v>
      </c>
      <c r="E76" s="189" t="n">
        <v>162</v>
      </c>
      <c r="F76" s="102">
        <f>D76*E76</f>
        <v/>
      </c>
    </row>
    <row r="77">
      <c r="A77" s="183" t="n">
        <v>45708</v>
      </c>
      <c r="B77" s="184" t="inlineStr">
        <is>
          <t>XPML11</t>
        </is>
      </c>
      <c r="C77" s="184" t="inlineStr">
        <is>
          <t>RENDIMENTO</t>
        </is>
      </c>
      <c r="D77" s="191" t="n">
        <v>0.9198</v>
      </c>
      <c r="E77" s="185" t="n">
        <v>24</v>
      </c>
      <c r="F77" s="92">
        <f>D77*E77</f>
        <v/>
      </c>
    </row>
    <row r="78">
      <c r="A78" s="187" t="n">
        <v>45722</v>
      </c>
      <c r="B78" s="188" t="inlineStr">
        <is>
          <t>ITSA4</t>
        </is>
      </c>
      <c r="C78" s="188" t="inlineStr">
        <is>
          <t>JCP</t>
        </is>
      </c>
      <c r="D78" s="192" t="n">
        <v>0.0461</v>
      </c>
      <c r="E78" s="189" t="n">
        <v>499</v>
      </c>
      <c r="F78" s="102">
        <f>D78*E78</f>
        <v/>
      </c>
    </row>
    <row r="79">
      <c r="A79" s="183" t="n">
        <v>45722</v>
      </c>
      <c r="B79" s="184" t="inlineStr">
        <is>
          <t>XPLG11</t>
        </is>
      </c>
      <c r="C79" s="184" t="inlineStr">
        <is>
          <t>RENDIMENTO</t>
        </is>
      </c>
      <c r="D79" s="191" t="n">
        <v>0.82</v>
      </c>
      <c r="E79" s="185" t="n">
        <v>41</v>
      </c>
      <c r="F79" s="92">
        <f>D79*E79</f>
        <v/>
      </c>
    </row>
    <row r="80">
      <c r="A80" s="187" t="n">
        <v>45729</v>
      </c>
      <c r="B80" s="188" t="inlineStr">
        <is>
          <t>BBAS3</t>
        </is>
      </c>
      <c r="C80" s="188" t="inlineStr">
        <is>
          <t>DIVIDENDO</t>
        </is>
      </c>
      <c r="D80" s="192" t="n">
        <v>0.6404</v>
      </c>
      <c r="E80" s="189" t="n">
        <v>216</v>
      </c>
      <c r="F80" s="102">
        <f>D80*E80</f>
        <v/>
      </c>
    </row>
    <row r="81">
      <c r="A81" s="183" t="n">
        <v>45729</v>
      </c>
      <c r="B81" s="184" t="inlineStr">
        <is>
          <t>BRCR11</t>
        </is>
      </c>
      <c r="C81" s="184" t="inlineStr">
        <is>
          <t>RENDIMENTO</t>
        </is>
      </c>
      <c r="D81" s="191" t="n">
        <v>0.45</v>
      </c>
      <c r="E81" s="185" t="n">
        <v>25</v>
      </c>
      <c r="F81" s="92">
        <f>D81*E81</f>
        <v/>
      </c>
    </row>
    <row r="82">
      <c r="A82" s="187" t="n">
        <v>45729</v>
      </c>
      <c r="B82" s="188" t="inlineStr">
        <is>
          <t>VALE3</t>
        </is>
      </c>
      <c r="C82" s="188" t="inlineStr">
        <is>
          <t>JCP</t>
        </is>
      </c>
      <c r="D82" s="192" t="n">
        <v>2.1418</v>
      </c>
      <c r="E82" s="189" t="n">
        <v>51</v>
      </c>
      <c r="F82" s="102">
        <f>D82*E82</f>
        <v/>
      </c>
    </row>
    <row r="83">
      <c r="A83" s="183" t="n">
        <v>45736</v>
      </c>
      <c r="B83" s="184" t="inlineStr">
        <is>
          <t>CPTS11</t>
        </is>
      </c>
      <c r="C83" s="184" t="inlineStr">
        <is>
          <t>RENDIMENTO</t>
        </is>
      </c>
      <c r="D83" s="191" t="n">
        <v>0.08</v>
      </c>
      <c r="E83" s="185" t="n">
        <v>342</v>
      </c>
      <c r="F83" s="92">
        <f>D83*E83</f>
        <v/>
      </c>
    </row>
    <row r="84">
      <c r="A84" s="187" t="n">
        <v>45736</v>
      </c>
      <c r="B84" s="188" t="inlineStr">
        <is>
          <t>SNAG11</t>
        </is>
      </c>
      <c r="C84" s="188" t="inlineStr">
        <is>
          <t>RENDIMENTO</t>
        </is>
      </c>
      <c r="D84" s="192" t="n">
        <v>0.11</v>
      </c>
      <c r="E84" s="189" t="n">
        <v>162</v>
      </c>
      <c r="F84" s="102">
        <f>D84*E84</f>
        <v/>
      </c>
    </row>
    <row r="85">
      <c r="A85" s="183" t="n">
        <v>45736</v>
      </c>
      <c r="B85" s="184" t="inlineStr">
        <is>
          <t>XPML11</t>
        </is>
      </c>
      <c r="C85" s="184" t="inlineStr">
        <is>
          <t>RENDIMENTO</t>
        </is>
      </c>
      <c r="D85" s="191" t="n">
        <v>0.9198</v>
      </c>
      <c r="E85" s="185" t="n">
        <v>24</v>
      </c>
      <c r="F85" s="92">
        <f>D85*E85</f>
        <v/>
      </c>
    </row>
    <row r="86">
      <c r="A86" s="187" t="n">
        <v>45743</v>
      </c>
      <c r="B86" s="188" t="inlineStr">
        <is>
          <t>BRBI11</t>
        </is>
      </c>
      <c r="C86" s="188" t="inlineStr">
        <is>
          <t>JCP</t>
        </is>
      </c>
      <c r="D86" s="192" t="n">
        <v>0.18</v>
      </c>
      <c r="E86" s="189" t="n">
        <v>196</v>
      </c>
      <c r="F86" s="102">
        <f>D86*E86</f>
        <v/>
      </c>
    </row>
    <row r="87">
      <c r="A87" s="183" t="n">
        <v>45743</v>
      </c>
      <c r="B87" s="184" t="inlineStr">
        <is>
          <t>CMIG4</t>
        </is>
      </c>
      <c r="C87" s="184" t="inlineStr">
        <is>
          <t>DIVIDENDO</t>
        </is>
      </c>
      <c r="D87" s="191" t="n">
        <v>0.1891</v>
      </c>
      <c r="E87" s="185" t="n">
        <v>536</v>
      </c>
      <c r="F87" s="92">
        <f>D87*E87</f>
        <v/>
      </c>
    </row>
    <row r="88">
      <c r="A88" s="187" t="n">
        <v>45750</v>
      </c>
      <c r="B88" s="188" t="inlineStr">
        <is>
          <t>XPLG11</t>
        </is>
      </c>
      <c r="C88" s="188" t="inlineStr">
        <is>
          <t>RENDIMENTO</t>
        </is>
      </c>
      <c r="D88" s="192" t="n">
        <v>0.82</v>
      </c>
      <c r="E88" s="189" t="n">
        <v>41</v>
      </c>
      <c r="F88" s="102">
        <f>D88*E88</f>
        <v/>
      </c>
    </row>
    <row r="89">
      <c r="A89" s="183" t="n">
        <v>45757</v>
      </c>
      <c r="B89" s="184" t="inlineStr">
        <is>
          <t>BRCR11</t>
        </is>
      </c>
      <c r="C89" s="184" t="inlineStr">
        <is>
          <t>RENDIMENTO</t>
        </is>
      </c>
      <c r="D89" s="191" t="n">
        <v>0.45</v>
      </c>
      <c r="E89" s="185" t="n">
        <v>25</v>
      </c>
      <c r="F89" s="92">
        <f>D89*E89</f>
        <v/>
      </c>
    </row>
    <row r="90">
      <c r="A90" s="187" t="n">
        <v>45757</v>
      </c>
      <c r="B90" s="188" t="inlineStr">
        <is>
          <t>CPTS11</t>
        </is>
      </c>
      <c r="C90" s="188" t="inlineStr">
        <is>
          <t>RENDIMENTO</t>
        </is>
      </c>
      <c r="D90" s="192" t="n">
        <v>0.082</v>
      </c>
      <c r="E90" s="189" t="n">
        <v>342</v>
      </c>
      <c r="F90" s="102">
        <f>D90*E90</f>
        <v/>
      </c>
    </row>
    <row r="91">
      <c r="A91" s="183" t="n">
        <v>45764</v>
      </c>
      <c r="B91" s="184" t="inlineStr">
        <is>
          <t>PETR4</t>
        </is>
      </c>
      <c r="C91" s="184" t="inlineStr">
        <is>
          <t>DIVIDENDO</t>
        </is>
      </c>
      <c r="D91" s="191" t="n">
        <v>0.7481</v>
      </c>
      <c r="E91" s="185" t="n">
        <v>127</v>
      </c>
      <c r="F91" s="92">
        <f>D91*E91</f>
        <v/>
      </c>
    </row>
    <row r="92">
      <c r="A92" s="187" t="n">
        <v>45764</v>
      </c>
      <c r="B92" s="188" t="inlineStr">
        <is>
          <t>SNAG11</t>
        </is>
      </c>
      <c r="C92" s="188" t="inlineStr">
        <is>
          <t>RENDIMENTO</t>
        </is>
      </c>
      <c r="D92" s="192" t="n">
        <v>0.11</v>
      </c>
      <c r="E92" s="189" t="n">
        <v>162</v>
      </c>
      <c r="F92" s="102">
        <f>D92*E92</f>
        <v/>
      </c>
    </row>
    <row r="93">
      <c r="A93" s="183" t="n">
        <v>45764</v>
      </c>
      <c r="B93" s="184" t="inlineStr">
        <is>
          <t>XPML11</t>
        </is>
      </c>
      <c r="C93" s="184" t="inlineStr">
        <is>
          <t>RENDIMENTO</t>
        </is>
      </c>
      <c r="D93" s="191" t="n">
        <v>0.9198</v>
      </c>
      <c r="E93" s="185" t="n">
        <v>24</v>
      </c>
      <c r="F93" s="92">
        <f>D93*E93</f>
        <v/>
      </c>
    </row>
    <row r="94">
      <c r="A94" s="187" t="n">
        <v>45778</v>
      </c>
      <c r="B94" s="188" t="inlineStr">
        <is>
          <t>CMIG4</t>
        </is>
      </c>
      <c r="C94" s="188" t="inlineStr">
        <is>
          <t>DIVIDENDO</t>
        </is>
      </c>
      <c r="D94" s="192" t="n">
        <v>0.6588000000000001</v>
      </c>
      <c r="E94" s="189" t="n">
        <v>536</v>
      </c>
      <c r="F94" s="102">
        <f>D94*E94</f>
        <v/>
      </c>
    </row>
    <row r="95">
      <c r="A95" s="183" t="n">
        <v>45778</v>
      </c>
      <c r="B95" s="184" t="inlineStr">
        <is>
          <t>XPLG11</t>
        </is>
      </c>
      <c r="C95" s="184" t="inlineStr">
        <is>
          <t>RENDIMENTO</t>
        </is>
      </c>
      <c r="D95" s="191" t="n">
        <v>0.82</v>
      </c>
      <c r="E95" s="185" t="n">
        <v>41</v>
      </c>
      <c r="F95" s="92">
        <f>D95*E95</f>
        <v/>
      </c>
    </row>
    <row r="96">
      <c r="A96" s="187" t="n">
        <v>45785</v>
      </c>
      <c r="B96" s="188" t="inlineStr">
        <is>
          <t>BRCR11</t>
        </is>
      </c>
      <c r="C96" s="188" t="inlineStr">
        <is>
          <t>RENDIMENTO</t>
        </is>
      </c>
      <c r="D96" s="192" t="n">
        <v>0.45</v>
      </c>
      <c r="E96" s="189" t="n">
        <v>25</v>
      </c>
      <c r="F96" s="102">
        <f>D96*E96</f>
        <v/>
      </c>
    </row>
    <row r="97">
      <c r="A97" s="183" t="n">
        <v>45792</v>
      </c>
      <c r="B97" s="184" t="inlineStr">
        <is>
          <t>BRBI11</t>
        </is>
      </c>
      <c r="C97" s="184" t="inlineStr">
        <is>
          <t>DIVIDENDO</t>
        </is>
      </c>
      <c r="D97" s="191" t="n">
        <v>0.3</v>
      </c>
      <c r="E97" s="185" t="n">
        <v>196</v>
      </c>
      <c r="F97" s="92">
        <f>D97*E97</f>
        <v/>
      </c>
    </row>
    <row r="98">
      <c r="A98" s="187" t="n">
        <v>45792</v>
      </c>
      <c r="B98" s="188" t="inlineStr">
        <is>
          <t>CPTS11</t>
        </is>
      </c>
      <c r="C98" s="188" t="inlineStr">
        <is>
          <t>RENDIMENTO</t>
        </is>
      </c>
      <c r="D98" s="192" t="n">
        <v>0.08500000000000001</v>
      </c>
      <c r="E98" s="189" t="n">
        <v>342</v>
      </c>
      <c r="F98" s="102">
        <f>D98*E98</f>
        <v/>
      </c>
    </row>
    <row r="99">
      <c r="A99" s="183" t="n">
        <v>45792</v>
      </c>
      <c r="B99" s="184" t="inlineStr">
        <is>
          <t>KLBN11</t>
        </is>
      </c>
      <c r="C99" s="184" t="inlineStr">
        <is>
          <t>DIVIDENDO</t>
        </is>
      </c>
      <c r="D99" s="191" t="n">
        <v>0.2265</v>
      </c>
      <c r="E99" s="185" t="n">
        <v>78</v>
      </c>
      <c r="F99" s="92">
        <f>D99*E99</f>
        <v/>
      </c>
    </row>
    <row r="100">
      <c r="A100" s="187" t="n">
        <v>45792</v>
      </c>
      <c r="B100" s="188" t="inlineStr">
        <is>
          <t>SNAG11</t>
        </is>
      </c>
      <c r="C100" s="188" t="inlineStr">
        <is>
          <t>RENDIMENTO</t>
        </is>
      </c>
      <c r="D100" s="192" t="n">
        <v>0.11</v>
      </c>
      <c r="E100" s="189" t="n">
        <v>162</v>
      </c>
      <c r="F100" s="102">
        <f>D100*E100</f>
        <v/>
      </c>
    </row>
    <row r="101">
      <c r="A101" s="183" t="n">
        <v>45799</v>
      </c>
      <c r="B101" s="184" t="inlineStr">
        <is>
          <t>XPML11</t>
        </is>
      </c>
      <c r="C101" s="184" t="inlineStr">
        <is>
          <t>RENDIMENTO</t>
        </is>
      </c>
      <c r="D101" s="191" t="n">
        <v>0.9198</v>
      </c>
      <c r="E101" s="185" t="n">
        <v>24</v>
      </c>
      <c r="F101" s="92">
        <f>D101*E101</f>
        <v/>
      </c>
    </row>
    <row r="102">
      <c r="A102" s="187" t="n">
        <v>45813</v>
      </c>
      <c r="B102" s="188" t="inlineStr">
        <is>
          <t>BBAS3</t>
        </is>
      </c>
      <c r="C102" s="188" t="inlineStr">
        <is>
          <t>DIVIDENDO</t>
        </is>
      </c>
      <c r="D102" s="192" t="n">
        <v>0.4247</v>
      </c>
      <c r="E102" s="189" t="n">
        <v>216</v>
      </c>
      <c r="F102" s="102">
        <f>D102*E102</f>
        <v/>
      </c>
    </row>
    <row r="103">
      <c r="A103" s="183" t="n">
        <v>45813</v>
      </c>
      <c r="B103" s="184" t="inlineStr">
        <is>
          <t>ITSA4</t>
        </is>
      </c>
      <c r="C103" s="184" t="inlineStr">
        <is>
          <t>DIVIDENDO</t>
        </is>
      </c>
      <c r="D103" s="191" t="n">
        <v>0.0231</v>
      </c>
      <c r="E103" s="185" t="n">
        <v>499</v>
      </c>
      <c r="F103" s="92">
        <f>D103*E103</f>
        <v/>
      </c>
    </row>
    <row r="104">
      <c r="A104" s="187" t="n">
        <v>45813</v>
      </c>
      <c r="B104" s="188" t="inlineStr">
        <is>
          <t>PETR4</t>
        </is>
      </c>
      <c r="C104" s="188" t="inlineStr">
        <is>
          <t>DIVIDENDO</t>
        </is>
      </c>
      <c r="D104" s="192" t="n">
        <v>0.9092</v>
      </c>
      <c r="E104" s="189" t="n">
        <v>175</v>
      </c>
      <c r="F104" s="102">
        <f>D104*E104</f>
        <v/>
      </c>
    </row>
    <row r="105">
      <c r="A105" s="183" t="n">
        <v>45813</v>
      </c>
      <c r="B105" s="184" t="inlineStr">
        <is>
          <t>XPLG11</t>
        </is>
      </c>
      <c r="C105" s="184" t="inlineStr">
        <is>
          <t>RENDIMENTO</t>
        </is>
      </c>
      <c r="D105" s="191" t="n">
        <v>0.82</v>
      </c>
      <c r="E105" s="185" t="n">
        <v>41</v>
      </c>
      <c r="F105" s="92">
        <f>D105*E105</f>
        <v/>
      </c>
    </row>
    <row r="106">
      <c r="A106" s="187" t="n">
        <v>45820</v>
      </c>
      <c r="B106" s="188" t="inlineStr">
        <is>
          <t>BRCR11</t>
        </is>
      </c>
      <c r="C106" s="188" t="inlineStr">
        <is>
          <t>RENDIMENTO</t>
        </is>
      </c>
      <c r="D106" s="192" t="n">
        <v>0.41</v>
      </c>
      <c r="E106" s="189" t="n">
        <v>25</v>
      </c>
      <c r="F106" s="102">
        <f>D106*E106</f>
        <v/>
      </c>
    </row>
    <row r="107">
      <c r="A107" s="183" t="n">
        <v>45820</v>
      </c>
      <c r="B107" s="184" t="inlineStr">
        <is>
          <t>CPTS11</t>
        </is>
      </c>
      <c r="C107" s="184" t="inlineStr">
        <is>
          <t>RENDIMENTO</t>
        </is>
      </c>
      <c r="D107" s="191" t="n">
        <v>0.08699999999999999</v>
      </c>
      <c r="E107" s="185" t="n">
        <v>342</v>
      </c>
      <c r="F107" s="92">
        <f>D107*E107</f>
        <v/>
      </c>
    </row>
    <row r="108">
      <c r="A108" s="187" t="n">
        <v>45827</v>
      </c>
      <c r="B108" s="188" t="inlineStr">
        <is>
          <t>SNAG11</t>
        </is>
      </c>
      <c r="C108" s="188" t="inlineStr">
        <is>
          <t>RENDIMENTO</t>
        </is>
      </c>
      <c r="D108" s="192" t="n">
        <v>0.11</v>
      </c>
      <c r="E108" s="189" t="n">
        <v>162</v>
      </c>
      <c r="F108" s="102">
        <f>D108*E108</f>
        <v/>
      </c>
    </row>
    <row r="109">
      <c r="A109" s="183" t="n">
        <v>45827</v>
      </c>
      <c r="B109" s="184" t="inlineStr">
        <is>
          <t>XPML11</t>
        </is>
      </c>
      <c r="C109" s="184" t="inlineStr">
        <is>
          <t>RENDIMENTO</t>
        </is>
      </c>
      <c r="D109" s="191" t="n">
        <v>0.9198</v>
      </c>
      <c r="E109" s="185" t="n">
        <v>24</v>
      </c>
      <c r="F109" s="92">
        <f>D109*E109</f>
        <v/>
      </c>
    </row>
    <row r="110">
      <c r="A110" s="187" t="n">
        <v>45834</v>
      </c>
      <c r="B110" s="188" t="inlineStr">
        <is>
          <t>CMIG4</t>
        </is>
      </c>
      <c r="C110" s="188" t="inlineStr">
        <is>
          <t>DIVIDENDO</t>
        </is>
      </c>
      <c r="D110" s="192" t="n">
        <v>0.2086</v>
      </c>
      <c r="E110" s="189" t="n">
        <v>536</v>
      </c>
      <c r="F110" s="102">
        <f>D110*E110</f>
        <v/>
      </c>
    </row>
    <row r="111">
      <c r="A111" s="183" t="n">
        <v>45834</v>
      </c>
      <c r="B111" s="184" t="inlineStr">
        <is>
          <t>ITSA4</t>
        </is>
      </c>
      <c r="C111" s="184" t="inlineStr">
        <is>
          <t>DIVIDENDO</t>
        </is>
      </c>
      <c r="D111" s="191" t="n">
        <v>0.0579</v>
      </c>
      <c r="E111" s="185" t="n">
        <v>499</v>
      </c>
      <c r="F111" s="92">
        <f>D111*E111</f>
        <v/>
      </c>
    </row>
    <row r="112">
      <c r="A112" s="187" t="n">
        <v>45841</v>
      </c>
      <c r="B112" s="188" t="inlineStr">
        <is>
          <t>BBDC4</t>
        </is>
      </c>
      <c r="C112" s="188" t="inlineStr">
        <is>
          <t>DIVIDENDO</t>
        </is>
      </c>
      <c r="D112" s="192" t="n">
        <v>0.3156</v>
      </c>
      <c r="E112" s="189" t="n">
        <v>93</v>
      </c>
      <c r="F112" s="102">
        <f>D112*E112</f>
        <v/>
      </c>
    </row>
    <row r="113">
      <c r="A113" s="183" t="n">
        <v>45841</v>
      </c>
      <c r="B113" s="184" t="inlineStr">
        <is>
          <t>XPLG11</t>
        </is>
      </c>
      <c r="C113" s="184" t="inlineStr">
        <is>
          <t>RENDIMENTO</t>
        </is>
      </c>
      <c r="D113" s="191" t="n">
        <v>0.82</v>
      </c>
      <c r="E113" s="185" t="n">
        <v>41</v>
      </c>
      <c r="F113" s="92">
        <f>D113*E113</f>
        <v/>
      </c>
    </row>
    <row r="114">
      <c r="A114" s="187" t="n">
        <v>45848</v>
      </c>
      <c r="B114" s="188" t="inlineStr">
        <is>
          <t>BRCR11</t>
        </is>
      </c>
      <c r="C114" s="188" t="inlineStr">
        <is>
          <t>RENDIMENTO</t>
        </is>
      </c>
      <c r="D114" s="192" t="n">
        <v>0.41</v>
      </c>
      <c r="E114" s="189" t="n">
        <v>25</v>
      </c>
      <c r="F114" s="102">
        <f>D114*E114</f>
        <v/>
      </c>
    </row>
    <row r="115">
      <c r="A115" s="183" t="n">
        <v>45848</v>
      </c>
      <c r="B115" s="184" t="inlineStr">
        <is>
          <t>CPTS11</t>
        </is>
      </c>
      <c r="C115" s="184" t="inlineStr">
        <is>
          <t>RENDIMENTO</t>
        </is>
      </c>
      <c r="D115" s="191" t="n">
        <v>0.08799999999999999</v>
      </c>
      <c r="E115" s="185" t="n">
        <v>342</v>
      </c>
      <c r="F115" s="92">
        <f>D115*E115</f>
        <v/>
      </c>
    </row>
    <row r="116">
      <c r="A116" s="187" t="n">
        <v>45855</v>
      </c>
      <c r="B116" s="188" t="inlineStr">
        <is>
          <t>SNAG11</t>
        </is>
      </c>
      <c r="C116" s="188" t="inlineStr">
        <is>
          <t>RENDIMENTO</t>
        </is>
      </c>
      <c r="D116" s="192" t="n">
        <v>0.11</v>
      </c>
      <c r="E116" s="189" t="n">
        <v>162</v>
      </c>
      <c r="F116" s="102">
        <f>D116*E116</f>
        <v/>
      </c>
    </row>
    <row r="117">
      <c r="A117" s="183" t="n">
        <v>45862</v>
      </c>
      <c r="B117" s="184" t="inlineStr">
        <is>
          <t>XPML11</t>
        </is>
      </c>
      <c r="C117" s="184" t="inlineStr">
        <is>
          <t>RENDIMENTO</t>
        </is>
      </c>
      <c r="D117" s="191" t="n">
        <v>0.9198</v>
      </c>
      <c r="E117" s="185" t="n">
        <v>24</v>
      </c>
      <c r="F117" s="92">
        <f>D117*E117</f>
        <v/>
      </c>
    </row>
    <row r="118">
      <c r="A118" s="187" t="n">
        <v>45869</v>
      </c>
      <c r="B118" s="188" t="inlineStr">
        <is>
          <t>XPLG11</t>
        </is>
      </c>
      <c r="C118" s="188" t="inlineStr">
        <is>
          <t>RENDIMENTO</t>
        </is>
      </c>
      <c r="D118" s="192" t="n">
        <v>0.82</v>
      </c>
      <c r="E118" s="189" t="n">
        <v>55</v>
      </c>
      <c r="F118" s="102">
        <f>D118*E118</f>
        <v/>
      </c>
    </row>
    <row r="119">
      <c r="A119" s="183" t="n">
        <v>45876</v>
      </c>
      <c r="B119" s="184" t="inlineStr">
        <is>
          <t>BBDC4</t>
        </is>
      </c>
      <c r="C119" s="184" t="inlineStr">
        <is>
          <t>DIVIDENDO</t>
        </is>
      </c>
      <c r="D119" s="191" t="n">
        <v>0.0189</v>
      </c>
      <c r="E119" s="185" t="n">
        <v>93</v>
      </c>
      <c r="F119" s="92">
        <f>D119*E119</f>
        <v/>
      </c>
    </row>
    <row r="120">
      <c r="A120" s="187" t="n">
        <v>45876</v>
      </c>
      <c r="B120" s="188" t="inlineStr">
        <is>
          <t>BRCR11</t>
        </is>
      </c>
      <c r="C120" s="188" t="inlineStr">
        <is>
          <t>RENDIMENTO</t>
        </is>
      </c>
      <c r="D120" s="192" t="n">
        <v>0.41</v>
      </c>
      <c r="E120" s="189" t="n">
        <v>25</v>
      </c>
      <c r="F120" s="102">
        <f>D120*E120</f>
        <v/>
      </c>
    </row>
    <row r="121">
      <c r="A121" s="183" t="n">
        <v>45883</v>
      </c>
      <c r="B121" s="184" t="inlineStr">
        <is>
          <t>BRBI11</t>
        </is>
      </c>
      <c r="C121" s="184" t="inlineStr">
        <is>
          <t>JCP</t>
        </is>
      </c>
      <c r="D121" s="191" t="n">
        <v>0.36</v>
      </c>
      <c r="E121" s="185" t="n">
        <v>196</v>
      </c>
      <c r="F121" s="92">
        <f>D121*E121</f>
        <v/>
      </c>
    </row>
    <row r="122">
      <c r="A122" s="187" t="n">
        <v>45883</v>
      </c>
      <c r="B122" s="188" t="inlineStr">
        <is>
          <t>CPTS11</t>
        </is>
      </c>
      <c r="C122" s="188" t="inlineStr">
        <is>
          <t>RENDIMENTO</t>
        </is>
      </c>
      <c r="D122" s="192" t="n">
        <v>0.08599999999999999</v>
      </c>
      <c r="E122" s="189" t="n">
        <v>342</v>
      </c>
      <c r="F122" s="102">
        <f>D122*E122</f>
        <v/>
      </c>
    </row>
    <row r="123">
      <c r="A123" s="183" t="n">
        <v>45883</v>
      </c>
      <c r="B123" s="184" t="inlineStr">
        <is>
          <t>FIQE3</t>
        </is>
      </c>
      <c r="C123" s="184" t="inlineStr">
        <is>
          <t>DIVIDENDO</t>
        </is>
      </c>
      <c r="D123" s="191" t="n">
        <v>0.1542</v>
      </c>
      <c r="E123" s="185" t="n">
        <v>1781</v>
      </c>
      <c r="F123" s="92">
        <f>D123*E123</f>
        <v/>
      </c>
    </row>
    <row r="124">
      <c r="A124" s="187" t="n">
        <v>45883</v>
      </c>
      <c r="B124" s="188" t="inlineStr">
        <is>
          <t>KLBN11</t>
        </is>
      </c>
      <c r="C124" s="188" t="inlineStr">
        <is>
          <t>JCP</t>
        </is>
      </c>
      <c r="D124" s="192" t="n">
        <v>0.2485</v>
      </c>
      <c r="E124" s="189" t="n">
        <v>78</v>
      </c>
      <c r="F124" s="102">
        <f>D124*E124</f>
        <v/>
      </c>
    </row>
    <row r="125">
      <c r="A125" s="183" t="n">
        <v>45883</v>
      </c>
      <c r="B125" s="184" t="inlineStr">
        <is>
          <t>VALE3</t>
        </is>
      </c>
      <c r="C125" s="184" t="inlineStr">
        <is>
          <t>DIVIDENDO</t>
        </is>
      </c>
      <c r="D125" s="191" t="n">
        <v>1.8954</v>
      </c>
      <c r="E125" s="185" t="n">
        <v>106</v>
      </c>
      <c r="F125" s="92">
        <f>D125*E125</f>
        <v/>
      </c>
    </row>
    <row r="126">
      <c r="A126" s="187" t="n">
        <v>45890</v>
      </c>
      <c r="B126" s="188" t="inlineStr">
        <is>
          <t>ITSA4</t>
        </is>
      </c>
      <c r="C126" s="188" t="inlineStr">
        <is>
          <t>DIVIDENDO</t>
        </is>
      </c>
      <c r="D126" s="192" t="n">
        <v>0.1823</v>
      </c>
      <c r="E126" s="189" t="n">
        <v>499</v>
      </c>
      <c r="F126" s="102">
        <f>D126*E126</f>
        <v/>
      </c>
    </row>
    <row r="127">
      <c r="A127" s="183" t="n">
        <v>45890</v>
      </c>
      <c r="B127" s="184" t="inlineStr">
        <is>
          <t>PETR4</t>
        </is>
      </c>
      <c r="C127" s="184" t="inlineStr">
        <is>
          <t>JCP</t>
        </is>
      </c>
      <c r="D127" s="191" t="n">
        <v>0.6719000000000001</v>
      </c>
      <c r="E127" s="185" t="n">
        <v>165</v>
      </c>
      <c r="F127" s="92">
        <f>D127*E127</f>
        <v/>
      </c>
    </row>
    <row r="128">
      <c r="A128" s="187" t="n">
        <v>45890</v>
      </c>
      <c r="B128" s="188" t="inlineStr">
        <is>
          <t>SNAG11</t>
        </is>
      </c>
      <c r="C128" s="188" t="inlineStr">
        <is>
          <t>RENDIMENTO</t>
        </is>
      </c>
      <c r="D128" s="192" t="n">
        <v>0.11</v>
      </c>
      <c r="E128" s="189" t="n">
        <v>162</v>
      </c>
      <c r="F128" s="102">
        <f>D128*E128</f>
        <v/>
      </c>
    </row>
    <row r="129">
      <c r="A129" s="183" t="n">
        <v>45890</v>
      </c>
      <c r="B129" s="184" t="inlineStr">
        <is>
          <t>XPML11</t>
        </is>
      </c>
      <c r="C129" s="184" t="inlineStr">
        <is>
          <t>RENDIMENTO</t>
        </is>
      </c>
      <c r="D129" s="191" t="n">
        <v>0.9198</v>
      </c>
      <c r="E129" s="185" t="n">
        <v>38</v>
      </c>
      <c r="F129" s="92">
        <f>D129*E129</f>
        <v/>
      </c>
    </row>
    <row r="130">
      <c r="A130" s="187" t="n">
        <v>45904</v>
      </c>
      <c r="B130" s="188" t="inlineStr">
        <is>
          <t>BBDC4</t>
        </is>
      </c>
      <c r="C130" s="188" t="inlineStr">
        <is>
          <t>DIVIDENDO</t>
        </is>
      </c>
      <c r="D130" s="192" t="n">
        <v>0.0189</v>
      </c>
      <c r="E130" s="189" t="n">
        <v>93</v>
      </c>
      <c r="F130" s="102">
        <f>D130*E130</f>
        <v/>
      </c>
    </row>
    <row r="131">
      <c r="A131" s="183" t="n">
        <v>45904</v>
      </c>
      <c r="B131" s="184" t="inlineStr">
        <is>
          <t>ITSA4</t>
        </is>
      </c>
      <c r="C131" s="184" t="inlineStr">
        <is>
          <t>DIVIDENDO</t>
        </is>
      </c>
      <c r="D131" s="191" t="n">
        <v>0.0231</v>
      </c>
      <c r="E131" s="185" t="n">
        <v>499</v>
      </c>
      <c r="F131" s="92">
        <f>D131*E131</f>
        <v/>
      </c>
    </row>
    <row r="132">
      <c r="A132" s="187" t="n">
        <v>45904</v>
      </c>
      <c r="B132" s="188" t="inlineStr">
        <is>
          <t>XPLG11</t>
        </is>
      </c>
      <c r="C132" s="188" t="inlineStr">
        <is>
          <t>RENDIMENTO</t>
        </is>
      </c>
      <c r="D132" s="192" t="n">
        <v>0.82</v>
      </c>
      <c r="E132" s="189" t="n">
        <v>55</v>
      </c>
      <c r="F132" s="102">
        <f>D132*E132</f>
        <v/>
      </c>
    </row>
    <row r="133">
      <c r="A133" s="183" t="n">
        <v>45911</v>
      </c>
      <c r="B133" s="184" t="inlineStr">
        <is>
          <t>BRCR11</t>
        </is>
      </c>
      <c r="C133" s="184" t="inlineStr">
        <is>
          <t>RENDIMENTO</t>
        </is>
      </c>
      <c r="D133" s="191" t="n">
        <v>0.41</v>
      </c>
      <c r="E133" s="185" t="n">
        <v>25</v>
      </c>
      <c r="F133" s="92">
        <f>D133*E133</f>
        <v/>
      </c>
    </row>
    <row r="134">
      <c r="A134" s="187" t="n">
        <v>45911</v>
      </c>
      <c r="B134" s="188" t="inlineStr">
        <is>
          <t>CPTS11</t>
        </is>
      </c>
      <c r="C134" s="188" t="inlineStr">
        <is>
          <t>RENDIMENTO</t>
        </is>
      </c>
      <c r="D134" s="192" t="n">
        <v>0.08500000000000001</v>
      </c>
      <c r="E134" s="189" t="n">
        <v>342</v>
      </c>
      <c r="F134" s="102">
        <f>D134*E134</f>
        <v/>
      </c>
    </row>
    <row r="135">
      <c r="A135" s="183" t="n">
        <v>45918</v>
      </c>
      <c r="B135" s="184" t="inlineStr">
        <is>
          <t>SNAG11</t>
        </is>
      </c>
      <c r="C135" s="184" t="inlineStr">
        <is>
          <t>RENDIMENTO</t>
        </is>
      </c>
      <c r="D135" s="191" t="n">
        <v>0.12</v>
      </c>
      <c r="E135" s="185" t="n">
        <v>162</v>
      </c>
      <c r="F135" s="92">
        <f>D135*E135</f>
        <v/>
      </c>
    </row>
    <row r="136">
      <c r="A136" s="187" t="n">
        <v>45918</v>
      </c>
      <c r="B136" s="188" t="inlineStr">
        <is>
          <t>XPML11</t>
        </is>
      </c>
      <c r="C136" s="188" t="inlineStr">
        <is>
          <t>RENDIMENTO</t>
        </is>
      </c>
      <c r="D136" s="192" t="n">
        <v>0.9198</v>
      </c>
      <c r="E136" s="189" t="n">
        <v>38</v>
      </c>
      <c r="F136" s="102">
        <f>D136*E136</f>
        <v/>
      </c>
    </row>
    <row r="137">
      <c r="A137" s="183" t="n">
        <v>45932</v>
      </c>
      <c r="B137" s="184" t="inlineStr">
        <is>
          <t>BBDC4</t>
        </is>
      </c>
      <c r="C137" s="184" t="inlineStr">
        <is>
          <t>JCP</t>
        </is>
      </c>
      <c r="D137" s="191" t="n">
        <v>0.3156</v>
      </c>
      <c r="E137" s="185" t="n">
        <v>93</v>
      </c>
      <c r="F137" s="92">
        <f>D137*E137</f>
        <v/>
      </c>
    </row>
    <row r="138">
      <c r="A138" s="187" t="n">
        <v>45932</v>
      </c>
      <c r="B138" s="188" t="inlineStr">
        <is>
          <t>CMIG4</t>
        </is>
      </c>
      <c r="C138" s="188" t="inlineStr">
        <is>
          <t>DIVIDENDO</t>
        </is>
      </c>
      <c r="D138" s="192" t="n">
        <v>0.2114</v>
      </c>
      <c r="E138" s="189" t="n">
        <v>670</v>
      </c>
      <c r="F138" s="102">
        <f>D138*E138</f>
        <v/>
      </c>
    </row>
    <row r="139">
      <c r="A139" s="183" t="n">
        <v>45932</v>
      </c>
      <c r="B139" s="184" t="inlineStr">
        <is>
          <t>XPLG11</t>
        </is>
      </c>
      <c r="C139" s="184" t="inlineStr">
        <is>
          <t>RENDIMENTO</t>
        </is>
      </c>
      <c r="D139" s="191" t="n">
        <v>0.82</v>
      </c>
      <c r="E139" s="185" t="n">
        <v>70</v>
      </c>
      <c r="F139" s="92">
        <f>D139*E139</f>
        <v/>
      </c>
    </row>
    <row r="140">
      <c r="A140" s="187" t="n">
        <v>45939</v>
      </c>
      <c r="B140" s="188" t="inlineStr">
        <is>
          <t>BRCR11</t>
        </is>
      </c>
      <c r="C140" s="188" t="inlineStr">
        <is>
          <t>RENDIMENTO</t>
        </is>
      </c>
      <c r="D140" s="192" t="n">
        <v>0.41</v>
      </c>
      <c r="E140" s="189" t="n">
        <v>25</v>
      </c>
      <c r="F140" s="102">
        <f>D140*E140</f>
        <v/>
      </c>
    </row>
    <row r="141">
      <c r="A141" s="183" t="n">
        <v>45946</v>
      </c>
      <c r="B141" s="184" t="inlineStr">
        <is>
          <t>CPTS11</t>
        </is>
      </c>
      <c r="C141" s="184" t="inlineStr">
        <is>
          <t>RENDIMENTO</t>
        </is>
      </c>
      <c r="D141" s="191" t="n">
        <v>0.09</v>
      </c>
      <c r="E141" s="185" t="n">
        <v>342</v>
      </c>
      <c r="F141" s="92">
        <f>D141*E141</f>
        <v/>
      </c>
    </row>
    <row r="142">
      <c r="A142" s="187" t="n">
        <v>45946</v>
      </c>
      <c r="B142" s="188" t="inlineStr">
        <is>
          <t>SNAG11</t>
        </is>
      </c>
      <c r="C142" s="188" t="inlineStr">
        <is>
          <t>RENDIMENTO</t>
        </is>
      </c>
      <c r="D142" s="192" t="n">
        <v>0.12</v>
      </c>
      <c r="E142" s="189" t="n">
        <v>162</v>
      </c>
      <c r="F142" s="102">
        <f>D142*E142</f>
        <v/>
      </c>
    </row>
    <row r="143">
      <c r="A143" s="183" t="n">
        <v>45953</v>
      </c>
      <c r="B143" s="184" t="inlineStr">
        <is>
          <t>XPML11</t>
        </is>
      </c>
      <c r="C143" s="184" t="inlineStr">
        <is>
          <t>RENDIMENTO</t>
        </is>
      </c>
      <c r="D143" s="191" t="n">
        <v>0.9198</v>
      </c>
      <c r="E143" s="185" t="n">
        <v>38</v>
      </c>
      <c r="F143" s="92">
        <f>D143*E143</f>
        <v/>
      </c>
    </row>
    <row r="144">
      <c r="A144" s="187" t="n">
        <v>45967</v>
      </c>
      <c r="B144" s="188" t="inlineStr">
        <is>
          <t>BBDC4</t>
        </is>
      </c>
      <c r="C144" s="188" t="inlineStr">
        <is>
          <t>DIVIDENDO</t>
        </is>
      </c>
      <c r="D144" s="192" t="n">
        <v>0.0189</v>
      </c>
      <c r="E144" s="189" t="n">
        <v>93</v>
      </c>
      <c r="F144" s="102">
        <f>D144*E144</f>
        <v/>
      </c>
    </row>
    <row r="145">
      <c r="A145" s="183" t="n">
        <v>45967</v>
      </c>
      <c r="B145" s="184" t="inlineStr">
        <is>
          <t>MXRF11</t>
        </is>
      </c>
      <c r="C145" s="184" t="inlineStr">
        <is>
          <t>RENDIMENTO</t>
        </is>
      </c>
      <c r="D145" s="191" t="n">
        <v>0.0999</v>
      </c>
      <c r="E145" s="185" t="n">
        <v>157</v>
      </c>
      <c r="F145" s="92">
        <f>D145*E145</f>
        <v/>
      </c>
    </row>
    <row r="146">
      <c r="A146" s="187" t="n">
        <v>45967</v>
      </c>
      <c r="B146" s="188" t="inlineStr">
        <is>
          <t>XPLG11</t>
        </is>
      </c>
      <c r="C146" s="188" t="inlineStr">
        <is>
          <t>RENDIMENTO</t>
        </is>
      </c>
      <c r="D146" s="192" t="n">
        <v>0.82</v>
      </c>
      <c r="E146" s="189" t="n">
        <v>70</v>
      </c>
      <c r="F146" s="102">
        <f>D146*E146</f>
        <v/>
      </c>
    </row>
    <row r="147">
      <c r="A147" s="183" t="n">
        <v>45974</v>
      </c>
      <c r="B147" s="184" t="inlineStr">
        <is>
          <t>BRCR11</t>
        </is>
      </c>
      <c r="C147" s="184" t="inlineStr">
        <is>
          <t>RENDIMENTO</t>
        </is>
      </c>
      <c r="D147" s="191" t="n">
        <v>0.41</v>
      </c>
      <c r="E147" s="185" t="n">
        <v>25</v>
      </c>
      <c r="F147" s="92">
        <f>D147*E147</f>
        <v/>
      </c>
    </row>
    <row r="148">
      <c r="A148" s="187" t="n">
        <v>45974</v>
      </c>
      <c r="B148" s="188" t="inlineStr">
        <is>
          <t>CPTS11</t>
        </is>
      </c>
      <c r="C148" s="188" t="inlineStr">
        <is>
          <t>RENDIMENTO</t>
        </is>
      </c>
      <c r="D148" s="192" t="n">
        <v>0.09</v>
      </c>
      <c r="E148" s="189" t="n">
        <v>342</v>
      </c>
      <c r="F148" s="102">
        <f>D148*E148</f>
        <v/>
      </c>
    </row>
    <row r="149">
      <c r="A149" s="183" t="n">
        <v>45974</v>
      </c>
      <c r="B149" s="184" t="inlineStr">
        <is>
          <t>KLBN11</t>
        </is>
      </c>
      <c r="C149" s="184" t="inlineStr">
        <is>
          <t>DIVIDENDO</t>
        </is>
      </c>
      <c r="D149" s="191" t="n">
        <v>0.2582</v>
      </c>
      <c r="E149" s="185" t="n">
        <v>165</v>
      </c>
      <c r="F149" s="92">
        <f>D149*E149</f>
        <v/>
      </c>
    </row>
    <row r="150">
      <c r="A150" s="187" t="n">
        <v>45981</v>
      </c>
      <c r="B150" s="188" t="inlineStr">
        <is>
          <t>BRBI11</t>
        </is>
      </c>
      <c r="C150" s="188" t="inlineStr">
        <is>
          <t>DIVIDENDO</t>
        </is>
      </c>
      <c r="D150" s="192" t="n">
        <v>1.02</v>
      </c>
      <c r="E150" s="189" t="n">
        <v>196</v>
      </c>
      <c r="F150" s="102">
        <f>D150*E150</f>
        <v/>
      </c>
    </row>
    <row r="151">
      <c r="A151" s="183" t="n">
        <v>45981</v>
      </c>
      <c r="B151" s="184" t="inlineStr">
        <is>
          <t>SNAG11</t>
        </is>
      </c>
      <c r="C151" s="184" t="inlineStr">
        <is>
          <t>RENDIMENTO</t>
        </is>
      </c>
      <c r="D151" s="191" t="n">
        <v>0.13</v>
      </c>
      <c r="E151" s="185" t="n">
        <v>162</v>
      </c>
      <c r="F151" s="92">
        <f>D151*E151</f>
        <v/>
      </c>
    </row>
    <row r="152">
      <c r="A152" s="187" t="n">
        <v>45981</v>
      </c>
      <c r="B152" s="188" t="inlineStr">
        <is>
          <t>XPML11</t>
        </is>
      </c>
      <c r="C152" s="188" t="inlineStr">
        <is>
          <t>RENDIMENTO</t>
        </is>
      </c>
      <c r="D152" s="192" t="n">
        <v>0.9198</v>
      </c>
      <c r="E152" s="189" t="n">
        <v>38</v>
      </c>
      <c r="F152" s="102">
        <f>D152*E152</f>
        <v/>
      </c>
    </row>
    <row r="153">
      <c r="A153" s="183" t="n">
        <v>45995</v>
      </c>
      <c r="B153" s="184" t="inlineStr">
        <is>
          <t>BBAS3</t>
        </is>
      </c>
      <c r="C153" s="184" t="inlineStr">
        <is>
          <t>JCP</t>
        </is>
      </c>
      <c r="D153" s="191" t="n">
        <v>0.1178</v>
      </c>
      <c r="E153" s="185" t="n">
        <v>295</v>
      </c>
      <c r="F153" s="92">
        <f>D153*E153</f>
        <v/>
      </c>
    </row>
    <row r="154">
      <c r="A154" s="187" t="n">
        <v>45995</v>
      </c>
      <c r="B154" s="188" t="inlineStr">
        <is>
          <t>BBDC4</t>
        </is>
      </c>
      <c r="C154" s="188" t="inlineStr">
        <is>
          <t>JCP</t>
        </is>
      </c>
      <c r="D154" s="192" t="n">
        <v>0.0189</v>
      </c>
      <c r="E154" s="189" t="n">
        <v>93</v>
      </c>
      <c r="F154" s="102">
        <f>D154*E154</f>
        <v/>
      </c>
    </row>
    <row r="155">
      <c r="A155" s="183" t="n">
        <v>45995</v>
      </c>
      <c r="B155" s="184" t="inlineStr">
        <is>
          <t>ITSA4</t>
        </is>
      </c>
      <c r="C155" s="184" t="inlineStr">
        <is>
          <t>DIVIDENDO</t>
        </is>
      </c>
      <c r="D155" s="191" t="n">
        <v>0.0231</v>
      </c>
      <c r="E155" s="185" t="n">
        <v>499</v>
      </c>
      <c r="F155" s="92">
        <f>D155*E155</f>
        <v/>
      </c>
    </row>
    <row r="156">
      <c r="A156" s="187" t="n">
        <v>45995</v>
      </c>
      <c r="B156" s="188" t="inlineStr">
        <is>
          <t>MXRF11</t>
        </is>
      </c>
      <c r="C156" s="188" t="inlineStr">
        <is>
          <t>RENDIMENTO</t>
        </is>
      </c>
      <c r="D156" s="192" t="n">
        <v>0.0999</v>
      </c>
      <c r="E156" s="189" t="n">
        <v>157</v>
      </c>
      <c r="F156" s="102">
        <f>D156*E156</f>
        <v/>
      </c>
    </row>
    <row r="157">
      <c r="A157" s="183" t="n">
        <v>45995</v>
      </c>
      <c r="B157" s="184" t="inlineStr">
        <is>
          <t>XPLG11</t>
        </is>
      </c>
      <c r="C157" s="184" t="inlineStr">
        <is>
          <t>RENDIMENTO</t>
        </is>
      </c>
      <c r="D157" s="191" t="n">
        <v>0.82</v>
      </c>
      <c r="E157" s="185" t="n">
        <v>70</v>
      </c>
      <c r="F157" s="92">
        <f>D157*E157</f>
        <v/>
      </c>
    </row>
    <row r="158">
      <c r="A158" s="187" t="n">
        <v>46002</v>
      </c>
      <c r="B158" s="188" t="inlineStr">
        <is>
          <t>BRCR11</t>
        </is>
      </c>
      <c r="C158" s="188" t="inlineStr">
        <is>
          <t>RENDIMENTO</t>
        </is>
      </c>
      <c r="D158" s="192" t="n">
        <v>0.41</v>
      </c>
      <c r="E158" s="189" t="n">
        <v>25</v>
      </c>
      <c r="F158" s="102">
        <f>D158*E158</f>
        <v/>
      </c>
    </row>
    <row r="159">
      <c r="A159" s="183" t="n">
        <v>46002</v>
      </c>
      <c r="B159" s="184" t="inlineStr">
        <is>
          <t>CPTS11</t>
        </is>
      </c>
      <c r="C159" s="184" t="inlineStr">
        <is>
          <t>RENDIMENTO</t>
        </is>
      </c>
      <c r="D159" s="191" t="n">
        <v>0.09</v>
      </c>
      <c r="E159" s="185" t="n">
        <v>342</v>
      </c>
      <c r="F159" s="92">
        <f>D159*E159</f>
        <v/>
      </c>
    </row>
    <row r="160">
      <c r="A160" s="187" t="n">
        <v>46002</v>
      </c>
      <c r="B160" s="188" t="inlineStr">
        <is>
          <t>FIQE3</t>
        </is>
      </c>
      <c r="C160" s="188" t="inlineStr">
        <is>
          <t>JCP</t>
        </is>
      </c>
      <c r="D160" s="192" t="n">
        <v>0.0385</v>
      </c>
      <c r="E160" s="189" t="n">
        <v>1781</v>
      </c>
      <c r="F160" s="102">
        <f>D160*E160</f>
        <v/>
      </c>
    </row>
    <row r="161">
      <c r="A161" s="183" t="n">
        <v>46002</v>
      </c>
      <c r="B161" s="184" t="inlineStr">
        <is>
          <t>ITSA4</t>
        </is>
      </c>
      <c r="C161" s="184" t="inlineStr">
        <is>
          <t>DIVIDENDO</t>
        </is>
      </c>
      <c r="D161" s="191" t="n">
        <v>0.778</v>
      </c>
      <c r="E161" s="185" t="n">
        <v>499</v>
      </c>
      <c r="F161" s="92">
        <f>D161*E161</f>
        <v/>
      </c>
    </row>
    <row r="162">
      <c r="A162" s="187" t="n">
        <v>46002</v>
      </c>
      <c r="B162" s="188" t="inlineStr">
        <is>
          <t>VALE3</t>
        </is>
      </c>
      <c r="C162" s="188" t="inlineStr">
        <is>
          <t>DIVIDENDO</t>
        </is>
      </c>
      <c r="D162" s="192" t="n">
        <v>3.5818</v>
      </c>
      <c r="E162" s="189" t="n">
        <v>129</v>
      </c>
      <c r="F162" s="102">
        <f>D162*E162</f>
        <v/>
      </c>
    </row>
    <row r="163">
      <c r="A163" s="183" t="n">
        <v>46009</v>
      </c>
      <c r="B163" s="184" t="inlineStr">
        <is>
          <t>KLBN11</t>
        </is>
      </c>
      <c r="C163" s="184" t="inlineStr">
        <is>
          <t>DIVIDENDO</t>
        </is>
      </c>
      <c r="D163" s="191" t="n">
        <v>0.9029</v>
      </c>
      <c r="E163" s="185" t="n">
        <v>165</v>
      </c>
      <c r="F163" s="92">
        <f>D163*E163</f>
        <v/>
      </c>
    </row>
    <row r="164">
      <c r="A164" s="187" t="n">
        <v>46009</v>
      </c>
      <c r="B164" s="188" t="inlineStr">
        <is>
          <t>SNAG11</t>
        </is>
      </c>
      <c r="C164" s="188" t="inlineStr">
        <is>
          <t>RENDIMENTO</t>
        </is>
      </c>
      <c r="D164" s="192" t="n">
        <v>0.13</v>
      </c>
      <c r="E164" s="189" t="n">
        <v>162</v>
      </c>
      <c r="F164" s="102">
        <f>D164*E164</f>
        <v/>
      </c>
    </row>
    <row r="165">
      <c r="A165" s="183" t="n">
        <v>46009</v>
      </c>
      <c r="B165" s="184" t="inlineStr">
        <is>
          <t>XPML11</t>
        </is>
      </c>
      <c r="C165" s="184" t="inlineStr">
        <is>
          <t>RENDIMENTO</t>
        </is>
      </c>
      <c r="D165" s="191" t="n">
        <v>0.9198</v>
      </c>
      <c r="E165" s="185" t="n">
        <v>52</v>
      </c>
      <c r="F165" s="92">
        <f>D165*E165</f>
        <v/>
      </c>
    </row>
    <row r="166">
      <c r="A166" s="187" t="n">
        <v>46016</v>
      </c>
      <c r="B166" s="188" t="inlineStr">
        <is>
          <t>CMIG4</t>
        </is>
      </c>
      <c r="C166" s="188" t="inlineStr">
        <is>
          <t>DIVIDENDO</t>
        </is>
      </c>
      <c r="D166" s="192" t="n">
        <v>0.3827</v>
      </c>
      <c r="E166" s="189" t="n">
        <v>934</v>
      </c>
      <c r="F166" s="102">
        <f>D166*E166</f>
        <v/>
      </c>
    </row>
    <row r="167">
      <c r="A167" s="183" t="n">
        <v>46016</v>
      </c>
      <c r="B167" s="184" t="inlineStr">
        <is>
          <t>PETR4</t>
        </is>
      </c>
      <c r="C167" s="184" t="inlineStr">
        <is>
          <t>JCP</t>
        </is>
      </c>
      <c r="D167" s="191" t="n">
        <v>0.9520999999999999</v>
      </c>
      <c r="E167" s="185" t="n">
        <v>165</v>
      </c>
      <c r="F167" s="92">
        <f>D167*E167</f>
        <v/>
      </c>
    </row>
    <row r="168">
      <c r="A168" s="187" t="n">
        <v>46023</v>
      </c>
      <c r="B168" s="188" t="inlineStr">
        <is>
          <t>BBDC4</t>
        </is>
      </c>
      <c r="C168" s="188" t="inlineStr">
        <is>
          <t>DIVIDENDO</t>
        </is>
      </c>
      <c r="D168" s="192" t="n">
        <v>0.3856</v>
      </c>
      <c r="E168" s="189" t="n">
        <v>93</v>
      </c>
      <c r="F168" s="102">
        <f>D168*E168</f>
        <v/>
      </c>
    </row>
    <row r="169">
      <c r="A169" s="183" t="n">
        <v>46023</v>
      </c>
      <c r="B169" s="184" t="inlineStr">
        <is>
          <t>FIQE3</t>
        </is>
      </c>
      <c r="C169" s="184" t="inlineStr">
        <is>
          <t>DIVIDENDO</t>
        </is>
      </c>
      <c r="D169" s="191" t="n">
        <v>0.5664</v>
      </c>
      <c r="E169" s="185" t="n">
        <v>1781</v>
      </c>
      <c r="F169" s="92">
        <f>D169*E169</f>
        <v/>
      </c>
    </row>
    <row r="170">
      <c r="A170" s="187" t="n">
        <v>46023</v>
      </c>
      <c r="B170" s="188" t="inlineStr">
        <is>
          <t>MXRF11</t>
        </is>
      </c>
      <c r="C170" s="188" t="inlineStr">
        <is>
          <t>RENDIMENTO</t>
        </is>
      </c>
      <c r="D170" s="192" t="n">
        <v>0.0999</v>
      </c>
      <c r="E170" s="189" t="n">
        <v>157</v>
      </c>
      <c r="F170" s="102">
        <f>D170*E170</f>
        <v/>
      </c>
    </row>
    <row r="171">
      <c r="A171" s="183" t="n">
        <v>46023</v>
      </c>
      <c r="B171" s="184" t="inlineStr">
        <is>
          <t>XPLG11</t>
        </is>
      </c>
      <c r="C171" s="184" t="inlineStr">
        <is>
          <t>RENDIMENTO</t>
        </is>
      </c>
      <c r="D171" s="191" t="n">
        <v>0.82</v>
      </c>
      <c r="E171" s="185" t="n">
        <v>70</v>
      </c>
      <c r="F171" s="92">
        <f>D171*E171</f>
        <v/>
      </c>
    </row>
    <row r="172">
      <c r="A172" s="187" t="n">
        <v>46030</v>
      </c>
      <c r="B172" s="188" t="inlineStr">
        <is>
          <t>BBDC4</t>
        </is>
      </c>
      <c r="C172" s="188" t="inlineStr">
        <is>
          <t>DIVIDENDO</t>
        </is>
      </c>
      <c r="D172" s="192" t="n">
        <v>0.0189</v>
      </c>
      <c r="E172" s="189" t="n">
        <v>93</v>
      </c>
      <c r="F172" s="102">
        <f>D172*E172</f>
        <v/>
      </c>
    </row>
    <row r="173">
      <c r="A173" s="183" t="n">
        <v>46030</v>
      </c>
      <c r="B173" s="184" t="inlineStr">
        <is>
          <t>BRCR11</t>
        </is>
      </c>
      <c r="C173" s="184" t="inlineStr">
        <is>
          <t>RENDIMENTO</t>
        </is>
      </c>
      <c r="D173" s="191" t="n">
        <v>0.41</v>
      </c>
      <c r="E173" s="185" t="n">
        <v>25</v>
      </c>
      <c r="F173" s="92">
        <f>D173*E173</f>
        <v/>
      </c>
    </row>
    <row r="174">
      <c r="A174" s="187" t="n">
        <v>46037</v>
      </c>
      <c r="B174" s="188" t="inlineStr">
        <is>
          <t>CPTS11</t>
        </is>
      </c>
      <c r="C174" s="188" t="inlineStr">
        <is>
          <t>RENDIMENTO</t>
        </is>
      </c>
      <c r="D174" s="192" t="n">
        <v>0.09</v>
      </c>
      <c r="E174" s="189" t="n">
        <v>342</v>
      </c>
      <c r="F174" s="102">
        <f>D174*E174</f>
        <v/>
      </c>
    </row>
    <row r="175">
      <c r="A175" s="183" t="n">
        <v>46037</v>
      </c>
      <c r="B175" s="184" t="inlineStr">
        <is>
          <t>SNAG11</t>
        </is>
      </c>
      <c r="C175" s="184" t="inlineStr">
        <is>
          <t>RENDIMENTO</t>
        </is>
      </c>
      <c r="D175" s="191" t="n">
        <v>0.13</v>
      </c>
      <c r="E175" s="185" t="n">
        <v>162</v>
      </c>
      <c r="F175" s="92">
        <f>D175*E175</f>
        <v/>
      </c>
    </row>
    <row r="176">
      <c r="A176" s="187" t="n">
        <v>46044</v>
      </c>
      <c r="B176" s="188" t="inlineStr">
        <is>
          <t>XPML11</t>
        </is>
      </c>
      <c r="C176" s="188" t="inlineStr">
        <is>
          <t>RENDIMENTO</t>
        </is>
      </c>
      <c r="D176" s="192" t="n">
        <v>0.9198</v>
      </c>
      <c r="E176" s="189" t="n">
        <v>52</v>
      </c>
      <c r="F176" s="102">
        <f>D176*E176</f>
        <v/>
      </c>
    </row>
    <row r="177">
      <c r="A177" s="183" t="n">
        <v>46058</v>
      </c>
      <c r="B177" s="184" t="inlineStr">
        <is>
          <t>BBDC4</t>
        </is>
      </c>
      <c r="C177" s="184" t="inlineStr">
        <is>
          <t>DIVIDENDO</t>
        </is>
      </c>
      <c r="D177" s="191" t="n">
        <v>0.0189</v>
      </c>
      <c r="E177" s="185" t="n">
        <v>173</v>
      </c>
      <c r="F177" s="92">
        <f>D177*E177</f>
        <v/>
      </c>
    </row>
    <row r="178">
      <c r="A178" s="187" t="n">
        <v>46058</v>
      </c>
      <c r="B178" s="188" t="inlineStr">
        <is>
          <t>MXRF11</t>
        </is>
      </c>
      <c r="C178" s="188" t="inlineStr">
        <is>
          <t>RENDIMENTO</t>
        </is>
      </c>
      <c r="D178" s="192" t="n">
        <v>0.0999</v>
      </c>
      <c r="E178" s="189" t="n">
        <v>157</v>
      </c>
      <c r="F178" s="102">
        <f>D178*E178</f>
        <v/>
      </c>
    </row>
    <row r="179">
      <c r="A179" s="183" t="n">
        <v>46058</v>
      </c>
      <c r="B179" s="184" t="inlineStr">
        <is>
          <t>XPLG11</t>
        </is>
      </c>
      <c r="C179" s="184" t="inlineStr">
        <is>
          <t>RENDIMENTO</t>
        </is>
      </c>
      <c r="D179" s="191" t="n">
        <v>0.82</v>
      </c>
      <c r="E179" s="185" t="n">
        <v>70</v>
      </c>
      <c r="F179" s="92">
        <f>D179*E179</f>
        <v/>
      </c>
    </row>
    <row r="180">
      <c r="A180" s="187" t="n">
        <v>46065</v>
      </c>
      <c r="B180" s="188" t="inlineStr">
        <is>
          <t>BRCR11</t>
        </is>
      </c>
      <c r="C180" s="188" t="inlineStr">
        <is>
          <t>RENDIMENTO</t>
        </is>
      </c>
      <c r="D180" s="192" t="n">
        <v>0.41</v>
      </c>
      <c r="E180" s="189" t="n">
        <v>25</v>
      </c>
      <c r="F180" s="102">
        <f>D180*E180</f>
        <v/>
      </c>
    </row>
    <row r="181">
      <c r="A181" s="183" t="n">
        <v>46065</v>
      </c>
      <c r="B181" s="184" t="inlineStr">
        <is>
          <t>CPTS11</t>
        </is>
      </c>
      <c r="C181" s="184" t="inlineStr">
        <is>
          <t>RENDIMENTO</t>
        </is>
      </c>
      <c r="D181" s="191" t="n">
        <v>0.09</v>
      </c>
      <c r="E181" s="185" t="n">
        <v>342</v>
      </c>
      <c r="F181" s="92">
        <f>D181*E181</f>
        <v/>
      </c>
    </row>
    <row r="182">
      <c r="A182" s="187" t="n">
        <v>46072</v>
      </c>
      <c r="B182" s="188" t="inlineStr">
        <is>
          <t>SNAG11</t>
        </is>
      </c>
      <c r="C182" s="188" t="inlineStr">
        <is>
          <t>RENDIMENTO</t>
        </is>
      </c>
      <c r="D182" s="192" t="n">
        <v>0.2</v>
      </c>
      <c r="E182" s="189" t="n">
        <v>162</v>
      </c>
      <c r="F182" s="102">
        <f>D182*E182</f>
        <v/>
      </c>
    </row>
    <row r="183">
      <c r="A183" s="183" t="n">
        <v>46072</v>
      </c>
      <c r="B183" s="184" t="inlineStr">
        <is>
          <t>XPML11</t>
        </is>
      </c>
      <c r="C183" s="184" t="inlineStr">
        <is>
          <t>RENDIMENTO</t>
        </is>
      </c>
      <c r="D183" s="191" t="n">
        <v>0.92</v>
      </c>
      <c r="E183" s="185" t="n">
        <v>52</v>
      </c>
      <c r="F183" s="92">
        <f>D183*E183</f>
        <v/>
      </c>
    </row>
    <row r="184">
      <c r="A184" s="187" t="n">
        <v>46079</v>
      </c>
      <c r="B184" s="188" t="inlineStr">
        <is>
          <t>BBAS3</t>
        </is>
      </c>
      <c r="C184" s="188" t="inlineStr">
        <is>
          <t>DIVIDENDO</t>
        </is>
      </c>
      <c r="D184" s="192" t="n">
        <v>0.2205</v>
      </c>
      <c r="E184" s="189" t="n">
        <v>295</v>
      </c>
      <c r="F184" s="102">
        <f>D184*E184</f>
        <v/>
      </c>
    </row>
    <row r="185">
      <c r="A185" s="183" t="n">
        <v>46086</v>
      </c>
      <c r="B185" s="184" t="inlineStr">
        <is>
          <t>BBAS3</t>
        </is>
      </c>
      <c r="C185" s="184" t="inlineStr">
        <is>
          <t>DIVIDENDO</t>
        </is>
      </c>
      <c r="D185" s="191" t="n">
        <v>0.0701</v>
      </c>
      <c r="E185" s="185" t="n">
        <v>295</v>
      </c>
      <c r="F185" s="92">
        <f>D185*E185</f>
        <v/>
      </c>
    </row>
    <row r="186">
      <c r="A186" s="187" t="n">
        <v>46086</v>
      </c>
      <c r="B186" s="188" t="inlineStr">
        <is>
          <t>BBDC4</t>
        </is>
      </c>
      <c r="C186" s="188" t="inlineStr">
        <is>
          <t>DIVIDENDO</t>
        </is>
      </c>
      <c r="D186" s="192" t="n">
        <v>0.0189</v>
      </c>
      <c r="E186" s="189" t="n">
        <v>173</v>
      </c>
      <c r="F186" s="102">
        <f>D186*E186</f>
        <v/>
      </c>
    </row>
    <row r="187">
      <c r="A187" s="183" t="n">
        <v>46086</v>
      </c>
      <c r="B187" s="184" t="inlineStr">
        <is>
          <t>ITSA4</t>
        </is>
      </c>
      <c r="C187" s="184" t="inlineStr">
        <is>
          <t>DIVIDENDO</t>
        </is>
      </c>
      <c r="D187" s="191" t="n">
        <v>0.0242</v>
      </c>
      <c r="E187" s="185" t="n">
        <v>604</v>
      </c>
      <c r="F187" s="92">
        <f>D187*E187</f>
        <v/>
      </c>
    </row>
    <row r="188">
      <c r="A188" s="187" t="n">
        <v>46086</v>
      </c>
      <c r="B188" s="188" t="inlineStr">
        <is>
          <t>MXRF11</t>
        </is>
      </c>
      <c r="C188" s="188" t="inlineStr">
        <is>
          <t>RENDIMENTO</t>
        </is>
      </c>
      <c r="D188" s="192" t="n">
        <v>0.0999</v>
      </c>
      <c r="E188" s="189" t="n">
        <v>157</v>
      </c>
      <c r="F188" s="102">
        <f>D188*E188</f>
        <v/>
      </c>
    </row>
    <row r="189">
      <c r="A189" s="183" t="n">
        <v>46086</v>
      </c>
      <c r="B189" s="184" t="inlineStr">
        <is>
          <t>XPLG11</t>
        </is>
      </c>
      <c r="C189" s="184" t="inlineStr">
        <is>
          <t>RENDIMENTO</t>
        </is>
      </c>
      <c r="D189" s="191" t="n">
        <v>0.82</v>
      </c>
      <c r="E189" s="185" t="n">
        <v>70</v>
      </c>
      <c r="F189" s="92">
        <f>D189*E189</f>
        <v/>
      </c>
    </row>
    <row r="190">
      <c r="A190" s="187" t="n">
        <v>46093</v>
      </c>
      <c r="B190" s="188" t="inlineStr">
        <is>
          <t>BRCR11</t>
        </is>
      </c>
      <c r="C190" s="188" t="inlineStr">
        <is>
          <t>RENDIMENTO</t>
        </is>
      </c>
      <c r="D190" s="192" t="n">
        <v>0.41</v>
      </c>
      <c r="E190" s="189" t="n">
        <v>25</v>
      </c>
      <c r="F190" s="102">
        <f>D190*E190</f>
        <v/>
      </c>
    </row>
    <row r="191">
      <c r="A191" s="183" t="n">
        <v>46093</v>
      </c>
      <c r="B191" s="184" t="inlineStr">
        <is>
          <t>CPTS11</t>
        </is>
      </c>
      <c r="C191" s="184" t="inlineStr">
        <is>
          <t>RENDIMENTO</t>
        </is>
      </c>
      <c r="D191" s="191" t="n">
        <v>0.09</v>
      </c>
      <c r="E191" s="185" t="n">
        <v>342</v>
      </c>
      <c r="F191" s="92">
        <f>D191*E191</f>
        <v/>
      </c>
    </row>
    <row r="192">
      <c r="A192" s="187" t="n">
        <v>46100</v>
      </c>
      <c r="B192" s="188" t="inlineStr">
        <is>
          <t>ITSA4</t>
        </is>
      </c>
      <c r="C192" s="188" t="inlineStr">
        <is>
          <t>DIVIDENDO</t>
        </is>
      </c>
      <c r="D192" s="192" t="n">
        <v>0.116</v>
      </c>
      <c r="E192" s="189" t="n">
        <v>604</v>
      </c>
      <c r="F192" s="102">
        <f>D192*E192</f>
        <v/>
      </c>
    </row>
    <row r="193">
      <c r="A193" s="183" t="n">
        <v>46100</v>
      </c>
      <c r="B193" s="184" t="inlineStr">
        <is>
          <t>SNAG11</t>
        </is>
      </c>
      <c r="C193" s="184" t="inlineStr">
        <is>
          <t>RENDIMENTO</t>
        </is>
      </c>
      <c r="D193" s="191" t="n">
        <v>0.15</v>
      </c>
      <c r="E193" s="185" t="n">
        <v>162</v>
      </c>
      <c r="F193" s="92">
        <f>D193*E193</f>
        <v/>
      </c>
    </row>
    <row r="194">
      <c r="A194" s="187" t="n">
        <v>46100</v>
      </c>
      <c r="B194" s="188" t="inlineStr">
        <is>
          <t>XPML11</t>
        </is>
      </c>
      <c r="C194" s="188" t="inlineStr">
        <is>
          <t>RENDIMENTO</t>
        </is>
      </c>
      <c r="D194" s="192" t="n">
        <v>0.92</v>
      </c>
      <c r="E194" s="189" t="n">
        <v>52</v>
      </c>
      <c r="F194" s="102">
        <f>D194*E194</f>
        <v/>
      </c>
    </row>
    <row r="195">
      <c r="A195" s="183" t="n">
        <v>46107</v>
      </c>
      <c r="B195" s="184" t="inlineStr">
        <is>
          <t>CMIG4</t>
        </is>
      </c>
      <c r="C195" s="184" t="inlineStr">
        <is>
          <t>DIVIDENDO</t>
        </is>
      </c>
      <c r="D195" s="191" t="n">
        <v>0.23</v>
      </c>
      <c r="E195" s="185" t="n">
        <v>934</v>
      </c>
      <c r="F195" s="92">
        <f>D195*E195</f>
        <v/>
      </c>
    </row>
    <row r="196">
      <c r="A196" s="187" t="n">
        <v>46114</v>
      </c>
      <c r="B196" s="188" t="inlineStr">
        <is>
          <t>BBDC4</t>
        </is>
      </c>
      <c r="C196" s="188" t="inlineStr">
        <is>
          <t>DIVIDENDO</t>
        </is>
      </c>
      <c r="D196" s="192" t="n">
        <v>0.0189</v>
      </c>
      <c r="E196" s="189" t="n">
        <v>173</v>
      </c>
      <c r="F196" s="102">
        <f>D196*E196</f>
        <v/>
      </c>
    </row>
    <row r="197">
      <c r="A197" s="183" t="n">
        <v>46114</v>
      </c>
      <c r="B197" s="184" t="inlineStr">
        <is>
          <t>MXRF11</t>
        </is>
      </c>
      <c r="C197" s="184" t="inlineStr">
        <is>
          <t>RENDIMENTO</t>
        </is>
      </c>
      <c r="D197" s="191" t="n">
        <v>0.0949</v>
      </c>
      <c r="E197" s="185" t="n">
        <v>157</v>
      </c>
      <c r="F197" s="92">
        <f>D197*E197</f>
        <v/>
      </c>
    </row>
    <row r="198">
      <c r="A198" s="187" t="n">
        <v>46114</v>
      </c>
      <c r="B198" s="188" t="inlineStr">
        <is>
          <t>XPLG11</t>
        </is>
      </c>
      <c r="C198" s="188" t="inlineStr">
        <is>
          <t>RENDIMENTO</t>
        </is>
      </c>
      <c r="D198" s="192" t="n">
        <v>0.82</v>
      </c>
      <c r="E198" s="189" t="n">
        <v>70</v>
      </c>
      <c r="F198" s="102">
        <f>D198*E198</f>
        <v/>
      </c>
    </row>
    <row r="199">
      <c r="A199" s="183" t="n">
        <v>46121</v>
      </c>
      <c r="B199" s="184" t="inlineStr">
        <is>
          <t>BBDC4</t>
        </is>
      </c>
      <c r="C199" s="184" t="inlineStr">
        <is>
          <t>DIVIDENDO</t>
        </is>
      </c>
      <c r="D199" s="191" t="n">
        <v>0.2968</v>
      </c>
      <c r="E199" s="185" t="n">
        <v>173</v>
      </c>
      <c r="F199" s="92">
        <f>D199*E199</f>
        <v/>
      </c>
    </row>
    <row r="200">
      <c r="A200" s="187" t="n">
        <v>46121</v>
      </c>
      <c r="B200" s="188" t="inlineStr">
        <is>
          <t>BRCR11</t>
        </is>
      </c>
      <c r="C200" s="188" t="inlineStr">
        <is>
          <t>RENDIMENTO</t>
        </is>
      </c>
      <c r="D200" s="192" t="n">
        <v>0.41</v>
      </c>
      <c r="E200" s="189" t="n">
        <v>25</v>
      </c>
      <c r="F200" s="102">
        <f>D200*E200</f>
        <v/>
      </c>
    </row>
    <row r="201">
      <c r="A201" s="183" t="n">
        <v>46128</v>
      </c>
      <c r="B201" s="184" t="inlineStr">
        <is>
          <t>CPTS11</t>
        </is>
      </c>
      <c r="C201" s="184" t="inlineStr">
        <is>
          <t>RENDIMENTO</t>
        </is>
      </c>
      <c r="D201" s="191" t="n">
        <v>0.09</v>
      </c>
      <c r="E201" s="185" t="n">
        <v>342</v>
      </c>
      <c r="F201" s="92">
        <f>D201*E201</f>
        <v/>
      </c>
    </row>
    <row r="202">
      <c r="A202" s="187" t="n">
        <v>46128</v>
      </c>
      <c r="B202" s="188" t="inlineStr">
        <is>
          <t>SNAG11</t>
        </is>
      </c>
      <c r="C202" s="188" t="inlineStr">
        <is>
          <t>RENDIMENTO</t>
        </is>
      </c>
      <c r="D202" s="192" t="n">
        <v>0.12</v>
      </c>
      <c r="E202" s="189" t="n">
        <v>162</v>
      </c>
      <c r="F202" s="102">
        <f>D202*E202</f>
        <v/>
      </c>
    </row>
    <row r="203">
      <c r="A203" s="183" t="n">
        <v>46128</v>
      </c>
      <c r="B203" s="184" t="inlineStr">
        <is>
          <t>XPML11</t>
        </is>
      </c>
      <c r="C203" s="184" t="inlineStr">
        <is>
          <t>RENDIMENTO</t>
        </is>
      </c>
      <c r="D203" s="191" t="n">
        <v>0.92</v>
      </c>
      <c r="E203" s="185" t="n">
        <v>52</v>
      </c>
      <c r="F203" s="92">
        <f>D203*E203</f>
        <v/>
      </c>
    </row>
    <row r="204">
      <c r="A204" s="187" t="n">
        <v>46135</v>
      </c>
      <c r="B204" s="188" t="inlineStr">
        <is>
          <t>PETR4</t>
        </is>
      </c>
      <c r="C204" s="188" t="inlineStr">
        <is>
          <t>JCP</t>
        </is>
      </c>
      <c r="D204" s="192" t="n">
        <v>0.6631</v>
      </c>
      <c r="E204" s="189" t="n">
        <v>200</v>
      </c>
      <c r="F204" s="102">
        <f>D204*E204</f>
        <v/>
      </c>
    </row>
    <row r="205">
      <c r="A205" s="183" t="n">
        <v>46149</v>
      </c>
      <c r="B205" s="184" t="inlineStr">
        <is>
          <t>BBDC4</t>
        </is>
      </c>
      <c r="C205" s="184" t="inlineStr">
        <is>
          <t>DIVIDENDO</t>
        </is>
      </c>
      <c r="D205" s="191" t="n">
        <v>0.0189</v>
      </c>
      <c r="E205" s="185" t="n">
        <v>246</v>
      </c>
      <c r="F205" s="92">
        <f>D205*E205</f>
        <v/>
      </c>
    </row>
    <row r="206">
      <c r="A206" s="187" t="n">
        <v>46149</v>
      </c>
      <c r="B206" s="188" t="inlineStr">
        <is>
          <t>CMIG4</t>
        </is>
      </c>
      <c r="C206" s="188" t="inlineStr">
        <is>
          <t>DIVIDENDO</t>
        </is>
      </c>
      <c r="D206" s="192" t="n">
        <v>0.2364</v>
      </c>
      <c r="E206" s="189" t="n">
        <v>934</v>
      </c>
      <c r="F206" s="102">
        <f>D206*E206</f>
        <v/>
      </c>
    </row>
    <row r="207">
      <c r="A207" s="183" t="n">
        <v>46149</v>
      </c>
      <c r="B207" s="184" t="inlineStr">
        <is>
          <t>MXRF11</t>
        </is>
      </c>
      <c r="C207" s="184" t="inlineStr">
        <is>
          <t>RENDIMENTO</t>
        </is>
      </c>
      <c r="D207" s="191" t="n">
        <v>0.0999</v>
      </c>
      <c r="E207" s="185" t="n">
        <v>157</v>
      </c>
      <c r="F207" s="92">
        <f>D207*E207</f>
        <v/>
      </c>
    </row>
    <row r="208">
      <c r="A208" s="187" t="n">
        <v>46149</v>
      </c>
      <c r="B208" s="188" t="inlineStr">
        <is>
          <t>XPLG11</t>
        </is>
      </c>
      <c r="C208" s="188" t="inlineStr">
        <is>
          <t>RENDIMENTO</t>
        </is>
      </c>
      <c r="D208" s="192" t="n">
        <v>0.82</v>
      </c>
      <c r="E208" s="189" t="n">
        <v>84</v>
      </c>
      <c r="F208" s="102">
        <f>D208*E208</f>
        <v/>
      </c>
    </row>
    <row r="209">
      <c r="A209" s="183" t="n">
        <v>46156</v>
      </c>
      <c r="B209" s="184" t="inlineStr">
        <is>
          <t>BRCR11</t>
        </is>
      </c>
      <c r="C209" s="184" t="inlineStr">
        <is>
          <t>RENDIMENTO</t>
        </is>
      </c>
      <c r="D209" s="191" t="n">
        <v>0.41</v>
      </c>
      <c r="E209" s="185" t="n">
        <v>25</v>
      </c>
      <c r="F209" s="92">
        <f>D209*E209</f>
        <v/>
      </c>
    </row>
    <row r="210">
      <c r="A210" s="187" t="n">
        <v>46156</v>
      </c>
      <c r="B210" s="188" t="inlineStr">
        <is>
          <t>CPTS11</t>
        </is>
      </c>
      <c r="C210" s="188" t="inlineStr">
        <is>
          <t>RENDIMENTO</t>
        </is>
      </c>
      <c r="D210" s="192" t="n">
        <v>0.09</v>
      </c>
      <c r="E210" s="189" t="n">
        <v>534</v>
      </c>
      <c r="F210" s="102">
        <f>D210*E210</f>
        <v/>
      </c>
    </row>
    <row r="211">
      <c r="A211" s="183" t="n">
        <v>46163</v>
      </c>
      <c r="B211" s="184" t="inlineStr">
        <is>
          <t>BRBI11</t>
        </is>
      </c>
      <c r="C211" s="184" t="inlineStr">
        <is>
          <t>DIVIDENDO</t>
        </is>
      </c>
      <c r="D211" s="191" t="n">
        <v>0.18</v>
      </c>
      <c r="E211" s="185" t="n">
        <v>276</v>
      </c>
      <c r="F211" s="92">
        <f>D211*E211</f>
        <v/>
      </c>
    </row>
    <row r="212">
      <c r="A212" s="187" t="n">
        <v>46163</v>
      </c>
      <c r="B212" s="188" t="inlineStr">
        <is>
          <t>SNAG11</t>
        </is>
      </c>
      <c r="C212" s="188" t="inlineStr">
        <is>
          <t>RENDIMENTO</t>
        </is>
      </c>
      <c r="D212" s="192" t="n">
        <v>0.12</v>
      </c>
      <c r="E212" s="189" t="n">
        <v>162</v>
      </c>
      <c r="F212" s="102">
        <f>D212*E212</f>
        <v/>
      </c>
    </row>
    <row r="213">
      <c r="A213" s="183" t="n">
        <v>46163</v>
      </c>
      <c r="B213" s="184" t="inlineStr">
        <is>
          <t>XPML11</t>
        </is>
      </c>
      <c r="C213" s="184" t="inlineStr">
        <is>
          <t>RENDIMENTO</t>
        </is>
      </c>
      <c r="D213" s="191" t="n">
        <v>0.92</v>
      </c>
      <c r="E213" s="185" t="n">
        <v>52</v>
      </c>
      <c r="F213" s="92">
        <f>D213*E213</f>
        <v/>
      </c>
    </row>
    <row r="214">
      <c r="A214" s="187" t="n">
        <v>46177</v>
      </c>
      <c r="B214" s="188" t="inlineStr">
        <is>
          <t>BBAS3</t>
        </is>
      </c>
      <c r="C214" s="188" t="inlineStr">
        <is>
          <t>JCP</t>
        </is>
      </c>
      <c r="D214" s="192" t="n">
        <v>0.1413</v>
      </c>
      <c r="E214" s="189" t="n">
        <v>295</v>
      </c>
      <c r="F214" s="102">
        <f>D214*E214</f>
        <v/>
      </c>
    </row>
    <row r="215">
      <c r="A215" s="183" t="n">
        <v>46177</v>
      </c>
      <c r="B215" s="184" t="inlineStr">
        <is>
          <t>BBDC4</t>
        </is>
      </c>
      <c r="C215" s="184" t="inlineStr">
        <is>
          <t>DIVIDENDO</t>
        </is>
      </c>
      <c r="D215" s="191" t="n">
        <v>0.0189</v>
      </c>
      <c r="E215" s="185" t="n">
        <v>246</v>
      </c>
      <c r="F215" s="92">
        <f>D215*E215</f>
        <v/>
      </c>
    </row>
    <row r="216">
      <c r="A216" s="187" t="n">
        <v>46177</v>
      </c>
      <c r="B216" s="188" t="inlineStr">
        <is>
          <t>ITSA4</t>
        </is>
      </c>
      <c r="C216" s="188" t="inlineStr">
        <is>
          <t>DIVIDENDO</t>
        </is>
      </c>
      <c r="D216" s="192" t="n">
        <v>0.0242</v>
      </c>
      <c r="E216" s="189" t="n">
        <v>604</v>
      </c>
      <c r="F216" s="102">
        <f>D216*E216</f>
        <v/>
      </c>
    </row>
    <row r="217">
      <c r="A217" s="183" t="n">
        <v>46177</v>
      </c>
      <c r="B217" s="184" t="inlineStr">
        <is>
          <t>MXRF11</t>
        </is>
      </c>
      <c r="C217" s="184" t="inlineStr">
        <is>
          <t>RENDIMENTO</t>
        </is>
      </c>
      <c r="D217" s="191" t="n">
        <v>0.0999</v>
      </c>
      <c r="E217" s="185" t="n">
        <v>157</v>
      </c>
      <c r="F217" s="92">
        <f>D217*E217</f>
        <v/>
      </c>
    </row>
    <row r="218">
      <c r="A218" s="187" t="n">
        <v>46177</v>
      </c>
      <c r="B218" s="188" t="inlineStr">
        <is>
          <t>PETR4</t>
        </is>
      </c>
      <c r="C218" s="188" t="inlineStr">
        <is>
          <t>DIVIDENDO</t>
        </is>
      </c>
      <c r="D218" s="192" t="n">
        <v>0.701</v>
      </c>
      <c r="E218" s="189" t="n">
        <v>200</v>
      </c>
      <c r="F218" s="102">
        <f>D218*E218</f>
        <v/>
      </c>
    </row>
    <row r="219">
      <c r="A219" s="183" t="n">
        <v>46177</v>
      </c>
      <c r="B219" s="184" t="inlineStr">
        <is>
          <t>XPLG11</t>
        </is>
      </c>
      <c r="C219" s="184" t="inlineStr">
        <is>
          <t>RENDIMENTO</t>
        </is>
      </c>
      <c r="D219" s="191" t="n">
        <v>0.82</v>
      </c>
      <c r="E219" s="185" t="n">
        <v>84</v>
      </c>
      <c r="F219" s="92">
        <f>D219*E219</f>
        <v/>
      </c>
    </row>
    <row r="220">
      <c r="A220" s="187" t="n">
        <v>46184</v>
      </c>
      <c r="B220" s="188" t="inlineStr">
        <is>
          <t>BRCR11</t>
        </is>
      </c>
      <c r="C220" s="188" t="inlineStr">
        <is>
          <t>RENDIMENTO</t>
        </is>
      </c>
      <c r="D220" s="192" t="n">
        <v>0.41</v>
      </c>
      <c r="E220" s="189" t="n">
        <v>25</v>
      </c>
      <c r="F220" s="102">
        <f>D220*E220</f>
        <v/>
      </c>
    </row>
    <row r="221">
      <c r="A221" s="183" t="n">
        <v>46191</v>
      </c>
      <c r="B221" s="184" t="inlineStr">
        <is>
          <t>CPTS11</t>
        </is>
      </c>
      <c r="C221" s="184" t="inlineStr">
        <is>
          <t>RENDIMENTO</t>
        </is>
      </c>
      <c r="D221" s="191" t="n">
        <v>0.09</v>
      </c>
      <c r="E221" s="185" t="n">
        <v>534</v>
      </c>
      <c r="F221" s="92">
        <f>D221*E221</f>
        <v/>
      </c>
    </row>
    <row r="222">
      <c r="A222" s="187" t="n">
        <v>46191</v>
      </c>
      <c r="B222" s="188" t="inlineStr">
        <is>
          <t>ITSA4</t>
        </is>
      </c>
      <c r="C222" s="188" t="inlineStr">
        <is>
          <t>DIVIDENDO</t>
        </is>
      </c>
      <c r="D222" s="192" t="n">
        <v>0.138</v>
      </c>
      <c r="E222" s="189" t="n">
        <v>604</v>
      </c>
      <c r="F222" s="102">
        <f>D222*E222</f>
        <v/>
      </c>
    </row>
    <row r="223">
      <c r="A223" s="183" t="n">
        <v>46191</v>
      </c>
      <c r="B223" s="184" t="inlineStr">
        <is>
          <t>SNAG11</t>
        </is>
      </c>
      <c r="C223" s="184" t="inlineStr">
        <is>
          <t>RENDIMENTO</t>
        </is>
      </c>
      <c r="D223" s="191" t="n">
        <v>0.12</v>
      </c>
      <c r="E223" s="185" t="n">
        <v>162</v>
      </c>
      <c r="F223" s="92">
        <f>D223*E223</f>
        <v/>
      </c>
    </row>
    <row r="224">
      <c r="A224" s="187" t="n">
        <v>46191</v>
      </c>
      <c r="B224" s="188" t="inlineStr">
        <is>
          <t>XPML11</t>
        </is>
      </c>
      <c r="C224" s="188" t="inlineStr">
        <is>
          <t>RENDIMENTO</t>
        </is>
      </c>
      <c r="D224" s="192" t="n">
        <v>0.92</v>
      </c>
      <c r="E224" s="189" t="n">
        <v>52</v>
      </c>
      <c r="F224" s="102">
        <f>D224*E224</f>
        <v/>
      </c>
    </row>
    <row r="225">
      <c r="A225" s="183" t="n">
        <v>46198</v>
      </c>
      <c r="B225" s="184" t="inlineStr">
        <is>
          <t>CMIG4</t>
        </is>
      </c>
      <c r="C225" s="184" t="inlineStr">
        <is>
          <t>DIVIDENDO</t>
        </is>
      </c>
      <c r="D225" s="191" t="n">
        <v>0.2204</v>
      </c>
      <c r="E225" s="185" t="n">
        <v>934</v>
      </c>
      <c r="F225" s="92">
        <f>D225*E225</f>
        <v/>
      </c>
    </row>
    <row r="226">
      <c r="A226" s="187" t="n">
        <v>46205</v>
      </c>
      <c r="B226" s="188" t="inlineStr">
        <is>
          <t>BBDC4</t>
        </is>
      </c>
      <c r="C226" s="188" t="inlineStr">
        <is>
          <t>DIVIDENDO</t>
        </is>
      </c>
      <c r="D226" s="192" t="n">
        <v>0.0189</v>
      </c>
      <c r="E226" s="189" t="n">
        <v>246</v>
      </c>
      <c r="F226" s="102">
        <f>D226*E226</f>
        <v/>
      </c>
    </row>
    <row r="227">
      <c r="A227" s="183" t="n">
        <v>46205</v>
      </c>
      <c r="B227" s="184" t="inlineStr">
        <is>
          <t>MXRF11</t>
        </is>
      </c>
      <c r="C227" s="184" t="inlineStr">
        <is>
          <t>RENDIMENTO</t>
        </is>
      </c>
      <c r="D227" s="191" t="n">
        <v>0.1</v>
      </c>
      <c r="E227" s="185" t="n">
        <v>157</v>
      </c>
      <c r="F227" s="92">
        <f>D227*E227</f>
        <v/>
      </c>
    </row>
    <row r="228">
      <c r="A228" s="187" t="n">
        <v>46205</v>
      </c>
      <c r="B228" s="188" t="inlineStr">
        <is>
          <t>XPLG11</t>
        </is>
      </c>
      <c r="C228" s="188" t="inlineStr">
        <is>
          <t>RENDIMENTO</t>
        </is>
      </c>
      <c r="D228" s="192" t="n">
        <v>0.82</v>
      </c>
      <c r="E228" s="189" t="n">
        <v>84</v>
      </c>
      <c r="F228" s="102">
        <f>D228*E228</f>
        <v/>
      </c>
    </row>
    <row r="229">
      <c r="A229" s="183" t="n">
        <v>46212</v>
      </c>
      <c r="B229" s="184" t="inlineStr">
        <is>
          <t>BBDC4</t>
        </is>
      </c>
      <c r="C229" s="184" t="inlineStr">
        <is>
          <t>DIVIDENDO</t>
        </is>
      </c>
      <c r="D229" s="191" t="n">
        <v>0.3463</v>
      </c>
      <c r="E229" s="185" t="n">
        <v>246</v>
      </c>
      <c r="F229" s="92">
        <f>D229*E229</f>
        <v/>
      </c>
    </row>
    <row r="230">
      <c r="A230" s="187" t="n">
        <v>46212</v>
      </c>
      <c r="B230" s="188" t="inlineStr">
        <is>
          <t>BRCR11</t>
        </is>
      </c>
      <c r="C230" s="188" t="inlineStr">
        <is>
          <t>RENDIMENTO</t>
        </is>
      </c>
      <c r="D230" s="192" t="n">
        <v>0.41</v>
      </c>
      <c r="E230" s="189" t="n">
        <v>25</v>
      </c>
      <c r="F230" s="102">
        <f>D230*E230</f>
        <v/>
      </c>
    </row>
    <row r="231">
      <c r="A231" s="183" t="n">
        <v>46219</v>
      </c>
      <c r="B231" s="184" t="inlineStr">
        <is>
          <t>CPTS11</t>
        </is>
      </c>
      <c r="C231" s="184" t="inlineStr">
        <is>
          <t>RENDIMENTO</t>
        </is>
      </c>
      <c r="D231" s="191" t="n">
        <v>0.09</v>
      </c>
      <c r="E231" s="185" t="n">
        <v>534</v>
      </c>
      <c r="F231" s="92">
        <f>D231*E231</f>
        <v/>
      </c>
    </row>
    <row r="232">
      <c r="A232" s="187" t="n">
        <v>46219</v>
      </c>
      <c r="B232" s="188" t="inlineStr">
        <is>
          <t>SNAG11</t>
        </is>
      </c>
      <c r="C232" s="188" t="inlineStr">
        <is>
          <t>RENDIMENTO</t>
        </is>
      </c>
      <c r="D232" s="192" t="n">
        <v>0.12</v>
      </c>
      <c r="E232" s="189" t="n">
        <v>162</v>
      </c>
      <c r="F232" s="102">
        <f>D232*E232</f>
        <v/>
      </c>
    </row>
    <row r="233">
      <c r="A233" s="183" t="n">
        <v>46226</v>
      </c>
      <c r="B233" s="184" t="inlineStr">
        <is>
          <t>XPML11</t>
        </is>
      </c>
      <c r="C233" s="184" t="inlineStr">
        <is>
          <t>RENDIMENTO</t>
        </is>
      </c>
      <c r="D233" s="191" t="n">
        <v>0.92</v>
      </c>
      <c r="E233" s="185" t="n">
        <v>52</v>
      </c>
      <c r="F233" s="92">
        <f>D233*E233</f>
        <v/>
      </c>
    </row>
    <row r="234">
      <c r="A234" s="187" t="n">
        <v>46233</v>
      </c>
      <c r="B234" s="188" t="inlineStr">
        <is>
          <t>FIQE3</t>
        </is>
      </c>
      <c r="C234" s="188" t="inlineStr">
        <is>
          <t>JCP</t>
        </is>
      </c>
      <c r="D234" s="192" t="n">
        <v>0.077</v>
      </c>
      <c r="E234" s="189" t="n">
        <v>2542</v>
      </c>
      <c r="F234" s="102">
        <f>D234*E234</f>
        <v/>
      </c>
    </row>
    <row r="235">
      <c r="A235" s="183" t="n">
        <v>46240</v>
      </c>
      <c r="B235" s="184" t="inlineStr">
        <is>
          <t>BBDC4</t>
        </is>
      </c>
      <c r="C235" s="184" t="inlineStr">
        <is>
          <t>JCP</t>
        </is>
      </c>
      <c r="D235" s="191" t="n">
        <v>0.0189</v>
      </c>
      <c r="E235" s="185" t="n">
        <v>246</v>
      </c>
      <c r="F235" s="92">
        <f>D235*E235</f>
        <v/>
      </c>
    </row>
    <row r="236">
      <c r="A236" s="187" t="n">
        <v>46240</v>
      </c>
      <c r="B236" s="188" t="inlineStr">
        <is>
          <t>MXRF11</t>
        </is>
      </c>
      <c r="C236" s="188" t="inlineStr">
        <is>
          <t>RENDIMENTO</t>
        </is>
      </c>
      <c r="D236" s="192" t="n">
        <v>0.1</v>
      </c>
      <c r="E236" s="189" t="n">
        <v>157</v>
      </c>
      <c r="F236" s="102">
        <f>D236*E236</f>
        <v/>
      </c>
    </row>
    <row r="237">
      <c r="A237" s="183" t="n">
        <v>46240</v>
      </c>
      <c r="B237" s="184" t="inlineStr">
        <is>
          <t>XPLG11</t>
        </is>
      </c>
      <c r="C237" s="184" t="inlineStr">
        <is>
          <t>RENDIMENTO</t>
        </is>
      </c>
      <c r="D237" s="191" t="n">
        <v>0.82</v>
      </c>
      <c r="E237" s="185" t="n">
        <v>84</v>
      </c>
      <c r="F237" s="92">
        <f>D237*E237</f>
        <v/>
      </c>
    </row>
    <row r="238">
      <c r="A238" s="187" t="n">
        <v>46247</v>
      </c>
      <c r="B238" s="188" t="inlineStr">
        <is>
          <t>BRCR11</t>
        </is>
      </c>
      <c r="C238" s="188" t="inlineStr">
        <is>
          <t>RENDIMENTO</t>
        </is>
      </c>
      <c r="D238" s="192" t="n">
        <v>0.41</v>
      </c>
      <c r="E238" s="189" t="n">
        <v>25</v>
      </c>
      <c r="F238" s="102">
        <f>D238*E238</f>
        <v/>
      </c>
    </row>
    <row r="239">
      <c r="A239" s="183" t="n">
        <v>46247</v>
      </c>
      <c r="B239" s="184" t="inlineStr">
        <is>
          <t>VALE3</t>
        </is>
      </c>
      <c r="C239" s="184" t="inlineStr">
        <is>
          <t>JCP</t>
        </is>
      </c>
      <c r="D239" s="191" t="n">
        <v>2.0307</v>
      </c>
      <c r="E239" s="185" t="n">
        <v>146</v>
      </c>
      <c r="F239" s="92">
        <f>D239*E239</f>
        <v/>
      </c>
    </row>
    <row r="240">
      <c r="A240" s="187" t="n">
        <v>46254</v>
      </c>
      <c r="B240" s="188" t="inlineStr">
        <is>
          <t>BRBI11</t>
        </is>
      </c>
      <c r="C240" s="188" t="inlineStr">
        <is>
          <t>DIVIDENDO</t>
        </is>
      </c>
      <c r="D240" s="192" t="n">
        <v>0.18</v>
      </c>
      <c r="E240" s="189" t="n">
        <v>276</v>
      </c>
      <c r="F240" s="102">
        <f>D240*E240</f>
        <v/>
      </c>
    </row>
    <row r="241">
      <c r="A241" s="183" t="n">
        <v>46254</v>
      </c>
      <c r="B241" s="184" t="inlineStr">
        <is>
          <t>CPTS11</t>
        </is>
      </c>
      <c r="C241" s="184" t="inlineStr">
        <is>
          <t>RENDIMENTO</t>
        </is>
      </c>
      <c r="D241" s="191" t="n">
        <v>0.09</v>
      </c>
      <c r="E241" s="185" t="n">
        <v>534</v>
      </c>
      <c r="F241" s="92">
        <f>D241*E241</f>
        <v/>
      </c>
    </row>
    <row r="242">
      <c r="A242" s="187" t="n">
        <v>46254</v>
      </c>
      <c r="B242" s="188" t="inlineStr">
        <is>
          <t>SNAG11</t>
        </is>
      </c>
      <c r="C242" s="188" t="inlineStr">
        <is>
          <t>RENDIMENTO</t>
        </is>
      </c>
      <c r="D242" s="192" t="n">
        <v>0.12</v>
      </c>
      <c r="E242" s="189" t="n">
        <v>162</v>
      </c>
      <c r="F242" s="102">
        <f>D242*E242</f>
        <v/>
      </c>
    </row>
    <row r="243">
      <c r="A243" s="183" t="n">
        <v>46254</v>
      </c>
      <c r="B243" s="184" t="inlineStr">
        <is>
          <t>XPML11</t>
        </is>
      </c>
      <c r="C243" s="184" t="inlineStr">
        <is>
          <t>RENDIMENTO</t>
        </is>
      </c>
      <c r="D243" s="191" t="n">
        <v>0.92</v>
      </c>
      <c r="E243" s="185" t="n">
        <v>52</v>
      </c>
      <c r="F243" s="92">
        <f>D243*E243</f>
        <v/>
      </c>
    </row>
    <row r="244">
      <c r="A244" s="187" t="n">
        <v>46261</v>
      </c>
      <c r="B244" s="188" t="inlineStr">
        <is>
          <t>PETR4</t>
        </is>
      </c>
      <c r="C244" s="188" t="inlineStr">
        <is>
          <t>DIVIDENDO</t>
        </is>
      </c>
      <c r="D244" s="192" t="n">
        <v>1.3481</v>
      </c>
      <c r="E244" s="189" t="n">
        <v>237</v>
      </c>
      <c r="F244" s="102">
        <f>D244*E244</f>
        <v/>
      </c>
    </row>
    <row r="245">
      <c r="A245" s="183" t="n">
        <v>46268</v>
      </c>
      <c r="B245" s="184" t="inlineStr">
        <is>
          <t>BBAS3</t>
        </is>
      </c>
      <c r="C245" s="184" t="inlineStr">
        <is>
          <t>JCP</t>
        </is>
      </c>
      <c r="D245" s="191" t="n">
        <v>0.1053</v>
      </c>
      <c r="E245" s="185" t="n">
        <v>369</v>
      </c>
      <c r="F245" s="92">
        <f>D245*E245</f>
        <v/>
      </c>
    </row>
    <row r="246">
      <c r="A246" s="187" t="n">
        <v>46268</v>
      </c>
      <c r="B246" s="188" t="inlineStr">
        <is>
          <t>BBDC4</t>
        </is>
      </c>
      <c r="C246" s="188" t="inlineStr">
        <is>
          <t>DIVIDENDO</t>
        </is>
      </c>
      <c r="D246" s="192" t="n">
        <v>0.019</v>
      </c>
      <c r="E246" s="189" t="n">
        <v>246</v>
      </c>
      <c r="F246" s="102">
        <f>D246*E246</f>
        <v/>
      </c>
    </row>
    <row r="247">
      <c r="A247" s="183" t="n">
        <v>46268</v>
      </c>
      <c r="B247" s="184" t="inlineStr">
        <is>
          <t>ITSA4</t>
        </is>
      </c>
      <c r="C247" s="184" t="inlineStr">
        <is>
          <t>DIVIDENDO</t>
        </is>
      </c>
      <c r="D247" s="191" t="n">
        <v>0.0242</v>
      </c>
      <c r="E247" s="185" t="n">
        <v>717</v>
      </c>
      <c r="F247" s="92">
        <f>D247*E247</f>
        <v/>
      </c>
    </row>
    <row r="248">
      <c r="A248" s="187" t="n">
        <v>46268</v>
      </c>
      <c r="B248" s="188" t="inlineStr">
        <is>
          <t>MXRF11</t>
        </is>
      </c>
      <c r="C248" s="188" t="inlineStr">
        <is>
          <t>RENDIMENTO</t>
        </is>
      </c>
      <c r="D248" s="192" t="n">
        <v>0.1</v>
      </c>
      <c r="E248" s="189" t="n">
        <v>157</v>
      </c>
      <c r="F248" s="102">
        <f>D248*E248</f>
        <v/>
      </c>
    </row>
    <row r="249">
      <c r="A249" s="183" t="n">
        <v>46268</v>
      </c>
      <c r="B249" s="184" t="inlineStr">
        <is>
          <t>XPLG11</t>
        </is>
      </c>
      <c r="C249" s="184" t="inlineStr">
        <is>
          <t>RENDIMENTO</t>
        </is>
      </c>
      <c r="D249" s="191" t="n">
        <v>0.82</v>
      </c>
      <c r="E249" s="185" t="n">
        <v>84</v>
      </c>
      <c r="F249" s="92">
        <f>D249*E249</f>
        <v/>
      </c>
    </row>
    <row r="250">
      <c r="A250" s="187" t="n">
        <v>46275</v>
      </c>
      <c r="B250" s="188" t="inlineStr">
        <is>
          <t>BRCR11</t>
        </is>
      </c>
      <c r="C250" s="188" t="inlineStr">
        <is>
          <t>RENDIMENTO</t>
        </is>
      </c>
      <c r="D250" s="192" t="n">
        <v>0.41</v>
      </c>
      <c r="E250" s="189" t="n">
        <v>25</v>
      </c>
      <c r="F250" s="102">
        <f>D250*E250</f>
        <v/>
      </c>
    </row>
    <row r="251">
      <c r="A251" s="183" t="n">
        <v>46282</v>
      </c>
      <c r="B251" s="184" t="inlineStr">
        <is>
          <t>CPTS11</t>
        </is>
      </c>
      <c r="C251" s="184" t="inlineStr">
        <is>
          <t>RENDIMENTO</t>
        </is>
      </c>
      <c r="D251" s="191" t="n">
        <v>0.09</v>
      </c>
      <c r="E251" s="185" t="n">
        <v>534</v>
      </c>
      <c r="F251" s="92">
        <f>D251*E251</f>
        <v/>
      </c>
    </row>
    <row r="252">
      <c r="A252" s="187" t="n">
        <v>46282</v>
      </c>
      <c r="B252" s="188" t="inlineStr">
        <is>
          <t>SNAG11</t>
        </is>
      </c>
      <c r="C252" s="188" t="inlineStr">
        <is>
          <t>RENDIMENTO</t>
        </is>
      </c>
      <c r="D252" s="192" t="n">
        <v>0.12</v>
      </c>
      <c r="E252" s="189" t="n">
        <v>162</v>
      </c>
      <c r="F252" s="102">
        <f>D252*E252</f>
        <v/>
      </c>
    </row>
    <row r="253">
      <c r="A253" s="183" t="n">
        <v>46289</v>
      </c>
      <c r="B253" s="184" t="inlineStr">
        <is>
          <t>CMIG4</t>
        </is>
      </c>
      <c r="C253" s="184" t="inlineStr">
        <is>
          <t>DIVIDENDO</t>
        </is>
      </c>
      <c r="D253" s="191" t="n">
        <v>0.0699</v>
      </c>
      <c r="E253" s="185" t="n">
        <v>934</v>
      </c>
      <c r="F253" s="92">
        <f>D253*E253</f>
        <v/>
      </c>
    </row>
    <row r="254">
      <c r="A254" s="187" t="n">
        <v>46289</v>
      </c>
      <c r="B254" s="188" t="inlineStr">
        <is>
          <t>XPML11</t>
        </is>
      </c>
      <c r="C254" s="188" t="inlineStr">
        <is>
          <t>RENDIMENTO</t>
        </is>
      </c>
      <c r="D254" s="192" t="n">
        <v>0.95</v>
      </c>
      <c r="E254" s="189" t="n">
        <v>52</v>
      </c>
      <c r="F254" s="102">
        <f>D254*E254</f>
        <v/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AN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Premissas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Gerado a partir de dados/config.json — edite lá e rode gestao.py (ou atualizar.bat).</t>
        </is>
      </c>
    </row>
    <row r="4" ht="32" customHeight="1">
      <c r="A4" s="89" t="inlineStr">
        <is>
          <t>Parâmetro</t>
        </is>
      </c>
      <c r="B4" s="89" t="inlineStr">
        <is>
          <t>Valor</t>
        </is>
      </c>
      <c r="C4" s="89" t="inlineStr">
        <is>
          <t>Uso</t>
        </is>
      </c>
    </row>
    <row r="5">
      <c r="A5" s="133" t="inlineStr">
        <is>
          <t>Meta mensal padrão por ativo</t>
        </is>
      </c>
      <c r="B5" s="193" t="n">
        <v>300</v>
      </c>
      <c r="C5" s="141" t="inlineStr">
        <is>
          <t>Renda que cada ativo deve pagar por mês (personalize por ativo na aba Meta)</t>
        </is>
      </c>
    </row>
    <row r="6">
      <c r="A6" s="133" t="inlineStr">
        <is>
          <t>Prazo padrão da meta (meses)</t>
        </is>
      </c>
      <c r="B6" s="194" t="n">
        <v>60</v>
      </c>
      <c r="C6" s="141" t="inlineStr">
        <is>
          <t>Em quanto tempo cada ativo deve atingir a meta (personalize na aba Meta)</t>
        </is>
      </c>
    </row>
    <row r="7">
      <c r="A7" s="133" t="inlineStr">
        <is>
          <t>Aporte mensal</t>
        </is>
      </c>
      <c r="B7" s="193" t="n">
        <v>3000</v>
      </c>
      <c r="C7" s="141" t="inlineStr">
        <is>
          <t>Quanto você investe por mês (tempo até a meta)</t>
        </is>
      </c>
    </row>
    <row r="8">
      <c r="A8" s="133" t="inlineStr">
        <is>
          <t>Peso ideal da renda variável</t>
        </is>
      </c>
      <c r="B8" s="154" t="n">
        <v>0.32</v>
      </c>
      <c r="C8" s="141" t="inlineStr">
        <is>
          <t>Ações + FIIs no patrimônio total</t>
        </is>
      </c>
    </row>
    <row r="11" ht="32" customHeight="1">
      <c r="A11" s="89" t="inlineStr">
        <is>
          <t>Outras classes</t>
        </is>
      </c>
      <c r="B11" s="89" t="inlineStr">
        <is>
          <t>Valor (R$)</t>
        </is>
      </c>
      <c r="C11" s="89" t="inlineStr">
        <is>
          <t>Peso ideal no patrimônio</t>
        </is>
      </c>
    </row>
    <row r="12">
      <c r="A12" s="133" t="inlineStr">
        <is>
          <t>Renda fixa (CDB)</t>
        </is>
      </c>
      <c r="B12" s="193" t="n">
        <v>45000</v>
      </c>
      <c r="C12" s="154" t="n">
        <v>0.5</v>
      </c>
    </row>
    <row r="13">
      <c r="A13" s="133" t="inlineStr">
        <is>
          <t>Internacional</t>
        </is>
      </c>
      <c r="B13" s="193" t="n">
        <v>12000</v>
      </c>
      <c r="C13" s="154" t="n">
        <v>0.15</v>
      </c>
    </row>
    <row r="14">
      <c r="A14" s="133" t="inlineStr">
        <is>
          <t>Cripto</t>
        </is>
      </c>
      <c r="B14" s="193" t="n">
        <v>2500</v>
      </c>
      <c r="C14" s="154" t="n">
        <v>0.03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AN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0" customWidth="1" min="3" max="3"/>
  </cols>
  <sheetData>
    <row r="1" ht="34" customHeight="1">
      <c r="A1" s="1" t="inlineStr">
        <is>
          <r>
            <rPr>
              <rFont val="Segoe UI"/>
              <b val="1"/>
              <color rgb="00FFFFFF"/>
              <sz val="13"/>
            </rPr>
            <t xml:space="preserve">  InvestERP</t>
          </r>
          <r>
            <rPr>
              <rFont val="Segoe UI"/>
              <color rgb="0094A3B8"/>
              <sz val="11"/>
            </rPr>
            <t xml:space="preserve">     Pontos a Conferir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22" customHeight="1">
      <c r="A3" s="88" t="inlineStr">
        <is>
          <t>Checagens automáticas feitas a cada geração — corrija em dados/.</t>
        </is>
      </c>
    </row>
    <row r="4" ht="32" customHeight="1">
      <c r="A4" s="89" t="inlineStr">
        <is>
          <t>Gravidade</t>
        </is>
      </c>
      <c r="B4" s="89" t="inlineStr">
        <is>
          <t>Ativo</t>
        </is>
      </c>
      <c r="C4" s="89" t="inlineStr">
        <is>
          <t>O que foi encontrado</t>
        </is>
      </c>
    </row>
    <row r="5" ht="30" customHeight="1">
      <c r="A5" s="195" t="inlineStr">
        <is>
          <t>INFO</t>
        </is>
      </c>
      <c r="B5" s="196" t="inlineStr">
        <is>
          <t>VALE3</t>
        </is>
      </c>
      <c r="C5" s="197" t="inlineStr">
        <is>
          <t>Tendência de 3 anos com R² de 0,14: projeção por regressão pouco confiável.</t>
        </is>
      </c>
    </row>
    <row r="6" ht="30" customHeight="1">
      <c r="A6" s="198" t="inlineStr">
        <is>
          <t>AVISO</t>
        </is>
      </c>
      <c r="B6" s="196" t="inlineStr">
        <is>
          <t>PETR4</t>
        </is>
      </c>
      <c r="C6" s="197" t="inlineStr">
        <is>
          <t>Proventos 12m caíram 30% sobre o ano anterior — o DY atual pode não se repetir.</t>
        </is>
      </c>
    </row>
    <row r="7" ht="30" customHeight="1">
      <c r="A7" s="195" t="inlineStr">
        <is>
          <t>INFO</t>
        </is>
      </c>
      <c r="B7" s="196" t="inlineStr">
        <is>
          <t>PETR4</t>
        </is>
      </c>
      <c r="C7" s="197" t="inlineStr">
        <is>
          <t>Tendência de 3 anos com R² de 0,03: projeção por regressão pouco confiável.</t>
        </is>
      </c>
    </row>
    <row r="8" ht="30" customHeight="1">
      <c r="A8" s="198" t="inlineStr">
        <is>
          <t>AVISO</t>
        </is>
      </c>
      <c r="B8" s="196" t="inlineStr">
        <is>
          <t>BBAS3</t>
        </is>
      </c>
      <c r="C8" s="197" t="inlineStr">
        <is>
          <t>Proventos 12m caíram 62% sobre o ano anterior — o DY atual pode não se repetir.</t>
        </is>
      </c>
    </row>
    <row r="9" ht="30" customHeight="1">
      <c r="A9" s="198" t="inlineStr">
        <is>
          <t>AVISO</t>
        </is>
      </c>
      <c r="B9" s="196" t="inlineStr">
        <is>
          <t>BRBI11</t>
        </is>
      </c>
      <c r="C9" s="197" t="inlineStr">
        <is>
          <t>Proventos 12m caíram 33% sobre o ano anterior — o DY atual pode não se repetir.</t>
        </is>
      </c>
    </row>
    <row r="10" ht="30" customHeight="1">
      <c r="A10" s="195" t="inlineStr">
        <is>
          <t>INFO</t>
        </is>
      </c>
      <c r="B10" s="196" t="inlineStr">
        <is>
          <t>BRBI11</t>
        </is>
      </c>
      <c r="C10" s="197" t="inlineStr">
        <is>
          <t>Tendência de 3 anos com R² de 0,17: projeção por regressão pouco confiável.</t>
        </is>
      </c>
    </row>
    <row r="11" ht="30" customHeight="1">
      <c r="A11" s="195" t="inlineStr">
        <is>
          <t>INFO</t>
        </is>
      </c>
      <c r="B11" s="196" t="inlineStr">
        <is>
          <t>XPML11</t>
        </is>
      </c>
      <c r="C11" s="197" t="inlineStr">
        <is>
          <t>1 cotação(ões) espúria(s) do Yahoo no histórico foram ignoradas na análise.</t>
        </is>
      </c>
    </row>
    <row r="12" ht="30" customHeight="1">
      <c r="A12" s="195" t="inlineStr">
        <is>
          <t>INFO</t>
        </is>
      </c>
      <c r="B12" s="196" t="inlineStr">
        <is>
          <t>SNAG11</t>
        </is>
      </c>
      <c r="C12" s="197" t="inlineStr">
        <is>
          <t>Tendência de 3 anos com R² de 0,03: projeção por regressão pouco confiável.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64748B"/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Proventos</t>
        </is>
      </c>
    </row>
    <row r="2">
      <c r="A2" s="199">
        <f>DATE(YEAR(TODAY()),MONTH(TODAY())-11,1)</f>
        <v/>
      </c>
      <c r="B2" s="200">
        <f>SUMIFS(Proventos!$F:$F,Proventos!$A:$A,"&gt;="&amp;A2,Proventos!$A:$A,"&lt;"&amp;DATE(YEAR(A2),MONTH(A2)+1,1))</f>
        <v/>
      </c>
    </row>
    <row r="3">
      <c r="A3" s="199">
        <f>DATE(YEAR(TODAY()),MONTH(TODAY())-10,1)</f>
        <v/>
      </c>
      <c r="B3" s="200">
        <f>SUMIFS(Proventos!$F:$F,Proventos!$A:$A,"&gt;="&amp;A3,Proventos!$A:$A,"&lt;"&amp;DATE(YEAR(A3),MONTH(A3)+1,1))</f>
        <v/>
      </c>
    </row>
    <row r="4">
      <c r="A4" s="199">
        <f>DATE(YEAR(TODAY()),MONTH(TODAY())-9,1)</f>
        <v/>
      </c>
      <c r="B4" s="200">
        <f>SUMIFS(Proventos!$F:$F,Proventos!$A:$A,"&gt;="&amp;A4,Proventos!$A:$A,"&lt;"&amp;DATE(YEAR(A4),MONTH(A4)+1,1))</f>
        <v/>
      </c>
      <c r="D4" t="inlineStr">
        <is>
          <t>Ticker</t>
        </is>
      </c>
      <c r="G4" t="inlineStr">
        <is>
          <t>Ticker</t>
        </is>
      </c>
      <c r="H4" t="inlineStr">
        <is>
          <t>Posição</t>
        </is>
      </c>
      <c r="K4" t="inlineStr">
        <is>
          <t>Ticker</t>
        </is>
      </c>
      <c r="L4" t="inlineStr">
        <is>
          <t>Valorização</t>
        </is>
      </c>
      <c r="M4" t="inlineStr">
        <is>
          <t>Lucro</t>
        </is>
      </c>
      <c r="P4" t="inlineStr">
        <is>
          <t>Ticker</t>
        </is>
      </c>
      <c r="Q4" t="inlineStr">
        <is>
          <t>Valorização</t>
        </is>
      </c>
      <c r="R4" t="inlineStr">
        <is>
          <t>Lucro</t>
        </is>
      </c>
      <c r="U4" t="inlineStr">
        <is>
          <t>Ticker</t>
        </is>
      </c>
      <c r="V4" t="inlineStr">
        <is>
          <t>% da meta</t>
        </is>
      </c>
      <c r="Y4" t="inlineStr">
        <is>
          <t>Ticker</t>
        </is>
      </c>
      <c r="Z4" t="inlineStr">
        <is>
          <t>Proventos</t>
        </is>
      </c>
    </row>
    <row r="5">
      <c r="A5" s="199">
        <f>DATE(YEAR(TODAY()),MONTH(TODAY())-8,1)</f>
        <v/>
      </c>
      <c r="B5" s="200">
        <f>SUMIFS(Proventos!$F:$F,Proventos!$A:$A,"&gt;="&amp;A5,Proventos!$A:$A,"&lt;"&amp;DATE(YEAR(A5),MONTH(A5)+1,1))</f>
        <v/>
      </c>
      <c r="D5">
        <f>Carteira!A5</f>
        <v/>
      </c>
      <c r="F5">
        <f>IF(AND(Carteira!AC5=1,OR(Carteira!C5&gt;0,SUMIFS(Carteira!$C$5:$C$20,Carteira!$AC$5:$AC$20,1)=0)),N(Carteira!G5)+ROW()/1E9,"")</f>
        <v/>
      </c>
      <c r="G5">
        <f>IFERROR(INDEX($D$5:$D$20,MATCH(LARGE($F$5:$F$20,1),$F$5:$F$20,0)),"")</f>
        <v/>
      </c>
      <c r="H5" s="200">
        <f>IFERROR(INDEX(Carteira!$G$5:$G$20,MATCH(G5,Carteira!$A$5:$A$20,0)),"")</f>
        <v/>
      </c>
      <c r="J5">
        <f>IF(AND(Carteira!AC5=1,OR(Carteira!C5&gt;0,SUMIFS(Carteira!$C$5:$C$20,Carteira!$AC$5:$AC$20,1)=0)),N(Carteira!I5)+ROW()/1E9,"")</f>
        <v/>
      </c>
      <c r="K5">
        <f>IFERROR(INDEX($D$5:$D$20,MATCH(LARGE($J$5:$J$20,1),$J$5:$J$20,0)),"")</f>
        <v/>
      </c>
      <c r="L5" s="201">
        <f>IFERROR(INDEX(Carteira!$I$5:$I$20,MATCH(K5,Carteira!$A$5:$A$20,0)),"")</f>
        <v/>
      </c>
      <c r="M5" s="202">
        <f>IFERROR(INDEX(Carteira!$H$5:$H$20,MATCH(K5,Carteira!$A$5:$A$20,0)),"")</f>
        <v/>
      </c>
      <c r="O5">
        <f>IF(AND(Carteira!AC5=1,OR(Carteira!C5&gt;0,SUMIFS(Carteira!$C$5:$C$20,Carteira!$AC$5:$AC$20,1)=0)),N(Carteira!I5)+ROW()/1E9,"")</f>
        <v/>
      </c>
      <c r="P5">
        <f>IFERROR(INDEX($D$5:$D$20,MATCH(SMALL($O$5:$O$20,1),$O$5:$O$20,0)),"")</f>
        <v/>
      </c>
      <c r="Q5" s="201">
        <f>IFERROR(INDEX(Carteira!$I$5:$I$20,MATCH(P5,Carteira!$A$5:$A$20,0)),"")</f>
        <v/>
      </c>
      <c r="R5" s="202">
        <f>IFERROR(INDEX(Carteira!$H$5:$H$20,MATCH(P5,Carteira!$A$5:$A$20,0)),"")</f>
        <v/>
      </c>
      <c r="T5">
        <f>IF(AND(Carteira!AC5=1,OR(Carteira!C5&gt;0,SUMIFS(Carteira!$C$5:$C$20,Carteira!$AC$5:$AC$20,1)=0)),N(Carteira!W5)+ROW()/1E9,"")</f>
        <v/>
      </c>
      <c r="U5">
        <f>IFERROR(INDEX($D$5:$D$20,MATCH(LARGE($T$5:$T$20,1),$T$5:$T$20,0)),"")</f>
        <v/>
      </c>
      <c r="V5" s="203">
        <f>IFERROR(INDEX(Carteira!$W$5:$W$20,MATCH(U5,Carteira!$A$5:$A$20,0)),"")</f>
        <v/>
      </c>
      <c r="X5">
        <f>IF(AND(Carteira!AC5=1,OR(Carteira!C5&gt;0,SUMIFS(Carteira!$C$5:$C$20,Carteira!$AC$5:$AC$20,1)=0)),N(Carteira!J5)+ROW()/1E9,"")</f>
        <v/>
      </c>
      <c r="Y5">
        <f>IFERROR(INDEX($D$5:$D$20,MATCH(LARGE($X$5:$X$20,1),$X$5:$X$20,0)),"")</f>
        <v/>
      </c>
      <c r="Z5" s="200">
        <f>IFERROR(INDEX(Carteira!$J$5:$J$20,MATCH(Y5,Carteira!$A$5:$A$20,0)),"")</f>
        <v/>
      </c>
    </row>
    <row r="6">
      <c r="A6" s="199">
        <f>DATE(YEAR(TODAY()),MONTH(TODAY())-7,1)</f>
        <v/>
      </c>
      <c r="B6" s="200">
        <f>SUMIFS(Proventos!$F:$F,Proventos!$A:$A,"&gt;="&amp;A6,Proventos!$A:$A,"&lt;"&amp;DATE(YEAR(A6),MONTH(A6)+1,1))</f>
        <v/>
      </c>
      <c r="D6">
        <f>Carteira!A6</f>
        <v/>
      </c>
      <c r="F6">
        <f>IF(AND(Carteira!AC6=1,OR(Carteira!C6&gt;0,SUMIFS(Carteira!$C$5:$C$20,Carteira!$AC$5:$AC$20,1)=0)),N(Carteira!G6)+ROW()/1E9,"")</f>
        <v/>
      </c>
      <c r="G6">
        <f>IFERROR(INDEX($D$5:$D$20,MATCH(LARGE($F$5:$F$20,2),$F$5:$F$20,0)),"")</f>
        <v/>
      </c>
      <c r="H6" s="200">
        <f>IFERROR(INDEX(Carteira!$G$5:$G$20,MATCH(G6,Carteira!$A$5:$A$20,0)),"")</f>
        <v/>
      </c>
      <c r="J6">
        <f>IF(AND(Carteira!AC6=1,OR(Carteira!C6&gt;0,SUMIFS(Carteira!$C$5:$C$20,Carteira!$AC$5:$AC$20,1)=0)),N(Carteira!I6)+ROW()/1E9,"")</f>
        <v/>
      </c>
      <c r="K6">
        <f>IFERROR(INDEX($D$5:$D$20,MATCH(LARGE($J$5:$J$20,2),$J$5:$J$20,0)),"")</f>
        <v/>
      </c>
      <c r="L6" s="201">
        <f>IFERROR(INDEX(Carteira!$I$5:$I$20,MATCH(K6,Carteira!$A$5:$A$20,0)),"")</f>
        <v/>
      </c>
      <c r="M6" s="202">
        <f>IFERROR(INDEX(Carteira!$H$5:$H$20,MATCH(K6,Carteira!$A$5:$A$20,0)),"")</f>
        <v/>
      </c>
      <c r="O6">
        <f>IF(AND(Carteira!AC6=1,OR(Carteira!C6&gt;0,SUMIFS(Carteira!$C$5:$C$20,Carteira!$AC$5:$AC$20,1)=0)),N(Carteira!I6)+ROW()/1E9,"")</f>
        <v/>
      </c>
      <c r="P6">
        <f>IFERROR(INDEX($D$5:$D$20,MATCH(SMALL($O$5:$O$20,2),$O$5:$O$20,0)),"")</f>
        <v/>
      </c>
      <c r="Q6" s="201">
        <f>IFERROR(INDEX(Carteira!$I$5:$I$20,MATCH(P6,Carteira!$A$5:$A$20,0)),"")</f>
        <v/>
      </c>
      <c r="R6" s="202">
        <f>IFERROR(INDEX(Carteira!$H$5:$H$20,MATCH(P6,Carteira!$A$5:$A$20,0)),"")</f>
        <v/>
      </c>
      <c r="T6">
        <f>IF(AND(Carteira!AC6=1,OR(Carteira!C6&gt;0,SUMIFS(Carteira!$C$5:$C$20,Carteira!$AC$5:$AC$20,1)=0)),N(Carteira!W6)+ROW()/1E9,"")</f>
        <v/>
      </c>
      <c r="U6">
        <f>IFERROR(INDEX($D$5:$D$20,MATCH(LARGE($T$5:$T$20,2),$T$5:$T$20,0)),"")</f>
        <v/>
      </c>
      <c r="V6" s="203">
        <f>IFERROR(INDEX(Carteira!$W$5:$W$20,MATCH(U6,Carteira!$A$5:$A$20,0)),"")</f>
        <v/>
      </c>
      <c r="X6">
        <f>IF(AND(Carteira!AC6=1,OR(Carteira!C6&gt;0,SUMIFS(Carteira!$C$5:$C$20,Carteira!$AC$5:$AC$20,1)=0)),N(Carteira!J6)+ROW()/1E9,"")</f>
        <v/>
      </c>
      <c r="Y6">
        <f>IFERROR(INDEX($D$5:$D$20,MATCH(LARGE($X$5:$X$20,2),$X$5:$X$20,0)),"")</f>
        <v/>
      </c>
      <c r="Z6" s="200">
        <f>IFERROR(INDEX(Carteira!$J$5:$J$20,MATCH(Y6,Carteira!$A$5:$A$20,0)),"")</f>
        <v/>
      </c>
    </row>
    <row r="7">
      <c r="A7" s="199">
        <f>DATE(YEAR(TODAY()),MONTH(TODAY())-6,1)</f>
        <v/>
      </c>
      <c r="B7" s="200">
        <f>SUMIFS(Proventos!$F:$F,Proventos!$A:$A,"&gt;="&amp;A7,Proventos!$A:$A,"&lt;"&amp;DATE(YEAR(A7),MONTH(A7)+1,1))</f>
        <v/>
      </c>
      <c r="D7">
        <f>Carteira!A7</f>
        <v/>
      </c>
      <c r="F7">
        <f>IF(AND(Carteira!AC7=1,OR(Carteira!C7&gt;0,SUMIFS(Carteira!$C$5:$C$20,Carteira!$AC$5:$AC$20,1)=0)),N(Carteira!G7)+ROW()/1E9,"")</f>
        <v/>
      </c>
      <c r="G7">
        <f>IFERROR(INDEX($D$5:$D$20,MATCH(LARGE($F$5:$F$20,3),$F$5:$F$20,0)),"")</f>
        <v/>
      </c>
      <c r="H7" s="200">
        <f>IFERROR(INDEX(Carteira!$G$5:$G$20,MATCH(G7,Carteira!$A$5:$A$20,0)),"")</f>
        <v/>
      </c>
      <c r="J7">
        <f>IF(AND(Carteira!AC7=1,OR(Carteira!C7&gt;0,SUMIFS(Carteira!$C$5:$C$20,Carteira!$AC$5:$AC$20,1)=0)),N(Carteira!I7)+ROW()/1E9,"")</f>
        <v/>
      </c>
      <c r="K7">
        <f>IFERROR(INDEX($D$5:$D$20,MATCH(LARGE($J$5:$J$20,3),$J$5:$J$20,0)),"")</f>
        <v/>
      </c>
      <c r="L7" s="201">
        <f>IFERROR(INDEX(Carteira!$I$5:$I$20,MATCH(K7,Carteira!$A$5:$A$20,0)),"")</f>
        <v/>
      </c>
      <c r="M7" s="202">
        <f>IFERROR(INDEX(Carteira!$H$5:$H$20,MATCH(K7,Carteira!$A$5:$A$20,0)),"")</f>
        <v/>
      </c>
      <c r="O7">
        <f>IF(AND(Carteira!AC7=1,OR(Carteira!C7&gt;0,SUMIFS(Carteira!$C$5:$C$20,Carteira!$AC$5:$AC$20,1)=0)),N(Carteira!I7)+ROW()/1E9,"")</f>
        <v/>
      </c>
      <c r="P7">
        <f>IFERROR(INDEX($D$5:$D$20,MATCH(SMALL($O$5:$O$20,3),$O$5:$O$20,0)),"")</f>
        <v/>
      </c>
      <c r="Q7" s="201">
        <f>IFERROR(INDEX(Carteira!$I$5:$I$20,MATCH(P7,Carteira!$A$5:$A$20,0)),"")</f>
        <v/>
      </c>
      <c r="R7" s="202">
        <f>IFERROR(INDEX(Carteira!$H$5:$H$20,MATCH(P7,Carteira!$A$5:$A$20,0)),"")</f>
        <v/>
      </c>
      <c r="T7">
        <f>IF(AND(Carteira!AC7=1,OR(Carteira!C7&gt;0,SUMIFS(Carteira!$C$5:$C$20,Carteira!$AC$5:$AC$20,1)=0)),N(Carteira!W7)+ROW()/1E9,"")</f>
        <v/>
      </c>
      <c r="U7">
        <f>IFERROR(INDEX($D$5:$D$20,MATCH(LARGE($T$5:$T$20,3),$T$5:$T$20,0)),"")</f>
        <v/>
      </c>
      <c r="V7" s="203">
        <f>IFERROR(INDEX(Carteira!$W$5:$W$20,MATCH(U7,Carteira!$A$5:$A$20,0)),"")</f>
        <v/>
      </c>
      <c r="X7">
        <f>IF(AND(Carteira!AC7=1,OR(Carteira!C7&gt;0,SUMIFS(Carteira!$C$5:$C$20,Carteira!$AC$5:$AC$20,1)=0)),N(Carteira!J7)+ROW()/1E9,"")</f>
        <v/>
      </c>
      <c r="Y7">
        <f>IFERROR(INDEX($D$5:$D$20,MATCH(LARGE($X$5:$X$20,3),$X$5:$X$20,0)),"")</f>
        <v/>
      </c>
      <c r="Z7" s="200">
        <f>IFERROR(INDEX(Carteira!$J$5:$J$20,MATCH(Y7,Carteira!$A$5:$A$20,0)),"")</f>
        <v/>
      </c>
    </row>
    <row r="8">
      <c r="A8" s="199">
        <f>DATE(YEAR(TODAY()),MONTH(TODAY())-5,1)</f>
        <v/>
      </c>
      <c r="B8" s="200">
        <f>SUMIFS(Proventos!$F:$F,Proventos!$A:$A,"&gt;="&amp;A8,Proventos!$A:$A,"&lt;"&amp;DATE(YEAR(A8),MONTH(A8)+1,1))</f>
        <v/>
      </c>
      <c r="D8">
        <f>Carteira!A8</f>
        <v/>
      </c>
      <c r="F8">
        <f>IF(AND(Carteira!AC8=1,OR(Carteira!C8&gt;0,SUMIFS(Carteira!$C$5:$C$20,Carteira!$AC$5:$AC$20,1)=0)),N(Carteira!G8)+ROW()/1E9,"")</f>
        <v/>
      </c>
      <c r="G8">
        <f>IFERROR(INDEX($D$5:$D$20,MATCH(LARGE($F$5:$F$20,4),$F$5:$F$20,0)),"")</f>
        <v/>
      </c>
      <c r="H8" s="200">
        <f>IFERROR(INDEX(Carteira!$G$5:$G$20,MATCH(G8,Carteira!$A$5:$A$20,0)),"")</f>
        <v/>
      </c>
      <c r="J8">
        <f>IF(AND(Carteira!AC8=1,OR(Carteira!C8&gt;0,SUMIFS(Carteira!$C$5:$C$20,Carteira!$AC$5:$AC$20,1)=0)),N(Carteira!I8)+ROW()/1E9,"")</f>
        <v/>
      </c>
      <c r="K8">
        <f>IFERROR(INDEX($D$5:$D$20,MATCH(LARGE($J$5:$J$20,4),$J$5:$J$20,0)),"")</f>
        <v/>
      </c>
      <c r="L8" s="201">
        <f>IFERROR(INDEX(Carteira!$I$5:$I$20,MATCH(K8,Carteira!$A$5:$A$20,0)),"")</f>
        <v/>
      </c>
      <c r="M8" s="202">
        <f>IFERROR(INDEX(Carteira!$H$5:$H$20,MATCH(K8,Carteira!$A$5:$A$20,0)),"")</f>
        <v/>
      </c>
      <c r="O8">
        <f>IF(AND(Carteira!AC8=1,OR(Carteira!C8&gt;0,SUMIFS(Carteira!$C$5:$C$20,Carteira!$AC$5:$AC$20,1)=0)),N(Carteira!I8)+ROW()/1E9,"")</f>
        <v/>
      </c>
      <c r="P8">
        <f>IFERROR(INDEX($D$5:$D$20,MATCH(SMALL($O$5:$O$20,4),$O$5:$O$20,0)),"")</f>
        <v/>
      </c>
      <c r="Q8" s="201">
        <f>IFERROR(INDEX(Carteira!$I$5:$I$20,MATCH(P8,Carteira!$A$5:$A$20,0)),"")</f>
        <v/>
      </c>
      <c r="R8" s="202">
        <f>IFERROR(INDEX(Carteira!$H$5:$H$20,MATCH(P8,Carteira!$A$5:$A$20,0)),"")</f>
        <v/>
      </c>
      <c r="T8">
        <f>IF(AND(Carteira!AC8=1,OR(Carteira!C8&gt;0,SUMIFS(Carteira!$C$5:$C$20,Carteira!$AC$5:$AC$20,1)=0)),N(Carteira!W8)+ROW()/1E9,"")</f>
        <v/>
      </c>
      <c r="U8">
        <f>IFERROR(INDEX($D$5:$D$20,MATCH(LARGE($T$5:$T$20,4),$T$5:$T$20,0)),"")</f>
        <v/>
      </c>
      <c r="V8" s="203">
        <f>IFERROR(INDEX(Carteira!$W$5:$W$20,MATCH(U8,Carteira!$A$5:$A$20,0)),"")</f>
        <v/>
      </c>
      <c r="X8">
        <f>IF(AND(Carteira!AC8=1,OR(Carteira!C8&gt;0,SUMIFS(Carteira!$C$5:$C$20,Carteira!$AC$5:$AC$20,1)=0)),N(Carteira!J8)+ROW()/1E9,"")</f>
        <v/>
      </c>
      <c r="Y8">
        <f>IFERROR(INDEX($D$5:$D$20,MATCH(LARGE($X$5:$X$20,4),$X$5:$X$20,0)),"")</f>
        <v/>
      </c>
      <c r="Z8" s="200">
        <f>IFERROR(INDEX(Carteira!$J$5:$J$20,MATCH(Y8,Carteira!$A$5:$A$20,0)),"")</f>
        <v/>
      </c>
    </row>
    <row r="9">
      <c r="A9" s="199">
        <f>DATE(YEAR(TODAY()),MONTH(TODAY())-4,1)</f>
        <v/>
      </c>
      <c r="B9" s="200">
        <f>SUMIFS(Proventos!$F:$F,Proventos!$A:$A,"&gt;="&amp;A9,Proventos!$A:$A,"&lt;"&amp;DATE(YEAR(A9),MONTH(A9)+1,1))</f>
        <v/>
      </c>
      <c r="D9">
        <f>Carteira!A9</f>
        <v/>
      </c>
      <c r="F9">
        <f>IF(AND(Carteira!AC9=1,OR(Carteira!C9&gt;0,SUMIFS(Carteira!$C$5:$C$20,Carteira!$AC$5:$AC$20,1)=0)),N(Carteira!G9)+ROW()/1E9,"")</f>
        <v/>
      </c>
      <c r="G9">
        <f>IFERROR(INDEX($D$5:$D$20,MATCH(LARGE($F$5:$F$20,5),$F$5:$F$20,0)),"")</f>
        <v/>
      </c>
      <c r="H9" s="200">
        <f>IFERROR(INDEX(Carteira!$G$5:$G$20,MATCH(G9,Carteira!$A$5:$A$20,0)),"")</f>
        <v/>
      </c>
      <c r="J9">
        <f>IF(AND(Carteira!AC9=1,OR(Carteira!C9&gt;0,SUMIFS(Carteira!$C$5:$C$20,Carteira!$AC$5:$AC$20,1)=0)),N(Carteira!I9)+ROW()/1E9,"")</f>
        <v/>
      </c>
      <c r="K9">
        <f>IFERROR(INDEX($D$5:$D$20,MATCH(LARGE($J$5:$J$20,5),$J$5:$J$20,0)),"")</f>
        <v/>
      </c>
      <c r="L9" s="201">
        <f>IFERROR(INDEX(Carteira!$I$5:$I$20,MATCH(K9,Carteira!$A$5:$A$20,0)),"")</f>
        <v/>
      </c>
      <c r="M9" s="202">
        <f>IFERROR(INDEX(Carteira!$H$5:$H$20,MATCH(K9,Carteira!$A$5:$A$20,0)),"")</f>
        <v/>
      </c>
      <c r="O9">
        <f>IF(AND(Carteira!AC9=1,OR(Carteira!C9&gt;0,SUMIFS(Carteira!$C$5:$C$20,Carteira!$AC$5:$AC$20,1)=0)),N(Carteira!I9)+ROW()/1E9,"")</f>
        <v/>
      </c>
      <c r="P9">
        <f>IFERROR(INDEX($D$5:$D$20,MATCH(SMALL($O$5:$O$20,5),$O$5:$O$20,0)),"")</f>
        <v/>
      </c>
      <c r="Q9" s="201">
        <f>IFERROR(INDEX(Carteira!$I$5:$I$20,MATCH(P9,Carteira!$A$5:$A$20,0)),"")</f>
        <v/>
      </c>
      <c r="R9" s="202">
        <f>IFERROR(INDEX(Carteira!$H$5:$H$20,MATCH(P9,Carteira!$A$5:$A$20,0)),"")</f>
        <v/>
      </c>
      <c r="T9">
        <f>IF(AND(Carteira!AC9=1,OR(Carteira!C9&gt;0,SUMIFS(Carteira!$C$5:$C$20,Carteira!$AC$5:$AC$20,1)=0)),N(Carteira!W9)+ROW()/1E9,"")</f>
        <v/>
      </c>
      <c r="U9">
        <f>IFERROR(INDEX($D$5:$D$20,MATCH(LARGE($T$5:$T$20,5),$T$5:$T$20,0)),"")</f>
        <v/>
      </c>
      <c r="V9" s="203">
        <f>IFERROR(INDEX(Carteira!$W$5:$W$20,MATCH(U9,Carteira!$A$5:$A$20,0)),"")</f>
        <v/>
      </c>
      <c r="X9">
        <f>IF(AND(Carteira!AC9=1,OR(Carteira!C9&gt;0,SUMIFS(Carteira!$C$5:$C$20,Carteira!$AC$5:$AC$20,1)=0)),N(Carteira!J9)+ROW()/1E9,"")</f>
        <v/>
      </c>
      <c r="Y9">
        <f>IFERROR(INDEX($D$5:$D$20,MATCH(LARGE($X$5:$X$20,5),$X$5:$X$20,0)),"")</f>
        <v/>
      </c>
      <c r="Z9" s="200">
        <f>IFERROR(INDEX(Carteira!$J$5:$J$20,MATCH(Y9,Carteira!$A$5:$A$20,0)),"")</f>
        <v/>
      </c>
    </row>
    <row r="10">
      <c r="A10" s="199">
        <f>DATE(YEAR(TODAY()),MONTH(TODAY())-3,1)</f>
        <v/>
      </c>
      <c r="B10" s="200">
        <f>SUMIFS(Proventos!$F:$F,Proventos!$A:$A,"&gt;="&amp;A10,Proventos!$A:$A,"&lt;"&amp;DATE(YEAR(A10),MONTH(A10)+1,1))</f>
        <v/>
      </c>
      <c r="D10">
        <f>Carteira!A10</f>
        <v/>
      </c>
      <c r="F10">
        <f>IF(AND(Carteira!AC10=1,OR(Carteira!C10&gt;0,SUMIFS(Carteira!$C$5:$C$20,Carteira!$AC$5:$AC$20,1)=0)),N(Carteira!G10)+ROW()/1E9,"")</f>
        <v/>
      </c>
      <c r="G10">
        <f>IFERROR(INDEX($D$5:$D$20,MATCH(LARGE($F$5:$F$20,6),$F$5:$F$20,0)),"")</f>
        <v/>
      </c>
      <c r="H10" s="200">
        <f>IFERROR(INDEX(Carteira!$G$5:$G$20,MATCH(G10,Carteira!$A$5:$A$20,0)),"")</f>
        <v/>
      </c>
      <c r="J10">
        <f>IF(AND(Carteira!AC10=1,OR(Carteira!C10&gt;0,SUMIFS(Carteira!$C$5:$C$20,Carteira!$AC$5:$AC$20,1)=0)),N(Carteira!I10)+ROW()/1E9,"")</f>
        <v/>
      </c>
      <c r="K10">
        <f>IFERROR(INDEX($D$5:$D$20,MATCH(LARGE($J$5:$J$20,6),$J$5:$J$20,0)),"")</f>
        <v/>
      </c>
      <c r="L10" s="201">
        <f>IFERROR(INDEX(Carteira!$I$5:$I$20,MATCH(K10,Carteira!$A$5:$A$20,0)),"")</f>
        <v/>
      </c>
      <c r="M10" s="202">
        <f>IFERROR(INDEX(Carteira!$H$5:$H$20,MATCH(K10,Carteira!$A$5:$A$20,0)),"")</f>
        <v/>
      </c>
      <c r="O10">
        <f>IF(AND(Carteira!AC10=1,OR(Carteira!C10&gt;0,SUMIFS(Carteira!$C$5:$C$20,Carteira!$AC$5:$AC$20,1)=0)),N(Carteira!I10)+ROW()/1E9,"")</f>
        <v/>
      </c>
      <c r="P10">
        <f>IFERROR(INDEX($D$5:$D$20,MATCH(SMALL($O$5:$O$20,6),$O$5:$O$20,0)),"")</f>
        <v/>
      </c>
      <c r="Q10" s="201">
        <f>IFERROR(INDEX(Carteira!$I$5:$I$20,MATCH(P10,Carteira!$A$5:$A$20,0)),"")</f>
        <v/>
      </c>
      <c r="R10" s="202">
        <f>IFERROR(INDEX(Carteira!$H$5:$H$20,MATCH(P10,Carteira!$A$5:$A$20,0)),"")</f>
        <v/>
      </c>
      <c r="T10">
        <f>IF(AND(Carteira!AC10=1,OR(Carteira!C10&gt;0,SUMIFS(Carteira!$C$5:$C$20,Carteira!$AC$5:$AC$20,1)=0)),N(Carteira!W10)+ROW()/1E9,"")</f>
        <v/>
      </c>
      <c r="U10">
        <f>IFERROR(INDEX($D$5:$D$20,MATCH(LARGE($T$5:$T$20,6),$T$5:$T$20,0)),"")</f>
        <v/>
      </c>
      <c r="V10" s="203">
        <f>IFERROR(INDEX(Carteira!$W$5:$W$20,MATCH(U10,Carteira!$A$5:$A$20,0)),"")</f>
        <v/>
      </c>
      <c r="X10">
        <f>IF(AND(Carteira!AC10=1,OR(Carteira!C10&gt;0,SUMIFS(Carteira!$C$5:$C$20,Carteira!$AC$5:$AC$20,1)=0)),N(Carteira!J10)+ROW()/1E9,"")</f>
        <v/>
      </c>
      <c r="Y10">
        <f>IFERROR(INDEX($D$5:$D$20,MATCH(LARGE($X$5:$X$20,6),$X$5:$X$20,0)),"")</f>
        <v/>
      </c>
      <c r="Z10" s="200">
        <f>IFERROR(INDEX(Carteira!$J$5:$J$20,MATCH(Y10,Carteira!$A$5:$A$20,0)),"")</f>
        <v/>
      </c>
    </row>
    <row r="11">
      <c r="A11" s="199">
        <f>DATE(YEAR(TODAY()),MONTH(TODAY())-2,1)</f>
        <v/>
      </c>
      <c r="B11" s="200">
        <f>SUMIFS(Proventos!$F:$F,Proventos!$A:$A,"&gt;="&amp;A11,Proventos!$A:$A,"&lt;"&amp;DATE(YEAR(A11),MONTH(A11)+1,1))</f>
        <v/>
      </c>
      <c r="D11">
        <f>Carteira!A11</f>
        <v/>
      </c>
      <c r="F11">
        <f>IF(AND(Carteira!AC11=1,OR(Carteira!C11&gt;0,SUMIFS(Carteira!$C$5:$C$20,Carteira!$AC$5:$AC$20,1)=0)),N(Carteira!G11)+ROW()/1E9,"")</f>
        <v/>
      </c>
      <c r="G11">
        <f>IFERROR(INDEX($D$5:$D$20,MATCH(LARGE($F$5:$F$20,7),$F$5:$F$20,0)),"")</f>
        <v/>
      </c>
      <c r="H11" s="200">
        <f>IFERROR(INDEX(Carteira!$G$5:$G$20,MATCH(G11,Carteira!$A$5:$A$20,0)),"")</f>
        <v/>
      </c>
      <c r="J11">
        <f>IF(AND(Carteira!AC11=1,OR(Carteira!C11&gt;0,SUMIFS(Carteira!$C$5:$C$20,Carteira!$AC$5:$AC$20,1)=0)),N(Carteira!I11)+ROW()/1E9,"")</f>
        <v/>
      </c>
      <c r="K11">
        <f>IFERROR(INDEX($D$5:$D$20,MATCH(LARGE($J$5:$J$20,7),$J$5:$J$20,0)),"")</f>
        <v/>
      </c>
      <c r="L11" s="201">
        <f>IFERROR(INDEX(Carteira!$I$5:$I$20,MATCH(K11,Carteira!$A$5:$A$20,0)),"")</f>
        <v/>
      </c>
      <c r="M11" s="202">
        <f>IFERROR(INDEX(Carteira!$H$5:$H$20,MATCH(K11,Carteira!$A$5:$A$20,0)),"")</f>
        <v/>
      </c>
      <c r="O11">
        <f>IF(AND(Carteira!AC11=1,OR(Carteira!C11&gt;0,SUMIFS(Carteira!$C$5:$C$20,Carteira!$AC$5:$AC$20,1)=0)),N(Carteira!I11)+ROW()/1E9,"")</f>
        <v/>
      </c>
      <c r="P11">
        <f>IFERROR(INDEX($D$5:$D$20,MATCH(SMALL($O$5:$O$20,7),$O$5:$O$20,0)),"")</f>
        <v/>
      </c>
      <c r="Q11" s="201">
        <f>IFERROR(INDEX(Carteira!$I$5:$I$20,MATCH(P11,Carteira!$A$5:$A$20,0)),"")</f>
        <v/>
      </c>
      <c r="R11" s="202">
        <f>IFERROR(INDEX(Carteira!$H$5:$H$20,MATCH(P11,Carteira!$A$5:$A$20,0)),"")</f>
        <v/>
      </c>
      <c r="T11">
        <f>IF(AND(Carteira!AC11=1,OR(Carteira!C11&gt;0,SUMIFS(Carteira!$C$5:$C$20,Carteira!$AC$5:$AC$20,1)=0)),N(Carteira!W11)+ROW()/1E9,"")</f>
        <v/>
      </c>
      <c r="U11">
        <f>IFERROR(INDEX($D$5:$D$20,MATCH(LARGE($T$5:$T$20,7),$T$5:$T$20,0)),"")</f>
        <v/>
      </c>
      <c r="V11" s="203">
        <f>IFERROR(INDEX(Carteira!$W$5:$W$20,MATCH(U11,Carteira!$A$5:$A$20,0)),"")</f>
        <v/>
      </c>
      <c r="X11">
        <f>IF(AND(Carteira!AC11=1,OR(Carteira!C11&gt;0,SUMIFS(Carteira!$C$5:$C$20,Carteira!$AC$5:$AC$20,1)=0)),N(Carteira!J11)+ROW()/1E9,"")</f>
        <v/>
      </c>
      <c r="Y11">
        <f>IFERROR(INDEX($D$5:$D$20,MATCH(LARGE($X$5:$X$20,7),$X$5:$X$20,0)),"")</f>
        <v/>
      </c>
      <c r="Z11" s="200">
        <f>IFERROR(INDEX(Carteira!$J$5:$J$20,MATCH(Y11,Carteira!$A$5:$A$20,0)),"")</f>
        <v/>
      </c>
    </row>
    <row r="12">
      <c r="A12" s="199">
        <f>DATE(YEAR(TODAY()),MONTH(TODAY())-1,1)</f>
        <v/>
      </c>
      <c r="B12" s="200">
        <f>SUMIFS(Proventos!$F:$F,Proventos!$A:$A,"&gt;="&amp;A12,Proventos!$A:$A,"&lt;"&amp;DATE(YEAR(A12),MONTH(A12)+1,1))</f>
        <v/>
      </c>
      <c r="D12">
        <f>Carteira!A12</f>
        <v/>
      </c>
      <c r="F12">
        <f>IF(AND(Carteira!AC12=1,OR(Carteira!C12&gt;0,SUMIFS(Carteira!$C$5:$C$20,Carteira!$AC$5:$AC$20,1)=0)),N(Carteira!G12)+ROW()/1E9,"")</f>
        <v/>
      </c>
      <c r="G12">
        <f>IFERROR(INDEX($D$5:$D$20,MATCH(LARGE($F$5:$F$20,8),$F$5:$F$20,0)),"")</f>
        <v/>
      </c>
      <c r="H12" s="200">
        <f>IFERROR(INDEX(Carteira!$G$5:$G$20,MATCH(G12,Carteira!$A$5:$A$20,0)),"")</f>
        <v/>
      </c>
      <c r="J12">
        <f>IF(AND(Carteira!AC12=1,OR(Carteira!C12&gt;0,SUMIFS(Carteira!$C$5:$C$20,Carteira!$AC$5:$AC$20,1)=0)),N(Carteira!I12)+ROW()/1E9,"")</f>
        <v/>
      </c>
      <c r="K12">
        <f>IFERROR(INDEX($D$5:$D$20,MATCH(LARGE($J$5:$J$20,8),$J$5:$J$20,0)),"")</f>
        <v/>
      </c>
      <c r="L12" s="201">
        <f>IFERROR(INDEX(Carteira!$I$5:$I$20,MATCH(K12,Carteira!$A$5:$A$20,0)),"")</f>
        <v/>
      </c>
      <c r="M12" s="202">
        <f>IFERROR(INDEX(Carteira!$H$5:$H$20,MATCH(K12,Carteira!$A$5:$A$20,0)),"")</f>
        <v/>
      </c>
      <c r="O12">
        <f>IF(AND(Carteira!AC12=1,OR(Carteira!C12&gt;0,SUMIFS(Carteira!$C$5:$C$20,Carteira!$AC$5:$AC$20,1)=0)),N(Carteira!I12)+ROW()/1E9,"")</f>
        <v/>
      </c>
      <c r="P12">
        <f>IFERROR(INDEX($D$5:$D$20,MATCH(SMALL($O$5:$O$20,8),$O$5:$O$20,0)),"")</f>
        <v/>
      </c>
      <c r="Q12" s="201">
        <f>IFERROR(INDEX(Carteira!$I$5:$I$20,MATCH(P12,Carteira!$A$5:$A$20,0)),"")</f>
        <v/>
      </c>
      <c r="R12" s="202">
        <f>IFERROR(INDEX(Carteira!$H$5:$H$20,MATCH(P12,Carteira!$A$5:$A$20,0)),"")</f>
        <v/>
      </c>
      <c r="T12">
        <f>IF(AND(Carteira!AC12=1,OR(Carteira!C12&gt;0,SUMIFS(Carteira!$C$5:$C$20,Carteira!$AC$5:$AC$20,1)=0)),N(Carteira!W12)+ROW()/1E9,"")</f>
        <v/>
      </c>
      <c r="U12">
        <f>IFERROR(INDEX($D$5:$D$20,MATCH(LARGE($T$5:$T$20,8),$T$5:$T$20,0)),"")</f>
        <v/>
      </c>
      <c r="V12" s="203">
        <f>IFERROR(INDEX(Carteira!$W$5:$W$20,MATCH(U12,Carteira!$A$5:$A$20,0)),"")</f>
        <v/>
      </c>
      <c r="X12">
        <f>IF(AND(Carteira!AC12=1,OR(Carteira!C12&gt;0,SUMIFS(Carteira!$C$5:$C$20,Carteira!$AC$5:$AC$20,1)=0)),N(Carteira!J12)+ROW()/1E9,"")</f>
        <v/>
      </c>
      <c r="Y12">
        <f>IFERROR(INDEX($D$5:$D$20,MATCH(LARGE($X$5:$X$20,8),$X$5:$X$20,0)),"")</f>
        <v/>
      </c>
      <c r="Z12" s="200">
        <f>IFERROR(INDEX(Carteira!$J$5:$J$20,MATCH(Y12,Carteira!$A$5:$A$20,0)),"")</f>
        <v/>
      </c>
    </row>
    <row r="13">
      <c r="A13" s="199">
        <f>DATE(YEAR(TODAY()),MONTH(TODAY())-0,1)</f>
        <v/>
      </c>
      <c r="B13" s="200">
        <f>SUMIFS(Proventos!$F:$F,Proventos!$A:$A,"&gt;="&amp;A13,Proventos!$A:$A,"&lt;"&amp;DATE(YEAR(A13),MONTH(A13)+1,1))</f>
        <v/>
      </c>
      <c r="D13">
        <f>Carteira!A13</f>
        <v/>
      </c>
      <c r="F13">
        <f>IF(AND(Carteira!AC13=1,OR(Carteira!C13&gt;0,SUMIFS(Carteira!$C$5:$C$20,Carteira!$AC$5:$AC$20,1)=0)),N(Carteira!G13)+ROW()/1E9,"")</f>
        <v/>
      </c>
      <c r="G13">
        <f>IFERROR(INDEX($D$5:$D$20,MATCH(LARGE($F$5:$F$20,9),$F$5:$F$20,0)),"")</f>
        <v/>
      </c>
      <c r="H13" s="200">
        <f>IFERROR(INDEX(Carteira!$G$5:$G$20,MATCH(G13,Carteira!$A$5:$A$20,0)),"")</f>
        <v/>
      </c>
      <c r="J13">
        <f>IF(AND(Carteira!AC13=1,OR(Carteira!C13&gt;0,SUMIFS(Carteira!$C$5:$C$20,Carteira!$AC$5:$AC$20,1)=0)),N(Carteira!I13)+ROW()/1E9,"")</f>
        <v/>
      </c>
      <c r="K13">
        <f>IFERROR(INDEX($D$5:$D$20,MATCH(LARGE($J$5:$J$20,9),$J$5:$J$20,0)),"")</f>
        <v/>
      </c>
      <c r="L13" s="201">
        <f>IFERROR(INDEX(Carteira!$I$5:$I$20,MATCH(K13,Carteira!$A$5:$A$20,0)),"")</f>
        <v/>
      </c>
      <c r="M13" s="202">
        <f>IFERROR(INDEX(Carteira!$H$5:$H$20,MATCH(K13,Carteira!$A$5:$A$20,0)),"")</f>
        <v/>
      </c>
      <c r="O13">
        <f>IF(AND(Carteira!AC13=1,OR(Carteira!C13&gt;0,SUMIFS(Carteira!$C$5:$C$20,Carteira!$AC$5:$AC$20,1)=0)),N(Carteira!I13)+ROW()/1E9,"")</f>
        <v/>
      </c>
      <c r="P13">
        <f>IFERROR(INDEX($D$5:$D$20,MATCH(SMALL($O$5:$O$20,9),$O$5:$O$20,0)),"")</f>
        <v/>
      </c>
      <c r="Q13" s="201">
        <f>IFERROR(INDEX(Carteira!$I$5:$I$20,MATCH(P13,Carteira!$A$5:$A$20,0)),"")</f>
        <v/>
      </c>
      <c r="R13" s="202">
        <f>IFERROR(INDEX(Carteira!$H$5:$H$20,MATCH(P13,Carteira!$A$5:$A$20,0)),"")</f>
        <v/>
      </c>
      <c r="T13">
        <f>IF(AND(Carteira!AC13=1,OR(Carteira!C13&gt;0,SUMIFS(Carteira!$C$5:$C$20,Carteira!$AC$5:$AC$20,1)=0)),N(Carteira!W13)+ROW()/1E9,"")</f>
        <v/>
      </c>
      <c r="U13">
        <f>IFERROR(INDEX($D$5:$D$20,MATCH(LARGE($T$5:$T$20,9),$T$5:$T$20,0)),"")</f>
        <v/>
      </c>
      <c r="V13" s="203">
        <f>IFERROR(INDEX(Carteira!$W$5:$W$20,MATCH(U13,Carteira!$A$5:$A$20,0)),"")</f>
        <v/>
      </c>
      <c r="X13">
        <f>IF(AND(Carteira!AC13=1,OR(Carteira!C13&gt;0,SUMIFS(Carteira!$C$5:$C$20,Carteira!$AC$5:$AC$20,1)=0)),N(Carteira!J13)+ROW()/1E9,"")</f>
        <v/>
      </c>
      <c r="Y13">
        <f>IFERROR(INDEX($D$5:$D$20,MATCH(LARGE($X$5:$X$20,9),$X$5:$X$20,0)),"")</f>
        <v/>
      </c>
      <c r="Z13" s="200">
        <f>IFERROR(INDEX(Carteira!$J$5:$J$20,MATCH(Y13,Carteira!$A$5:$A$20,0)),"")</f>
        <v/>
      </c>
    </row>
    <row r="14">
      <c r="D14">
        <f>Carteira!A14</f>
        <v/>
      </c>
      <c r="F14">
        <f>IF(AND(Carteira!AC14=1,OR(Carteira!C14&gt;0,SUMIFS(Carteira!$C$5:$C$20,Carteira!$AC$5:$AC$20,1)=0)),N(Carteira!G14)+ROW()/1E9,"")</f>
        <v/>
      </c>
      <c r="G14">
        <f>IFERROR(INDEX($D$5:$D$20,MATCH(LARGE($F$5:$F$20,10),$F$5:$F$20,0)),"")</f>
        <v/>
      </c>
      <c r="H14" s="200">
        <f>IFERROR(INDEX(Carteira!$G$5:$G$20,MATCH(G14,Carteira!$A$5:$A$20,0)),"")</f>
        <v/>
      </c>
      <c r="J14">
        <f>IF(AND(Carteira!AC14=1,OR(Carteira!C14&gt;0,SUMIFS(Carteira!$C$5:$C$20,Carteira!$AC$5:$AC$20,1)=0)),N(Carteira!I14)+ROW()/1E9,"")</f>
        <v/>
      </c>
      <c r="K14">
        <f>IFERROR(INDEX($D$5:$D$20,MATCH(LARGE($J$5:$J$20,10),$J$5:$J$20,0)),"")</f>
        <v/>
      </c>
      <c r="L14" s="201">
        <f>IFERROR(INDEX(Carteira!$I$5:$I$20,MATCH(K14,Carteira!$A$5:$A$20,0)),"")</f>
        <v/>
      </c>
      <c r="M14" s="202">
        <f>IFERROR(INDEX(Carteira!$H$5:$H$20,MATCH(K14,Carteira!$A$5:$A$20,0)),"")</f>
        <v/>
      </c>
      <c r="O14">
        <f>IF(AND(Carteira!AC14=1,OR(Carteira!C14&gt;0,SUMIFS(Carteira!$C$5:$C$20,Carteira!$AC$5:$AC$20,1)=0)),N(Carteira!I14)+ROW()/1E9,"")</f>
        <v/>
      </c>
      <c r="P14">
        <f>IFERROR(INDEX($D$5:$D$20,MATCH(SMALL($O$5:$O$20,10),$O$5:$O$20,0)),"")</f>
        <v/>
      </c>
      <c r="Q14" s="201">
        <f>IFERROR(INDEX(Carteira!$I$5:$I$20,MATCH(P14,Carteira!$A$5:$A$20,0)),"")</f>
        <v/>
      </c>
      <c r="R14" s="202">
        <f>IFERROR(INDEX(Carteira!$H$5:$H$20,MATCH(P14,Carteira!$A$5:$A$20,0)),"")</f>
        <v/>
      </c>
      <c r="T14">
        <f>IF(AND(Carteira!AC14=1,OR(Carteira!C14&gt;0,SUMIFS(Carteira!$C$5:$C$20,Carteira!$AC$5:$AC$20,1)=0)),N(Carteira!W14)+ROW()/1E9,"")</f>
        <v/>
      </c>
      <c r="U14">
        <f>IFERROR(INDEX($D$5:$D$20,MATCH(LARGE($T$5:$T$20,10),$T$5:$T$20,0)),"")</f>
        <v/>
      </c>
      <c r="V14" s="203">
        <f>IFERROR(INDEX(Carteira!$W$5:$W$20,MATCH(U14,Carteira!$A$5:$A$20,0)),"")</f>
        <v/>
      </c>
      <c r="X14">
        <f>IF(AND(Carteira!AC14=1,OR(Carteira!C14&gt;0,SUMIFS(Carteira!$C$5:$C$20,Carteira!$AC$5:$AC$20,1)=0)),N(Carteira!J14)+ROW()/1E9,"")</f>
        <v/>
      </c>
      <c r="Y14">
        <f>IFERROR(INDEX($D$5:$D$20,MATCH(LARGE($X$5:$X$20,10),$X$5:$X$20,0)),"")</f>
        <v/>
      </c>
      <c r="Z14" s="200">
        <f>IFERROR(INDEX(Carteira!$J$5:$J$20,MATCH(Y14,Carteira!$A$5:$A$20,0)),"")</f>
        <v/>
      </c>
    </row>
    <row r="15">
      <c r="D15">
        <f>Carteira!A15</f>
        <v/>
      </c>
      <c r="F15">
        <f>IF(AND(Carteira!AC15=1,OR(Carteira!C15&gt;0,SUMIFS(Carteira!$C$5:$C$20,Carteira!$AC$5:$AC$20,1)=0)),N(Carteira!G15)+ROW()/1E9,"")</f>
        <v/>
      </c>
      <c r="G15">
        <f>IFERROR(INDEX($D$5:$D$20,MATCH(LARGE($F$5:$F$20,11),$F$5:$F$20,0)),"")</f>
        <v/>
      </c>
      <c r="H15" s="200">
        <f>IFERROR(INDEX(Carteira!$G$5:$G$20,MATCH(G15,Carteira!$A$5:$A$20,0)),"")</f>
        <v/>
      </c>
      <c r="J15">
        <f>IF(AND(Carteira!AC15=1,OR(Carteira!C15&gt;0,SUMIFS(Carteira!$C$5:$C$20,Carteira!$AC$5:$AC$20,1)=0)),N(Carteira!I15)+ROW()/1E9,"")</f>
        <v/>
      </c>
      <c r="K15">
        <f>IFERROR(INDEX($D$5:$D$20,MATCH(LARGE($J$5:$J$20,11),$J$5:$J$20,0)),"")</f>
        <v/>
      </c>
      <c r="L15" s="201">
        <f>IFERROR(INDEX(Carteira!$I$5:$I$20,MATCH(K15,Carteira!$A$5:$A$20,0)),"")</f>
        <v/>
      </c>
      <c r="M15" s="202">
        <f>IFERROR(INDEX(Carteira!$H$5:$H$20,MATCH(K15,Carteira!$A$5:$A$20,0)),"")</f>
        <v/>
      </c>
      <c r="O15">
        <f>IF(AND(Carteira!AC15=1,OR(Carteira!C15&gt;0,SUMIFS(Carteira!$C$5:$C$20,Carteira!$AC$5:$AC$20,1)=0)),N(Carteira!I15)+ROW()/1E9,"")</f>
        <v/>
      </c>
      <c r="P15">
        <f>IFERROR(INDEX($D$5:$D$20,MATCH(SMALL($O$5:$O$20,11),$O$5:$O$20,0)),"")</f>
        <v/>
      </c>
      <c r="Q15" s="201">
        <f>IFERROR(INDEX(Carteira!$I$5:$I$20,MATCH(P15,Carteira!$A$5:$A$20,0)),"")</f>
        <v/>
      </c>
      <c r="R15" s="202">
        <f>IFERROR(INDEX(Carteira!$H$5:$H$20,MATCH(P15,Carteira!$A$5:$A$20,0)),"")</f>
        <v/>
      </c>
      <c r="T15">
        <f>IF(AND(Carteira!AC15=1,OR(Carteira!C15&gt;0,SUMIFS(Carteira!$C$5:$C$20,Carteira!$AC$5:$AC$20,1)=0)),N(Carteira!W15)+ROW()/1E9,"")</f>
        <v/>
      </c>
      <c r="U15">
        <f>IFERROR(INDEX($D$5:$D$20,MATCH(LARGE($T$5:$T$20,11),$T$5:$T$20,0)),"")</f>
        <v/>
      </c>
      <c r="V15" s="203">
        <f>IFERROR(INDEX(Carteira!$W$5:$W$20,MATCH(U15,Carteira!$A$5:$A$20,0)),"")</f>
        <v/>
      </c>
      <c r="X15">
        <f>IF(AND(Carteira!AC15=1,OR(Carteira!C15&gt;0,SUMIFS(Carteira!$C$5:$C$20,Carteira!$AC$5:$AC$20,1)=0)),N(Carteira!J15)+ROW()/1E9,"")</f>
        <v/>
      </c>
      <c r="Y15">
        <f>IFERROR(INDEX($D$5:$D$20,MATCH(LARGE($X$5:$X$20,11),$X$5:$X$20,0)),"")</f>
        <v/>
      </c>
      <c r="Z15" s="200">
        <f>IFERROR(INDEX(Carteira!$J$5:$J$20,MATCH(Y15,Carteira!$A$5:$A$20,0)),"")</f>
        <v/>
      </c>
    </row>
    <row r="16">
      <c r="A16" t="inlineStr">
        <is>
          <t>Tipo</t>
        </is>
      </c>
      <c r="B16" t="inlineStr">
        <is>
          <t>Posição</t>
        </is>
      </c>
      <c r="D16">
        <f>Carteira!A16</f>
        <v/>
      </c>
      <c r="F16">
        <f>IF(AND(Carteira!AC16=1,OR(Carteira!C16&gt;0,SUMIFS(Carteira!$C$5:$C$20,Carteira!$AC$5:$AC$20,1)=0)),N(Carteira!G16)+ROW()/1E9,"")</f>
        <v/>
      </c>
      <c r="G16">
        <f>IFERROR(INDEX($D$5:$D$20,MATCH(LARGE($F$5:$F$20,12),$F$5:$F$20,0)),"")</f>
        <v/>
      </c>
      <c r="H16" s="200">
        <f>IFERROR(INDEX(Carteira!$G$5:$G$20,MATCH(G16,Carteira!$A$5:$A$20,0)),"")</f>
        <v/>
      </c>
      <c r="J16">
        <f>IF(AND(Carteira!AC16=1,OR(Carteira!C16&gt;0,SUMIFS(Carteira!$C$5:$C$20,Carteira!$AC$5:$AC$20,1)=0)),N(Carteira!I16)+ROW()/1E9,"")</f>
        <v/>
      </c>
      <c r="K16">
        <f>IFERROR(INDEX($D$5:$D$20,MATCH(LARGE($J$5:$J$20,12),$J$5:$J$20,0)),"")</f>
        <v/>
      </c>
      <c r="L16" s="201">
        <f>IFERROR(INDEX(Carteira!$I$5:$I$20,MATCH(K16,Carteira!$A$5:$A$20,0)),"")</f>
        <v/>
      </c>
      <c r="M16" s="202">
        <f>IFERROR(INDEX(Carteira!$H$5:$H$20,MATCH(K16,Carteira!$A$5:$A$20,0)),"")</f>
        <v/>
      </c>
      <c r="O16">
        <f>IF(AND(Carteira!AC16=1,OR(Carteira!C16&gt;0,SUMIFS(Carteira!$C$5:$C$20,Carteira!$AC$5:$AC$20,1)=0)),N(Carteira!I16)+ROW()/1E9,"")</f>
        <v/>
      </c>
      <c r="P16">
        <f>IFERROR(INDEX($D$5:$D$20,MATCH(SMALL($O$5:$O$20,12),$O$5:$O$20,0)),"")</f>
        <v/>
      </c>
      <c r="Q16" s="201">
        <f>IFERROR(INDEX(Carteira!$I$5:$I$20,MATCH(P16,Carteira!$A$5:$A$20,0)),"")</f>
        <v/>
      </c>
      <c r="R16" s="202">
        <f>IFERROR(INDEX(Carteira!$H$5:$H$20,MATCH(P16,Carteira!$A$5:$A$20,0)),"")</f>
        <v/>
      </c>
      <c r="T16">
        <f>IF(AND(Carteira!AC16=1,OR(Carteira!C16&gt;0,SUMIFS(Carteira!$C$5:$C$20,Carteira!$AC$5:$AC$20,1)=0)),N(Carteira!W16)+ROW()/1E9,"")</f>
        <v/>
      </c>
      <c r="U16">
        <f>IFERROR(INDEX($D$5:$D$20,MATCH(LARGE($T$5:$T$20,12),$T$5:$T$20,0)),"")</f>
        <v/>
      </c>
      <c r="V16" s="203">
        <f>IFERROR(INDEX(Carteira!$W$5:$W$20,MATCH(U16,Carteira!$A$5:$A$20,0)),"")</f>
        <v/>
      </c>
      <c r="X16">
        <f>IF(AND(Carteira!AC16=1,OR(Carteira!C16&gt;0,SUMIFS(Carteira!$C$5:$C$20,Carteira!$AC$5:$AC$20,1)=0)),N(Carteira!J16)+ROW()/1E9,"")</f>
        <v/>
      </c>
      <c r="Y16">
        <f>IFERROR(INDEX($D$5:$D$20,MATCH(LARGE($X$5:$X$20,12),$X$5:$X$20,0)),"")</f>
        <v/>
      </c>
      <c r="Z16" s="200">
        <f>IFERROR(INDEX(Carteira!$J$5:$J$20,MATCH(Y16,Carteira!$A$5:$A$20,0)),"")</f>
        <v/>
      </c>
    </row>
    <row r="17">
      <c r="A17" t="inlineStr">
        <is>
          <t>Ações</t>
        </is>
      </c>
      <c r="B17" s="200">
        <f>Carteira!G23</f>
        <v/>
      </c>
      <c r="D17">
        <f>Carteira!A17</f>
        <v/>
      </c>
      <c r="F17">
        <f>IF(AND(Carteira!AC17=1,OR(Carteira!C17&gt;0,SUMIFS(Carteira!$C$5:$C$20,Carteira!$AC$5:$AC$20,1)=0)),N(Carteira!G17)+ROW()/1E9,"")</f>
        <v/>
      </c>
      <c r="G17">
        <f>IFERROR(INDEX($D$5:$D$20,MATCH(LARGE($F$5:$F$20,13),$F$5:$F$20,0)),"")</f>
        <v/>
      </c>
      <c r="H17" s="200">
        <f>IFERROR(INDEX(Carteira!$G$5:$G$20,MATCH(G17,Carteira!$A$5:$A$20,0)),"")</f>
        <v/>
      </c>
      <c r="J17">
        <f>IF(AND(Carteira!AC17=1,OR(Carteira!C17&gt;0,SUMIFS(Carteira!$C$5:$C$20,Carteira!$AC$5:$AC$20,1)=0)),N(Carteira!I17)+ROW()/1E9,"")</f>
        <v/>
      </c>
      <c r="K17">
        <f>IFERROR(INDEX($D$5:$D$20,MATCH(LARGE($J$5:$J$20,13),$J$5:$J$20,0)),"")</f>
        <v/>
      </c>
      <c r="L17" s="201">
        <f>IFERROR(INDEX(Carteira!$I$5:$I$20,MATCH(K17,Carteira!$A$5:$A$20,0)),"")</f>
        <v/>
      </c>
      <c r="M17" s="202">
        <f>IFERROR(INDEX(Carteira!$H$5:$H$20,MATCH(K17,Carteira!$A$5:$A$20,0)),"")</f>
        <v/>
      </c>
      <c r="O17">
        <f>IF(AND(Carteira!AC17=1,OR(Carteira!C17&gt;0,SUMIFS(Carteira!$C$5:$C$20,Carteira!$AC$5:$AC$20,1)=0)),N(Carteira!I17)+ROW()/1E9,"")</f>
        <v/>
      </c>
      <c r="P17">
        <f>IFERROR(INDEX($D$5:$D$20,MATCH(SMALL($O$5:$O$20,13),$O$5:$O$20,0)),"")</f>
        <v/>
      </c>
      <c r="Q17" s="201">
        <f>IFERROR(INDEX(Carteira!$I$5:$I$20,MATCH(P17,Carteira!$A$5:$A$20,0)),"")</f>
        <v/>
      </c>
      <c r="R17" s="202">
        <f>IFERROR(INDEX(Carteira!$H$5:$H$20,MATCH(P17,Carteira!$A$5:$A$20,0)),"")</f>
        <v/>
      </c>
      <c r="T17">
        <f>IF(AND(Carteira!AC17=1,OR(Carteira!C17&gt;0,SUMIFS(Carteira!$C$5:$C$20,Carteira!$AC$5:$AC$20,1)=0)),N(Carteira!W17)+ROW()/1E9,"")</f>
        <v/>
      </c>
      <c r="U17">
        <f>IFERROR(INDEX($D$5:$D$20,MATCH(LARGE($T$5:$T$20,13),$T$5:$T$20,0)),"")</f>
        <v/>
      </c>
      <c r="V17" s="203">
        <f>IFERROR(INDEX(Carteira!$W$5:$W$20,MATCH(U17,Carteira!$A$5:$A$20,0)),"")</f>
        <v/>
      </c>
      <c r="X17">
        <f>IF(AND(Carteira!AC17=1,OR(Carteira!C17&gt;0,SUMIFS(Carteira!$C$5:$C$20,Carteira!$AC$5:$AC$20,1)=0)),N(Carteira!J17)+ROW()/1E9,"")</f>
        <v/>
      </c>
      <c r="Y17">
        <f>IFERROR(INDEX($D$5:$D$20,MATCH(LARGE($X$5:$X$20,13),$X$5:$X$20,0)),"")</f>
        <v/>
      </c>
      <c r="Z17" s="200">
        <f>IFERROR(INDEX(Carteira!$J$5:$J$20,MATCH(Y17,Carteira!$A$5:$A$20,0)),"")</f>
        <v/>
      </c>
    </row>
    <row r="18">
      <c r="A18" t="inlineStr">
        <is>
          <t>FIIs</t>
        </is>
      </c>
      <c r="B18" s="200">
        <f>Carteira!G24</f>
        <v/>
      </c>
      <c r="D18">
        <f>Carteira!A18</f>
        <v/>
      </c>
      <c r="F18">
        <f>IF(AND(Carteira!AC18=1,OR(Carteira!C18&gt;0,SUMIFS(Carteira!$C$5:$C$20,Carteira!$AC$5:$AC$20,1)=0)),N(Carteira!G18)+ROW()/1E9,"")</f>
        <v/>
      </c>
      <c r="G18">
        <f>IFERROR(INDEX($D$5:$D$20,MATCH(LARGE($F$5:$F$20,14),$F$5:$F$20,0)),"")</f>
        <v/>
      </c>
      <c r="H18" s="200">
        <f>IFERROR(INDEX(Carteira!$G$5:$G$20,MATCH(G18,Carteira!$A$5:$A$20,0)),"")</f>
        <v/>
      </c>
      <c r="J18">
        <f>IF(AND(Carteira!AC18=1,OR(Carteira!C18&gt;0,SUMIFS(Carteira!$C$5:$C$20,Carteira!$AC$5:$AC$20,1)=0)),N(Carteira!I18)+ROW()/1E9,"")</f>
        <v/>
      </c>
      <c r="K18">
        <f>IFERROR(INDEX($D$5:$D$20,MATCH(LARGE($J$5:$J$20,14),$J$5:$J$20,0)),"")</f>
        <v/>
      </c>
      <c r="L18" s="201">
        <f>IFERROR(INDEX(Carteira!$I$5:$I$20,MATCH(K18,Carteira!$A$5:$A$20,0)),"")</f>
        <v/>
      </c>
      <c r="M18" s="202">
        <f>IFERROR(INDEX(Carteira!$H$5:$H$20,MATCH(K18,Carteira!$A$5:$A$20,0)),"")</f>
        <v/>
      </c>
      <c r="O18">
        <f>IF(AND(Carteira!AC18=1,OR(Carteira!C18&gt;0,SUMIFS(Carteira!$C$5:$C$20,Carteira!$AC$5:$AC$20,1)=0)),N(Carteira!I18)+ROW()/1E9,"")</f>
        <v/>
      </c>
      <c r="P18">
        <f>IFERROR(INDEX($D$5:$D$20,MATCH(SMALL($O$5:$O$20,14),$O$5:$O$20,0)),"")</f>
        <v/>
      </c>
      <c r="Q18" s="201">
        <f>IFERROR(INDEX(Carteira!$I$5:$I$20,MATCH(P18,Carteira!$A$5:$A$20,0)),"")</f>
        <v/>
      </c>
      <c r="R18" s="202">
        <f>IFERROR(INDEX(Carteira!$H$5:$H$20,MATCH(P18,Carteira!$A$5:$A$20,0)),"")</f>
        <v/>
      </c>
      <c r="T18">
        <f>IF(AND(Carteira!AC18=1,OR(Carteira!C18&gt;0,SUMIFS(Carteira!$C$5:$C$20,Carteira!$AC$5:$AC$20,1)=0)),N(Carteira!W18)+ROW()/1E9,"")</f>
        <v/>
      </c>
      <c r="U18">
        <f>IFERROR(INDEX($D$5:$D$20,MATCH(LARGE($T$5:$T$20,14),$T$5:$T$20,0)),"")</f>
        <v/>
      </c>
      <c r="V18" s="203">
        <f>IFERROR(INDEX(Carteira!$W$5:$W$20,MATCH(U18,Carteira!$A$5:$A$20,0)),"")</f>
        <v/>
      </c>
      <c r="X18">
        <f>IF(AND(Carteira!AC18=1,OR(Carteira!C18&gt;0,SUMIFS(Carteira!$C$5:$C$20,Carteira!$AC$5:$AC$20,1)=0)),N(Carteira!J18)+ROW()/1E9,"")</f>
        <v/>
      </c>
      <c r="Y18">
        <f>IFERROR(INDEX($D$5:$D$20,MATCH(LARGE($X$5:$X$20,14),$X$5:$X$20,0)),"")</f>
        <v/>
      </c>
      <c r="Z18" s="200">
        <f>IFERROR(INDEX(Carteira!$J$5:$J$20,MATCH(Y18,Carteira!$A$5:$A$20,0)),"")</f>
        <v/>
      </c>
    </row>
    <row r="19">
      <c r="D19">
        <f>Carteira!A19</f>
        <v/>
      </c>
      <c r="F19">
        <f>IF(AND(Carteira!AC19=1,OR(Carteira!C19&gt;0,SUMIFS(Carteira!$C$5:$C$20,Carteira!$AC$5:$AC$20,1)=0)),N(Carteira!G19)+ROW()/1E9,"")</f>
        <v/>
      </c>
      <c r="G19">
        <f>IFERROR(INDEX($D$5:$D$20,MATCH(LARGE($F$5:$F$20,15),$F$5:$F$20,0)),"")</f>
        <v/>
      </c>
      <c r="H19" s="200">
        <f>IFERROR(INDEX(Carteira!$G$5:$G$20,MATCH(G19,Carteira!$A$5:$A$20,0)),"")</f>
        <v/>
      </c>
      <c r="J19">
        <f>IF(AND(Carteira!AC19=1,OR(Carteira!C19&gt;0,SUMIFS(Carteira!$C$5:$C$20,Carteira!$AC$5:$AC$20,1)=0)),N(Carteira!I19)+ROW()/1E9,"")</f>
        <v/>
      </c>
      <c r="K19">
        <f>IFERROR(INDEX($D$5:$D$20,MATCH(LARGE($J$5:$J$20,15),$J$5:$J$20,0)),"")</f>
        <v/>
      </c>
      <c r="L19" s="201">
        <f>IFERROR(INDEX(Carteira!$I$5:$I$20,MATCH(K19,Carteira!$A$5:$A$20,0)),"")</f>
        <v/>
      </c>
      <c r="M19" s="202">
        <f>IFERROR(INDEX(Carteira!$H$5:$H$20,MATCH(K19,Carteira!$A$5:$A$20,0)),"")</f>
        <v/>
      </c>
      <c r="O19">
        <f>IF(AND(Carteira!AC19=1,OR(Carteira!C19&gt;0,SUMIFS(Carteira!$C$5:$C$20,Carteira!$AC$5:$AC$20,1)=0)),N(Carteira!I19)+ROW()/1E9,"")</f>
        <v/>
      </c>
      <c r="P19">
        <f>IFERROR(INDEX($D$5:$D$20,MATCH(SMALL($O$5:$O$20,15),$O$5:$O$20,0)),"")</f>
        <v/>
      </c>
      <c r="Q19" s="201">
        <f>IFERROR(INDEX(Carteira!$I$5:$I$20,MATCH(P19,Carteira!$A$5:$A$20,0)),"")</f>
        <v/>
      </c>
      <c r="R19" s="202">
        <f>IFERROR(INDEX(Carteira!$H$5:$H$20,MATCH(P19,Carteira!$A$5:$A$20,0)),"")</f>
        <v/>
      </c>
      <c r="T19">
        <f>IF(AND(Carteira!AC19=1,OR(Carteira!C19&gt;0,SUMIFS(Carteira!$C$5:$C$20,Carteira!$AC$5:$AC$20,1)=0)),N(Carteira!W19)+ROW()/1E9,"")</f>
        <v/>
      </c>
      <c r="U19">
        <f>IFERROR(INDEX($D$5:$D$20,MATCH(LARGE($T$5:$T$20,15),$T$5:$T$20,0)),"")</f>
        <v/>
      </c>
      <c r="V19" s="203">
        <f>IFERROR(INDEX(Carteira!$W$5:$W$20,MATCH(U19,Carteira!$A$5:$A$20,0)),"")</f>
        <v/>
      </c>
      <c r="X19">
        <f>IF(AND(Carteira!AC19=1,OR(Carteira!C19&gt;0,SUMIFS(Carteira!$C$5:$C$20,Carteira!$AC$5:$AC$20,1)=0)),N(Carteira!J19)+ROW()/1E9,"")</f>
        <v/>
      </c>
      <c r="Y19">
        <f>IFERROR(INDEX($D$5:$D$20,MATCH(LARGE($X$5:$X$20,15),$X$5:$X$20,0)),"")</f>
        <v/>
      </c>
      <c r="Z19" s="200">
        <f>IFERROR(INDEX(Carteira!$J$5:$J$20,MATCH(Y19,Carteira!$A$5:$A$20,0)),"")</f>
        <v/>
      </c>
    </row>
    <row r="20">
      <c r="D20">
        <f>Carteira!A20</f>
        <v/>
      </c>
      <c r="F20">
        <f>IF(AND(Carteira!AC20=1,OR(Carteira!C20&gt;0,SUMIFS(Carteira!$C$5:$C$20,Carteira!$AC$5:$AC$20,1)=0)),N(Carteira!G20)+ROW()/1E9,"")</f>
        <v/>
      </c>
      <c r="G20">
        <f>IFERROR(INDEX($D$5:$D$20,MATCH(LARGE($F$5:$F$20,16),$F$5:$F$20,0)),"")</f>
        <v/>
      </c>
      <c r="H20" s="200">
        <f>IFERROR(INDEX(Carteira!$G$5:$G$20,MATCH(G20,Carteira!$A$5:$A$20,0)),"")</f>
        <v/>
      </c>
      <c r="J20">
        <f>IF(AND(Carteira!AC20=1,OR(Carteira!C20&gt;0,SUMIFS(Carteira!$C$5:$C$20,Carteira!$AC$5:$AC$20,1)=0)),N(Carteira!I20)+ROW()/1E9,"")</f>
        <v/>
      </c>
      <c r="K20">
        <f>IFERROR(INDEX($D$5:$D$20,MATCH(LARGE($J$5:$J$20,16),$J$5:$J$20,0)),"")</f>
        <v/>
      </c>
      <c r="L20" s="201">
        <f>IFERROR(INDEX(Carteira!$I$5:$I$20,MATCH(K20,Carteira!$A$5:$A$20,0)),"")</f>
        <v/>
      </c>
      <c r="M20" s="202">
        <f>IFERROR(INDEX(Carteira!$H$5:$H$20,MATCH(K20,Carteira!$A$5:$A$20,0)),"")</f>
        <v/>
      </c>
      <c r="O20">
        <f>IF(AND(Carteira!AC20=1,OR(Carteira!C20&gt;0,SUMIFS(Carteira!$C$5:$C$20,Carteira!$AC$5:$AC$20,1)=0)),N(Carteira!I20)+ROW()/1E9,"")</f>
        <v/>
      </c>
      <c r="P20">
        <f>IFERROR(INDEX($D$5:$D$20,MATCH(SMALL($O$5:$O$20,16),$O$5:$O$20,0)),"")</f>
        <v/>
      </c>
      <c r="Q20" s="201">
        <f>IFERROR(INDEX(Carteira!$I$5:$I$20,MATCH(P20,Carteira!$A$5:$A$20,0)),"")</f>
        <v/>
      </c>
      <c r="R20" s="202">
        <f>IFERROR(INDEX(Carteira!$H$5:$H$20,MATCH(P20,Carteira!$A$5:$A$20,0)),"")</f>
        <v/>
      </c>
      <c r="T20">
        <f>IF(AND(Carteira!AC20=1,OR(Carteira!C20&gt;0,SUMIFS(Carteira!$C$5:$C$20,Carteira!$AC$5:$AC$20,1)=0)),N(Carteira!W20)+ROW()/1E9,"")</f>
        <v/>
      </c>
      <c r="U20">
        <f>IFERROR(INDEX($D$5:$D$20,MATCH(LARGE($T$5:$T$20,16),$T$5:$T$20,0)),"")</f>
        <v/>
      </c>
      <c r="V20" s="203">
        <f>IFERROR(INDEX(Carteira!$W$5:$W$20,MATCH(U20,Carteira!$A$5:$A$20,0)),"")</f>
        <v/>
      </c>
      <c r="X20">
        <f>IF(AND(Carteira!AC20=1,OR(Carteira!C20&gt;0,SUMIFS(Carteira!$C$5:$C$20,Carteira!$AC$5:$AC$20,1)=0)),N(Carteira!J20)+ROW()/1E9,"")</f>
        <v/>
      </c>
      <c r="Y20">
        <f>IFERROR(INDEX($D$5:$D$20,MATCH(LARGE($X$5:$X$20,16),$X$5:$X$20,0)),"")</f>
        <v/>
      </c>
      <c r="Z20" s="200">
        <f>IFERROR(INDEX(Carteira!$J$5:$J$20,MATCH(Y20,Carteira!$A$5:$A$20,0)),"")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Gestão de Investimentos</dc:creator>
  <dcterms:created xmlns:dcterms="http://purl.org/dc/terms/" xmlns:xsi="http://www.w3.org/2001/XMLSchema-instance" xsi:type="dcterms:W3CDTF">2026-10-01T21:27:32Z</dcterms:created>
  <dcterms:modified xmlns:dcterms="http://purl.org/dc/terms/" xmlns:xsi="http://www.w3.org/2001/XMLSchema-instance" xsi:type="dcterms:W3CDTF">2026-10-01T21:27:33Z</dcterms:modified>
</cp:coreProperties>
</file>