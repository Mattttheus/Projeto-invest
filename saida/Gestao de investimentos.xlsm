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amp64.1\www\Projeto invest\saida\"/>
    </mc:Choice>
  </mc:AlternateContent>
  <xr:revisionPtr revIDLastSave="0" documentId="13_ncr:1_{2AAC36F8-63AD-4B30-8524-DB9E3D9A0F76}" xr6:coauthVersionLast="47" xr6:coauthVersionMax="47" xr10:uidLastSave="{00000000-0000-0000-0000-000000000000}"/>
  <bookViews>
    <workbookView xWindow="780" yWindow="780" windowWidth="15375" windowHeight="7785" xr2:uid="{00000000-000D-0000-FFFF-FFFF00000000}"/>
  </bookViews>
  <sheets>
    <sheet name="Painel" sheetId="1" r:id="rId1"/>
    <sheet name="Carteira" sheetId="2" r:id="rId2"/>
    <sheet name="Análises" sheetId="3" r:id="rId3"/>
    <sheet name="Cadastro" sheetId="4" r:id="rId4"/>
    <sheet name="Ativos" sheetId="5" state="hidden" r:id="rId5"/>
    <sheet name="Lançamentos" sheetId="6" r:id="rId6"/>
    <sheet name="Proventos" sheetId="7" r:id="rId7"/>
    <sheet name="Premissas" sheetId="8" r:id="rId8"/>
    <sheet name="Verificar" sheetId="9" r:id="rId9"/>
    <sheet name="Base Painel" sheetId="10" state="hidden" r:id="rId10"/>
  </sheets>
  <definedNames>
    <definedName name="APORTE_MENSAL">Premissas!$B$6</definedName>
    <definedName name="_xlnm.Print_Area" localSheetId="2">Análises!$A$1:$C$5</definedName>
    <definedName name="_xlnm.Print_Area" localSheetId="3">Cadastro!$A$1:$L$28</definedName>
    <definedName name="_xlnm.Print_Area" localSheetId="1">Carteira!$A$1:$AB$29</definedName>
    <definedName name="_xlnm.Print_Area" localSheetId="5">Lançamentos!$A$1:$G$4</definedName>
    <definedName name="_xlnm.Print_Area" localSheetId="0">Painel!$A$1:$AF$90</definedName>
    <definedName name="_xlnm.Print_Area" localSheetId="7">Premissas!$A$1:$C$13</definedName>
    <definedName name="_xlnm.Print_Area" localSheetId="6">Proventos!$A$1:$F$4</definedName>
    <definedName name="_xlnm.Print_Area" localSheetId="8">Verificar!$A$1:$C$5</definedName>
    <definedName name="lc_apos">Cadastro!$C$23</definedName>
    <definedName name="lc_ativo">Cadastro!$C$15</definedName>
    <definedName name="lc_cot">Cadastro!$C$16</definedName>
    <definedName name="lc_custos">Cadastro!$C$13</definedName>
    <definedName name="lc_data">Cadastro!$C$8</definedName>
    <definedName name="lc_op">Cadastro!$C$10</definedName>
    <definedName name="lc_preco">Cadastro!$C$12</definedName>
    <definedName name="lc_qtd">Cadastro!$C$11</definedName>
    <definedName name="lc_seg">Cadastro!$C$20</definedName>
    <definedName name="lc_status">Cadastro!$B$24</definedName>
    <definedName name="lc_tem">Cadastro!$C$17</definedName>
    <definedName name="lc_ticker">Cadastro!$C$9</definedName>
    <definedName name="lc_tipo">Cadastro!$C$19</definedName>
    <definedName name="lc_total">Cadastro!$C$22</definedName>
    <definedName name="META_MENSAL">Premissas!$B$5</definedName>
    <definedName name="OUTRAS_CLASSES">Premissas!$B$11:$B$13</definedName>
    <definedName name="PESO_RV">Premissas!$B$7</definedName>
    <definedName name="pv_data">Cadastro!$F$8</definedName>
    <definedName name="pv_qtd">Cadastro!$F$12</definedName>
    <definedName name="pv_status">Cadastro!$E$16</definedName>
    <definedName name="pv_tem">Cadastro!$F$14</definedName>
    <definedName name="pv_ticker">Cadastro!$F$9</definedName>
    <definedName name="pv_tipo">Cadastro!$F$10</definedName>
    <definedName name="pv_total">Cadastro!$F$15</definedName>
    <definedName name="pv_valor">Cadastro!$F$11</definedName>
    <definedName name="SegmentaçãodeDados_Tipo">#N/A</definedName>
  </definedNames>
  <calcPr calcId="191029"/>
  <pivotCaches>
    <pivotCache cacheId="7" r:id="rId11"/>
    <pivotCache cacheId="12" r:id="rId12"/>
    <pivotCache cacheId="17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0" l="1"/>
  <c r="B13" i="10" s="1"/>
  <c r="A12" i="10"/>
  <c r="B12" i="10" s="1"/>
  <c r="A11" i="10"/>
  <c r="B11" i="10" s="1"/>
  <c r="A10" i="10"/>
  <c r="B10" i="10" s="1"/>
  <c r="A9" i="10"/>
  <c r="B9" i="10" s="1"/>
  <c r="A8" i="10"/>
  <c r="B8" i="10" s="1"/>
  <c r="A7" i="10"/>
  <c r="B7" i="10" s="1"/>
  <c r="A6" i="10"/>
  <c r="B6" i="10" s="1"/>
  <c r="A5" i="10"/>
  <c r="B5" i="10" s="1"/>
  <c r="A4" i="10"/>
  <c r="B4" i="10" s="1"/>
  <c r="A3" i="10"/>
  <c r="B3" i="10" s="1"/>
  <c r="A2" i="10"/>
  <c r="B2" i="10" s="1"/>
  <c r="F21" i="5"/>
  <c r="L23" i="4"/>
  <c r="K23" i="4"/>
  <c r="J23" i="4"/>
  <c r="I23" i="4"/>
  <c r="H23" i="4"/>
  <c r="C23" i="4"/>
  <c r="L22" i="4"/>
  <c r="K22" i="4"/>
  <c r="J22" i="4"/>
  <c r="I22" i="4"/>
  <c r="H22" i="4"/>
  <c r="C22" i="4"/>
  <c r="L21" i="4"/>
  <c r="K21" i="4"/>
  <c r="J21" i="4"/>
  <c r="I21" i="4"/>
  <c r="H21" i="4"/>
  <c r="L20" i="4"/>
  <c r="K20" i="4"/>
  <c r="J20" i="4"/>
  <c r="I20" i="4"/>
  <c r="H20" i="4"/>
  <c r="L19" i="4"/>
  <c r="K19" i="4"/>
  <c r="J19" i="4"/>
  <c r="I19" i="4"/>
  <c r="H19" i="4"/>
  <c r="L18" i="4"/>
  <c r="K18" i="4"/>
  <c r="J18" i="4"/>
  <c r="I18" i="4"/>
  <c r="H18" i="4"/>
  <c r="L17" i="4"/>
  <c r="K17" i="4"/>
  <c r="J17" i="4"/>
  <c r="I17" i="4"/>
  <c r="H17" i="4"/>
  <c r="C17" i="4"/>
  <c r="L16" i="4"/>
  <c r="K16" i="4"/>
  <c r="J16" i="4"/>
  <c r="I16" i="4"/>
  <c r="H16" i="4"/>
  <c r="C16" i="4"/>
  <c r="L15" i="4"/>
  <c r="K15" i="4"/>
  <c r="J15" i="4"/>
  <c r="I15" i="4"/>
  <c r="H15" i="4"/>
  <c r="F15" i="4"/>
  <c r="C15" i="4"/>
  <c r="L14" i="4"/>
  <c r="K14" i="4"/>
  <c r="J14" i="4"/>
  <c r="I14" i="4"/>
  <c r="H14" i="4"/>
  <c r="F14" i="4"/>
  <c r="L13" i="4"/>
  <c r="K13" i="4"/>
  <c r="J13" i="4"/>
  <c r="I13" i="4"/>
  <c r="H13" i="4"/>
  <c r="L12" i="4"/>
  <c r="K12" i="4"/>
  <c r="J12" i="4"/>
  <c r="I12" i="4"/>
  <c r="H12" i="4"/>
  <c r="L11" i="4"/>
  <c r="K11" i="4"/>
  <c r="J11" i="4"/>
  <c r="I11" i="4"/>
  <c r="H11" i="4"/>
  <c r="L10" i="4"/>
  <c r="K10" i="4"/>
  <c r="J10" i="4"/>
  <c r="I10" i="4"/>
  <c r="H10" i="4"/>
  <c r="L9" i="4"/>
  <c r="K9" i="4"/>
  <c r="J9" i="4"/>
  <c r="I9" i="4"/>
  <c r="H9" i="4"/>
  <c r="AB20" i="2"/>
  <c r="U20" i="2"/>
  <c r="X20" i="2" s="1"/>
  <c r="T20" i="2"/>
  <c r="O20" i="2" s="1"/>
  <c r="Q20" i="2"/>
  <c r="F20" i="2"/>
  <c r="B20" i="2"/>
  <c r="A20" i="2"/>
  <c r="C20" i="2" s="1"/>
  <c r="G20" i="2" s="1"/>
  <c r="AB19" i="2"/>
  <c r="T19" i="2"/>
  <c r="U19" i="2" s="1"/>
  <c r="X19" i="2" s="1"/>
  <c r="Q19" i="2"/>
  <c r="F19" i="2"/>
  <c r="O19" i="2" s="1"/>
  <c r="D19" i="2"/>
  <c r="N19" i="2" s="1"/>
  <c r="B19" i="2"/>
  <c r="A19" i="2"/>
  <c r="AB18" i="2"/>
  <c r="T18" i="2"/>
  <c r="U18" i="2" s="1"/>
  <c r="X18" i="2" s="1"/>
  <c r="Q18" i="2"/>
  <c r="O18" i="2"/>
  <c r="F18" i="2"/>
  <c r="B18" i="2"/>
  <c r="A18" i="2"/>
  <c r="AB17" i="2"/>
  <c r="T17" i="2"/>
  <c r="U17" i="2" s="1"/>
  <c r="X17" i="2" s="1"/>
  <c r="Q17" i="2"/>
  <c r="F17" i="2"/>
  <c r="O17" i="2" s="1"/>
  <c r="C17" i="2"/>
  <c r="B17" i="2"/>
  <c r="A17" i="2"/>
  <c r="D17" i="2" s="1"/>
  <c r="N17" i="2" s="1"/>
  <c r="AB16" i="2"/>
  <c r="U16" i="2"/>
  <c r="X16" i="2" s="1"/>
  <c r="T16" i="2"/>
  <c r="Q16" i="2"/>
  <c r="O16" i="2"/>
  <c r="F16" i="2"/>
  <c r="B16" i="2"/>
  <c r="A16" i="2"/>
  <c r="K16" i="2" s="1"/>
  <c r="AB15" i="2"/>
  <c r="T15" i="2"/>
  <c r="Q15" i="2"/>
  <c r="F15" i="2"/>
  <c r="B15" i="2"/>
  <c r="A15" i="2"/>
  <c r="C15" i="2" s="1"/>
  <c r="AB14" i="2"/>
  <c r="U14" i="2"/>
  <c r="X14" i="2" s="1"/>
  <c r="T14" i="2"/>
  <c r="Q14" i="2"/>
  <c r="O14" i="2"/>
  <c r="F14" i="2"/>
  <c r="B14" i="2"/>
  <c r="A14" i="2"/>
  <c r="C14" i="2" s="1"/>
  <c r="AB13" i="2"/>
  <c r="T13" i="2"/>
  <c r="U13" i="2" s="1"/>
  <c r="X13" i="2" s="1"/>
  <c r="Q13" i="2"/>
  <c r="F13" i="2"/>
  <c r="B13" i="2"/>
  <c r="A13" i="2"/>
  <c r="AB12" i="2"/>
  <c r="T12" i="2"/>
  <c r="U12" i="2" s="1"/>
  <c r="X12" i="2" s="1"/>
  <c r="Q12" i="2"/>
  <c r="F12" i="2"/>
  <c r="O12" i="2" s="1"/>
  <c r="B12" i="2"/>
  <c r="A12" i="2"/>
  <c r="J12" i="2" s="1"/>
  <c r="AB11" i="2"/>
  <c r="T11" i="2"/>
  <c r="U11" i="2" s="1"/>
  <c r="X11" i="2" s="1"/>
  <c r="Q11" i="2"/>
  <c r="F11" i="2"/>
  <c r="O11" i="2" s="1"/>
  <c r="D11" i="2"/>
  <c r="N11" i="2" s="1"/>
  <c r="B11" i="2"/>
  <c r="A11" i="2"/>
  <c r="AB10" i="2"/>
  <c r="T10" i="2"/>
  <c r="U10" i="2" s="1"/>
  <c r="X10" i="2" s="1"/>
  <c r="Q10" i="2"/>
  <c r="O10" i="2"/>
  <c r="F10" i="2"/>
  <c r="B10" i="2"/>
  <c r="A10" i="2"/>
  <c r="AB9" i="2"/>
  <c r="T9" i="2"/>
  <c r="U9" i="2" s="1"/>
  <c r="X9" i="2" s="1"/>
  <c r="Q9" i="2"/>
  <c r="K9" i="2"/>
  <c r="F9" i="2"/>
  <c r="D9" i="2"/>
  <c r="N9" i="2" s="1"/>
  <c r="C9" i="2"/>
  <c r="B9" i="2"/>
  <c r="A9" i="2"/>
  <c r="D9" i="10" s="1"/>
  <c r="AB8" i="2"/>
  <c r="T8" i="2"/>
  <c r="U8" i="2" s="1"/>
  <c r="X8" i="2" s="1"/>
  <c r="Q8" i="2"/>
  <c r="F8" i="2"/>
  <c r="O8" i="2" s="1"/>
  <c r="B8" i="2"/>
  <c r="A8" i="2"/>
  <c r="AB7" i="2"/>
  <c r="T7" i="2"/>
  <c r="U7" i="2" s="1"/>
  <c r="X7" i="2" s="1"/>
  <c r="Q7" i="2"/>
  <c r="K7" i="2"/>
  <c r="J7" i="2"/>
  <c r="F7" i="2"/>
  <c r="O7" i="2" s="1"/>
  <c r="C7" i="2"/>
  <c r="B7" i="2"/>
  <c r="A7" i="2"/>
  <c r="D7" i="10" s="1"/>
  <c r="AB6" i="2"/>
  <c r="T6" i="2"/>
  <c r="U6" i="2" s="1"/>
  <c r="X6" i="2" s="1"/>
  <c r="Q6" i="2"/>
  <c r="F6" i="2"/>
  <c r="B6" i="2"/>
  <c r="A6" i="2"/>
  <c r="D6" i="2" s="1"/>
  <c r="N6" i="2" s="1"/>
  <c r="AB5" i="2"/>
  <c r="U5" i="2"/>
  <c r="X5" i="2" s="1"/>
  <c r="T5" i="2"/>
  <c r="Q5" i="2"/>
  <c r="F5" i="2"/>
  <c r="B5" i="2"/>
  <c r="A5" i="2"/>
  <c r="D5" i="10" s="1"/>
  <c r="Q88" i="1"/>
  <c r="H88" i="1"/>
  <c r="C88" i="1"/>
  <c r="Q87" i="1"/>
  <c r="H87" i="1"/>
  <c r="C87" i="1"/>
  <c r="Q86" i="1"/>
  <c r="H86" i="1"/>
  <c r="C86" i="1"/>
  <c r="Q85" i="1"/>
  <c r="Q84" i="1"/>
  <c r="W15" i="1"/>
  <c r="H15" i="1"/>
  <c r="H8" i="1"/>
  <c r="Y2" i="1"/>
  <c r="Y17" i="2" l="1"/>
  <c r="Z17" i="2" s="1"/>
  <c r="AA17" i="2" s="1"/>
  <c r="Y7" i="2"/>
  <c r="Z7" i="2" s="1"/>
  <c r="AA7" i="2" s="1"/>
  <c r="Y9" i="2"/>
  <c r="Z9" i="2" s="1"/>
  <c r="AA9" i="2" s="1"/>
  <c r="V9" i="2"/>
  <c r="W9" i="2" s="1"/>
  <c r="V17" i="2"/>
  <c r="W17" i="2" s="1"/>
  <c r="Y20" i="2"/>
  <c r="Z20" i="2" s="1"/>
  <c r="AA20" i="2" s="1"/>
  <c r="E9" i="2"/>
  <c r="O6" i="2"/>
  <c r="D5" i="2"/>
  <c r="N5" i="2" s="1"/>
  <c r="O9" i="2"/>
  <c r="C16" i="2"/>
  <c r="Y16" i="2" s="1"/>
  <c r="Z16" i="2" s="1"/>
  <c r="AA16" i="2" s="1"/>
  <c r="O5" i="2"/>
  <c r="J9" i="2"/>
  <c r="O13" i="2"/>
  <c r="G7" i="2"/>
  <c r="C5" i="2"/>
  <c r="G5" i="2" s="1"/>
  <c r="J5" i="2"/>
  <c r="J23" i="2" s="1"/>
  <c r="K5" i="2"/>
  <c r="D7" i="2"/>
  <c r="N7" i="2" s="1"/>
  <c r="J13" i="2"/>
  <c r="D13" i="10"/>
  <c r="D13" i="2"/>
  <c r="N13" i="2" s="1"/>
  <c r="C13" i="2"/>
  <c r="Y13" i="2" s="1"/>
  <c r="Z13" i="2" s="1"/>
  <c r="AA13" i="2" s="1"/>
  <c r="Q21" i="2"/>
  <c r="V14" i="2"/>
  <c r="W14" i="2" s="1"/>
  <c r="G14" i="2"/>
  <c r="Y14" i="2"/>
  <c r="Z14" i="2" s="1"/>
  <c r="AA14" i="2" s="1"/>
  <c r="K13" i="2"/>
  <c r="Q89" i="1"/>
  <c r="D6" i="10"/>
  <c r="H14" i="1"/>
  <c r="K6" i="2"/>
  <c r="C6" i="2"/>
  <c r="J6" i="2"/>
  <c r="D12" i="10"/>
  <c r="D12" i="2"/>
  <c r="N12" i="2" s="1"/>
  <c r="C12" i="2"/>
  <c r="K12" i="2"/>
  <c r="O15" i="2"/>
  <c r="U15" i="2"/>
  <c r="X15" i="2" s="1"/>
  <c r="Y15" i="2" s="1"/>
  <c r="Z15" i="2" s="1"/>
  <c r="AA15" i="2" s="1"/>
  <c r="G15" i="2"/>
  <c r="V15" i="2"/>
  <c r="W15" i="2" s="1"/>
  <c r="D8" i="10"/>
  <c r="K8" i="2"/>
  <c r="C8" i="2"/>
  <c r="J8" i="2"/>
  <c r="D8" i="2"/>
  <c r="N8" i="2" s="1"/>
  <c r="E17" i="2"/>
  <c r="V7" i="2"/>
  <c r="W7" i="2" s="1"/>
  <c r="D14" i="10"/>
  <c r="D14" i="2"/>
  <c r="N14" i="2" s="1"/>
  <c r="J14" i="2"/>
  <c r="J15" i="2"/>
  <c r="D15" i="10"/>
  <c r="K15" i="2"/>
  <c r="G9" i="2"/>
  <c r="K14" i="2"/>
  <c r="D20" i="10"/>
  <c r="D20" i="2"/>
  <c r="N20" i="2" s="1"/>
  <c r="J20" i="2"/>
  <c r="D15" i="2"/>
  <c r="N15" i="2" s="1"/>
  <c r="K20" i="2"/>
  <c r="D10" i="10"/>
  <c r="D10" i="2"/>
  <c r="N10" i="2" s="1"/>
  <c r="J10" i="2"/>
  <c r="J11" i="2"/>
  <c r="D11" i="10"/>
  <c r="K11" i="2"/>
  <c r="G17" i="2"/>
  <c r="D18" i="10"/>
  <c r="D18" i="2"/>
  <c r="N18" i="2" s="1"/>
  <c r="J18" i="2"/>
  <c r="D19" i="10"/>
  <c r="J19" i="2"/>
  <c r="K19" i="2"/>
  <c r="V20" i="2"/>
  <c r="W20" i="2" s="1"/>
  <c r="K10" i="2"/>
  <c r="K18" i="2"/>
  <c r="C10" i="2"/>
  <c r="C11" i="2"/>
  <c r="D16" i="10"/>
  <c r="D16" i="2"/>
  <c r="N16" i="2" s="1"/>
  <c r="J16" i="2"/>
  <c r="D17" i="10"/>
  <c r="J17" i="2"/>
  <c r="K17" i="2"/>
  <c r="C18" i="2"/>
  <c r="C19" i="2"/>
  <c r="V16" i="2" l="1"/>
  <c r="W16" i="2" s="1"/>
  <c r="G16" i="2"/>
  <c r="F16" i="10" s="1"/>
  <c r="E20" i="2"/>
  <c r="M20" i="2" s="1"/>
  <c r="H9" i="2"/>
  <c r="L9" i="2" s="1"/>
  <c r="K21" i="2"/>
  <c r="V5" i="2"/>
  <c r="W5" i="2" s="1"/>
  <c r="X5" i="10" s="1"/>
  <c r="H17" i="2"/>
  <c r="L17" i="2" s="1"/>
  <c r="Y5" i="2"/>
  <c r="Z5" i="2" s="1"/>
  <c r="AB5" i="10" s="1"/>
  <c r="E5" i="2"/>
  <c r="H5" i="2" s="1"/>
  <c r="T5" i="10" s="1"/>
  <c r="I9" i="2"/>
  <c r="O9" i="10" s="1"/>
  <c r="M9" i="2"/>
  <c r="J24" i="2"/>
  <c r="AC25" i="1"/>
  <c r="E14" i="2"/>
  <c r="H14" i="2" s="1"/>
  <c r="E7" i="2"/>
  <c r="V18" i="2"/>
  <c r="W18" i="2" s="1"/>
  <c r="X18" i="10" s="1"/>
  <c r="AF18" i="10"/>
  <c r="G18" i="2"/>
  <c r="F18" i="10" s="1"/>
  <c r="E18" i="2"/>
  <c r="F24" i="1"/>
  <c r="AC24" i="1"/>
  <c r="N22" i="1"/>
  <c r="F9" i="10"/>
  <c r="AF17" i="10"/>
  <c r="AB16" i="10"/>
  <c r="N24" i="1"/>
  <c r="AC21" i="1"/>
  <c r="D25" i="1"/>
  <c r="C4" i="1"/>
  <c r="X23" i="1"/>
  <c r="D22" i="1"/>
  <c r="X14" i="10"/>
  <c r="AF14" i="10"/>
  <c r="AF13" i="10"/>
  <c r="AB13" i="10"/>
  <c r="E13" i="2"/>
  <c r="V13" i="2"/>
  <c r="W13" i="2" s="1"/>
  <c r="X13" i="10" s="1"/>
  <c r="G13" i="2"/>
  <c r="Y6" i="2"/>
  <c r="Z6" i="2" s="1"/>
  <c r="AA6" i="2" s="1"/>
  <c r="AF10" i="10"/>
  <c r="V10" i="2"/>
  <c r="W10" i="2" s="1"/>
  <c r="X10" i="10" s="1"/>
  <c r="G10" i="2"/>
  <c r="E10" i="2"/>
  <c r="F7" i="10"/>
  <c r="X20" i="10"/>
  <c r="F25" i="1"/>
  <c r="AC22" i="1"/>
  <c r="Z22" i="1"/>
  <c r="X21" i="1"/>
  <c r="E15" i="2"/>
  <c r="H15" i="2" s="1"/>
  <c r="Y10" i="2"/>
  <c r="Z10" i="2" s="1"/>
  <c r="AA10" i="2" s="1"/>
  <c r="P24" i="1"/>
  <c r="AB20" i="10"/>
  <c r="AF16" i="10"/>
  <c r="X17" i="10"/>
  <c r="P23" i="1"/>
  <c r="Z23" i="1"/>
  <c r="X15" i="10"/>
  <c r="F22" i="1"/>
  <c r="S22" i="1"/>
  <c r="N21" i="1"/>
  <c r="S21" i="1"/>
  <c r="D21" i="1"/>
  <c r="Y18" i="2"/>
  <c r="Z18" i="2" s="1"/>
  <c r="AA18" i="2" s="1"/>
  <c r="I23" i="1"/>
  <c r="F20" i="10"/>
  <c r="J21" i="2"/>
  <c r="AB8" i="1" s="1"/>
  <c r="F5" i="10"/>
  <c r="AB9" i="10"/>
  <c r="Z21" i="1"/>
  <c r="AF15" i="10"/>
  <c r="Z24" i="1"/>
  <c r="AF7" i="10"/>
  <c r="F17" i="10"/>
  <c r="X22" i="1"/>
  <c r="E6" i="2"/>
  <c r="AF6" i="10"/>
  <c r="G6" i="2"/>
  <c r="F6" i="10" s="1"/>
  <c r="V6" i="2"/>
  <c r="W6" i="2" s="1"/>
  <c r="X6" i="10" s="1"/>
  <c r="I21" i="1"/>
  <c r="I22" i="1"/>
  <c r="P22" i="1"/>
  <c r="AF5" i="10"/>
  <c r="AB14" i="10"/>
  <c r="P25" i="1"/>
  <c r="C9" i="1"/>
  <c r="AF9" i="10"/>
  <c r="X7" i="10"/>
  <c r="AB17" i="10"/>
  <c r="X16" i="10"/>
  <c r="I17" i="2"/>
  <c r="O17" i="10" s="1"/>
  <c r="M17" i="2"/>
  <c r="AF8" i="10"/>
  <c r="G8" i="2"/>
  <c r="V8" i="2"/>
  <c r="W8" i="2" s="1"/>
  <c r="X8" i="10" s="1"/>
  <c r="E8" i="2"/>
  <c r="Y8" i="2"/>
  <c r="Z8" i="2" s="1"/>
  <c r="AA8" i="2" s="1"/>
  <c r="P21" i="1"/>
  <c r="F15" i="10"/>
  <c r="D23" i="1"/>
  <c r="F23" i="1"/>
  <c r="N23" i="1"/>
  <c r="F14" i="10"/>
  <c r="X24" i="1"/>
  <c r="AC23" i="1"/>
  <c r="Z25" i="1"/>
  <c r="F21" i="1"/>
  <c r="AB7" i="10"/>
  <c r="AF19" i="10"/>
  <c r="V19" i="2"/>
  <c r="W19" i="2" s="1"/>
  <c r="X19" i="10" s="1"/>
  <c r="G19" i="2"/>
  <c r="F19" i="10" s="1"/>
  <c r="E19" i="2"/>
  <c r="Y19" i="2"/>
  <c r="Z19" i="2" s="1"/>
  <c r="AA19" i="2" s="1"/>
  <c r="AF11" i="10"/>
  <c r="V11" i="2"/>
  <c r="W11" i="2" s="1"/>
  <c r="X11" i="10" s="1"/>
  <c r="E11" i="2"/>
  <c r="G11" i="2"/>
  <c r="Y11" i="2"/>
  <c r="Z11" i="2" s="1"/>
  <c r="AA11" i="2" s="1"/>
  <c r="X9" i="10"/>
  <c r="AF20" i="10"/>
  <c r="E16" i="2"/>
  <c r="N25" i="1"/>
  <c r="I25" i="1"/>
  <c r="X25" i="1"/>
  <c r="AB15" i="10"/>
  <c r="V12" i="2"/>
  <c r="W12" i="2" s="1"/>
  <c r="X12" i="10" s="1"/>
  <c r="AF12" i="10"/>
  <c r="Y12" i="2"/>
  <c r="Z12" i="2" s="1"/>
  <c r="AA12" i="2" s="1"/>
  <c r="E12" i="2"/>
  <c r="G12" i="2"/>
  <c r="S24" i="1"/>
  <c r="D24" i="1"/>
  <c r="I24" i="1"/>
  <c r="S23" i="1"/>
  <c r="S25" i="1"/>
  <c r="M5" i="2" l="1"/>
  <c r="I5" i="2"/>
  <c r="O5" i="10" s="1"/>
  <c r="J9" i="10"/>
  <c r="J17" i="10"/>
  <c r="H20" i="2"/>
  <c r="L20" i="2" s="1"/>
  <c r="I20" i="2"/>
  <c r="J20" i="10" s="1"/>
  <c r="T9" i="10"/>
  <c r="I14" i="2"/>
  <c r="H12" i="2"/>
  <c r="L12" i="2" s="1"/>
  <c r="M14" i="2"/>
  <c r="L14" i="2"/>
  <c r="T14" i="10"/>
  <c r="H8" i="2"/>
  <c r="L8" i="2" s="1"/>
  <c r="AB6" i="10"/>
  <c r="T17" i="10"/>
  <c r="H10" i="2"/>
  <c r="H11" i="2"/>
  <c r="L11" i="2" s="1"/>
  <c r="F10" i="10"/>
  <c r="V23" i="2"/>
  <c r="F11" i="10"/>
  <c r="H13" i="2"/>
  <c r="L13" i="2" s="1"/>
  <c r="I7" i="2"/>
  <c r="M7" i="2"/>
  <c r="AB12" i="10"/>
  <c r="H7" i="2"/>
  <c r="I16" i="2"/>
  <c r="M16" i="2"/>
  <c r="L15" i="2"/>
  <c r="AB19" i="10"/>
  <c r="F8" i="10"/>
  <c r="F13" i="10"/>
  <c r="V24" i="2"/>
  <c r="X21" i="2"/>
  <c r="R14" i="1" s="1"/>
  <c r="W21" i="2"/>
  <c r="M14" i="1" s="1"/>
  <c r="E21" i="2"/>
  <c r="AG14" i="10"/>
  <c r="AH14" i="10" s="1"/>
  <c r="AG8" i="10"/>
  <c r="AH8" i="10" s="1"/>
  <c r="AG13" i="10"/>
  <c r="AH13" i="10" s="1"/>
  <c r="AG5" i="10"/>
  <c r="AH5" i="10" s="1"/>
  <c r="AG20" i="10"/>
  <c r="AH20" i="10" s="1"/>
  <c r="AG10" i="10"/>
  <c r="AH10" i="10" s="1"/>
  <c r="AG19" i="10"/>
  <c r="AH19" i="10" s="1"/>
  <c r="AG7" i="10"/>
  <c r="AH7" i="10" s="1"/>
  <c r="AG18" i="10"/>
  <c r="AH18" i="10" s="1"/>
  <c r="AG12" i="10"/>
  <c r="AH12" i="10" s="1"/>
  <c r="AG17" i="10"/>
  <c r="AH17" i="10" s="1"/>
  <c r="AG9" i="10"/>
  <c r="AH9" i="10" s="1"/>
  <c r="AG16" i="10"/>
  <c r="AH16" i="10" s="1"/>
  <c r="AG6" i="10"/>
  <c r="AH6" i="10" s="1"/>
  <c r="AG15" i="10"/>
  <c r="AH15" i="10" s="1"/>
  <c r="AG11" i="10"/>
  <c r="AH11" i="10" s="1"/>
  <c r="M12" i="2"/>
  <c r="I12" i="2"/>
  <c r="M13" i="2"/>
  <c r="I13" i="2"/>
  <c r="AB11" i="10"/>
  <c r="Y20" i="10"/>
  <c r="Z20" i="10" s="1"/>
  <c r="Y10" i="10"/>
  <c r="Z10" i="10" s="1"/>
  <c r="Y19" i="10"/>
  <c r="Z19" i="10" s="1"/>
  <c r="Y7" i="10"/>
  <c r="Z7" i="10" s="1"/>
  <c r="Y18" i="10"/>
  <c r="Z18" i="10" s="1"/>
  <c r="Y12" i="10"/>
  <c r="Z12" i="10" s="1"/>
  <c r="Y17" i="10"/>
  <c r="Z17" i="10" s="1"/>
  <c r="Y9" i="10"/>
  <c r="Z9" i="10" s="1"/>
  <c r="Y16" i="10"/>
  <c r="Z16" i="10" s="1"/>
  <c r="Y6" i="10"/>
  <c r="Z6" i="10" s="1"/>
  <c r="Y15" i="10"/>
  <c r="Z15" i="10" s="1"/>
  <c r="Y11" i="10"/>
  <c r="Z11" i="10" s="1"/>
  <c r="Y14" i="10"/>
  <c r="Z14" i="10" s="1"/>
  <c r="Y8" i="10"/>
  <c r="Z8" i="10" s="1"/>
  <c r="Y5" i="10"/>
  <c r="Z5" i="10" s="1"/>
  <c r="Y13" i="10"/>
  <c r="Z13" i="10" s="1"/>
  <c r="AB8" i="10"/>
  <c r="H16" i="2"/>
  <c r="M10" i="2"/>
  <c r="I10" i="2"/>
  <c r="V21" i="2"/>
  <c r="M18" i="2"/>
  <c r="I18" i="2"/>
  <c r="H19" i="2"/>
  <c r="H6" i="2"/>
  <c r="G23" i="2"/>
  <c r="H84" i="1" s="1"/>
  <c r="H18" i="2"/>
  <c r="AB18" i="10"/>
  <c r="F12" i="10"/>
  <c r="M19" i="2"/>
  <c r="I19" i="2"/>
  <c r="M15" i="2"/>
  <c r="I15" i="2"/>
  <c r="E24" i="2"/>
  <c r="I24" i="2" s="1"/>
  <c r="Y21" i="2"/>
  <c r="R15" i="1" s="1"/>
  <c r="L5" i="2"/>
  <c r="Z21" i="2"/>
  <c r="AA5" i="2"/>
  <c r="G24" i="2"/>
  <c r="H85" i="1" s="1"/>
  <c r="M11" i="2"/>
  <c r="I11" i="2"/>
  <c r="T15" i="10"/>
  <c r="M8" i="2"/>
  <c r="I8" i="2"/>
  <c r="M6" i="2"/>
  <c r="I6" i="2"/>
  <c r="E23" i="2"/>
  <c r="I23" i="2" s="1"/>
  <c r="AB10" i="10"/>
  <c r="G21" i="2"/>
  <c r="T20" i="10" l="1"/>
  <c r="T12" i="10"/>
  <c r="J5" i="10"/>
  <c r="O20" i="10"/>
  <c r="T8" i="10"/>
  <c r="H23" i="2"/>
  <c r="T11" i="10"/>
  <c r="J14" i="10"/>
  <c r="O14" i="10"/>
  <c r="G10" i="10"/>
  <c r="H10" i="10" s="1"/>
  <c r="AJ10" i="10" s="1"/>
  <c r="L10" i="2"/>
  <c r="T10" i="10"/>
  <c r="AC17" i="10"/>
  <c r="AD17" i="10" s="1"/>
  <c r="AC18" i="10"/>
  <c r="AD18" i="10" s="1"/>
  <c r="T13" i="10"/>
  <c r="AC8" i="10"/>
  <c r="AD8" i="10" s="1"/>
  <c r="L7" i="2"/>
  <c r="T7" i="10"/>
  <c r="O7" i="10"/>
  <c r="J7" i="10"/>
  <c r="AC14" i="10"/>
  <c r="AD14" i="10" s="1"/>
  <c r="G15" i="10"/>
  <c r="H15" i="10" s="1"/>
  <c r="AJ15" i="10" s="1"/>
  <c r="O21" i="2"/>
  <c r="AB9" i="1" s="1"/>
  <c r="P19" i="2"/>
  <c r="R19" i="2" s="1"/>
  <c r="P17" i="2"/>
  <c r="R17" i="2" s="1"/>
  <c r="P15" i="2"/>
  <c r="P13" i="2"/>
  <c r="R13" i="2" s="1"/>
  <c r="P11" i="2"/>
  <c r="R11" i="2" s="1"/>
  <c r="P9" i="2"/>
  <c r="R9" i="2" s="1"/>
  <c r="P20" i="2"/>
  <c r="R20" i="2" s="1"/>
  <c r="S15" i="2"/>
  <c r="P12" i="2"/>
  <c r="R12" i="2" s="1"/>
  <c r="P8" i="2"/>
  <c r="R8" i="2" s="1"/>
  <c r="S16" i="2"/>
  <c r="S7" i="2"/>
  <c r="S17" i="2"/>
  <c r="P14" i="2"/>
  <c r="R14" i="2" s="1"/>
  <c r="P18" i="2"/>
  <c r="R18" i="2" s="1"/>
  <c r="P10" i="2"/>
  <c r="R10" i="2" s="1"/>
  <c r="P6" i="2"/>
  <c r="R6" i="2" s="1"/>
  <c r="P5" i="2"/>
  <c r="P16" i="2"/>
  <c r="R16" i="2" s="1"/>
  <c r="C8" i="1"/>
  <c r="M9" i="1"/>
  <c r="S5" i="2"/>
  <c r="M8" i="1"/>
  <c r="H9" i="1"/>
  <c r="P7" i="2"/>
  <c r="R7" i="2" s="1"/>
  <c r="S14" i="2"/>
  <c r="S11" i="2"/>
  <c r="S19" i="2"/>
  <c r="S6" i="2"/>
  <c r="S13" i="2"/>
  <c r="S8" i="2"/>
  <c r="S18" i="2"/>
  <c r="S12" i="2"/>
  <c r="S20" i="2"/>
  <c r="S10" i="2"/>
  <c r="S9" i="2"/>
  <c r="O13" i="10"/>
  <c r="J13" i="10"/>
  <c r="AC7" i="10"/>
  <c r="AD7" i="10" s="1"/>
  <c r="H89" i="1"/>
  <c r="G13" i="10"/>
  <c r="H13" i="10" s="1"/>
  <c r="AJ13" i="10" s="1"/>
  <c r="G17" i="10"/>
  <c r="H17" i="10" s="1"/>
  <c r="AJ17" i="10" s="1"/>
  <c r="AC19" i="10"/>
  <c r="AD19" i="10" s="1"/>
  <c r="AC15" i="10"/>
  <c r="AD15" i="10" s="1"/>
  <c r="G20" i="10"/>
  <c r="H20" i="10" s="1"/>
  <c r="AJ20" i="10" s="1"/>
  <c r="AC12" i="10"/>
  <c r="AD12" i="10" s="1"/>
  <c r="G9" i="10"/>
  <c r="H9" i="10" s="1"/>
  <c r="AJ9" i="10" s="1"/>
  <c r="AC11" i="10"/>
  <c r="AD11" i="10" s="1"/>
  <c r="O6" i="10"/>
  <c r="J6" i="10"/>
  <c r="AA21" i="2"/>
  <c r="AB14" i="1" s="1"/>
  <c r="W14" i="1"/>
  <c r="AB15" i="1"/>
  <c r="O15" i="10"/>
  <c r="J15" i="10"/>
  <c r="L6" i="2"/>
  <c r="T6" i="10"/>
  <c r="L16" i="2"/>
  <c r="T16" i="10"/>
  <c r="M21" i="2"/>
  <c r="I21" i="2"/>
  <c r="R9" i="1" s="1"/>
  <c r="R8" i="1"/>
  <c r="N21" i="2"/>
  <c r="H24" i="2"/>
  <c r="G8" i="10"/>
  <c r="H8" i="10" s="1"/>
  <c r="AJ8" i="10" s="1"/>
  <c r="G12" i="10"/>
  <c r="H12" i="10" s="1"/>
  <c r="AJ12" i="10" s="1"/>
  <c r="AC10" i="10"/>
  <c r="AD10" i="10" s="1"/>
  <c r="AC6" i="10"/>
  <c r="AD6" i="10" s="1"/>
  <c r="G16" i="10"/>
  <c r="H16" i="10" s="1"/>
  <c r="AJ16" i="10" s="1"/>
  <c r="J12" i="10"/>
  <c r="O12" i="10"/>
  <c r="G14" i="10"/>
  <c r="H14" i="10" s="1"/>
  <c r="AJ14" i="10" s="1"/>
  <c r="G18" i="10"/>
  <c r="H18" i="10" s="1"/>
  <c r="AJ18" i="10" s="1"/>
  <c r="AC20" i="10"/>
  <c r="AD20" i="10" s="1"/>
  <c r="AC16" i="10"/>
  <c r="AD16" i="10" s="1"/>
  <c r="G6" i="10"/>
  <c r="H6" i="10" s="1"/>
  <c r="AJ6" i="10" s="1"/>
  <c r="L18" i="2"/>
  <c r="T18" i="10"/>
  <c r="J10" i="10"/>
  <c r="O10" i="10"/>
  <c r="G19" i="10"/>
  <c r="H19" i="10" s="1"/>
  <c r="AJ19" i="10" s="1"/>
  <c r="G11" i="10"/>
  <c r="H11" i="10" s="1"/>
  <c r="AJ11" i="10" s="1"/>
  <c r="AC5" i="10"/>
  <c r="AD5" i="10" s="1"/>
  <c r="AC9" i="10"/>
  <c r="AD9" i="10" s="1"/>
  <c r="J11" i="10"/>
  <c r="O11" i="10"/>
  <c r="M15" i="1"/>
  <c r="C14" i="1"/>
  <c r="C15" i="1"/>
  <c r="G5" i="10"/>
  <c r="H5" i="10" s="1"/>
  <c r="AJ5" i="10" s="1"/>
  <c r="O8" i="10"/>
  <c r="J8" i="10"/>
  <c r="J19" i="10"/>
  <c r="O19" i="10"/>
  <c r="L19" i="2"/>
  <c r="T19" i="10"/>
  <c r="H21" i="2"/>
  <c r="W8" i="1" s="1"/>
  <c r="J18" i="10"/>
  <c r="O18" i="10"/>
  <c r="G7" i="10"/>
  <c r="H7" i="10" s="1"/>
  <c r="AJ7" i="10" s="1"/>
  <c r="J16" i="10"/>
  <c r="O16" i="10"/>
  <c r="AC13" i="10"/>
  <c r="AD13" i="10" s="1"/>
  <c r="L21" i="2" l="1"/>
  <c r="W9" i="1" s="1"/>
  <c r="L24" i="2"/>
  <c r="L23" i="2"/>
  <c r="K10" i="10"/>
  <c r="M10" i="10" s="1"/>
  <c r="K16" i="10"/>
  <c r="M16" i="10" s="1"/>
  <c r="K11" i="10"/>
  <c r="L11" i="10" s="1"/>
  <c r="K19" i="10"/>
  <c r="M19" i="10" s="1"/>
  <c r="K15" i="10"/>
  <c r="K6" i="10"/>
  <c r="K9" i="10"/>
  <c r="K5" i="10"/>
  <c r="S21" i="2"/>
  <c r="K17" i="10"/>
  <c r="K13" i="10"/>
  <c r="R15" i="2"/>
  <c r="P24" i="2"/>
  <c r="K12" i="10"/>
  <c r="K8" i="10"/>
  <c r="P21" i="2"/>
  <c r="R5" i="2"/>
  <c r="P23" i="2"/>
  <c r="K20" i="10"/>
  <c r="U14" i="10"/>
  <c r="V14" i="10" s="1"/>
  <c r="U18" i="10"/>
  <c r="V18" i="10" s="1"/>
  <c r="U8" i="10"/>
  <c r="V8" i="10" s="1"/>
  <c r="U12" i="10"/>
  <c r="V12" i="10" s="1"/>
  <c r="U17" i="10"/>
  <c r="V17" i="10" s="1"/>
  <c r="U15" i="10"/>
  <c r="V15" i="10" s="1"/>
  <c r="U7" i="10"/>
  <c r="V7" i="10" s="1"/>
  <c r="U13" i="10"/>
  <c r="V13" i="10" s="1"/>
  <c r="U6" i="10"/>
  <c r="V6" i="10" s="1"/>
  <c r="U19" i="10"/>
  <c r="V19" i="10" s="1"/>
  <c r="U5" i="10"/>
  <c r="V5" i="10" s="1"/>
  <c r="U9" i="10"/>
  <c r="V9" i="10" s="1"/>
  <c r="U20" i="10"/>
  <c r="V20" i="10" s="1"/>
  <c r="U10" i="10"/>
  <c r="V10" i="10" s="1"/>
  <c r="U16" i="10"/>
  <c r="V16" i="10" s="1"/>
  <c r="U11" i="10"/>
  <c r="V11" i="10" s="1"/>
  <c r="P19" i="10"/>
  <c r="P15" i="10"/>
  <c r="P7" i="10"/>
  <c r="P11" i="10"/>
  <c r="P18" i="10"/>
  <c r="P14" i="10"/>
  <c r="P16" i="10"/>
  <c r="P6" i="10"/>
  <c r="P12" i="10"/>
  <c r="P8" i="10"/>
  <c r="P9" i="10"/>
  <c r="P20" i="10"/>
  <c r="P17" i="10"/>
  <c r="P13" i="10"/>
  <c r="P5" i="10"/>
  <c r="P10" i="10"/>
  <c r="K18" i="10"/>
  <c r="K14" i="10"/>
  <c r="M88" i="1"/>
  <c r="U88" i="1" s="1"/>
  <c r="M85" i="1"/>
  <c r="U85" i="1" s="1"/>
  <c r="M86" i="1"/>
  <c r="U86" i="1" s="1"/>
  <c r="M84" i="1"/>
  <c r="M87" i="1"/>
  <c r="U87" i="1" s="1"/>
  <c r="Y87" i="1"/>
  <c r="Y88" i="1"/>
  <c r="Y84" i="1"/>
  <c r="Y86" i="1"/>
  <c r="Y85" i="1"/>
  <c r="K7" i="10"/>
  <c r="M11" i="10" l="1"/>
  <c r="L10" i="10"/>
  <c r="L16" i="10"/>
  <c r="L19" i="10"/>
  <c r="M18" i="10"/>
  <c r="L18" i="10"/>
  <c r="R10" i="10"/>
  <c r="Q10" i="10"/>
  <c r="R6" i="10"/>
  <c r="Q6" i="10"/>
  <c r="M20" i="10"/>
  <c r="L20" i="10"/>
  <c r="M13" i="10"/>
  <c r="L13" i="10"/>
  <c r="M7" i="10"/>
  <c r="L7" i="10"/>
  <c r="R17" i="10"/>
  <c r="Q17" i="10"/>
  <c r="Q18" i="10"/>
  <c r="R18" i="10"/>
  <c r="M5" i="10"/>
  <c r="L5" i="10"/>
  <c r="R19" i="10"/>
  <c r="Q19" i="10"/>
  <c r="R16" i="10"/>
  <c r="Q16" i="10"/>
  <c r="M17" i="10"/>
  <c r="L17" i="10"/>
  <c r="U84" i="1"/>
  <c r="M89" i="1"/>
  <c r="R14" i="10"/>
  <c r="Q14" i="10"/>
  <c r="R20" i="10"/>
  <c r="Q20" i="10"/>
  <c r="R11" i="10"/>
  <c r="Q11" i="10"/>
  <c r="L8" i="10"/>
  <c r="M8" i="10"/>
  <c r="M9" i="10"/>
  <c r="L9" i="10"/>
  <c r="Q12" i="10"/>
  <c r="R12" i="10"/>
  <c r="R13" i="10"/>
  <c r="Q13" i="10"/>
  <c r="R9" i="10"/>
  <c r="Q9" i="10"/>
  <c r="R7" i="10"/>
  <c r="Q7" i="10"/>
  <c r="M12" i="10"/>
  <c r="L12" i="10"/>
  <c r="M6" i="10"/>
  <c r="L6" i="10"/>
  <c r="R5" i="10"/>
  <c r="Q5" i="10"/>
  <c r="Y89" i="1"/>
  <c r="L14" i="10"/>
  <c r="M14" i="10"/>
  <c r="R8" i="10"/>
  <c r="Q8" i="10"/>
  <c r="R15" i="10"/>
  <c r="Q15" i="10"/>
  <c r="M15" i="10"/>
  <c r="L1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Planilha</author>
  </authors>
  <commentList>
    <comment ref="E4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Soma dos proventos pagos por cota nos últimos 12 meses (Yahoo Finance). JCP vem bruto (antes dos 15% de IR). Base da meta de renda.</t>
        </r>
      </text>
    </comment>
  </commentList>
</comments>
</file>

<file path=xl/sharedStrings.xml><?xml version="1.0" encoding="utf-8"?>
<sst xmlns="http://schemas.openxmlformats.org/spreadsheetml/2006/main" count="315" uniqueCount="200">
  <si>
    <t xml:space="preserve">  ◆ InvestERP</t>
  </si>
  <si>
    <t>Visão geral da carteira</t>
  </si>
  <si>
    <t>Início  ›  Painel   •   ações e FIIs, meta de renda e alocação   •   cotações: Yahoo Finance</t>
  </si>
  <si>
    <t>Patrimônio</t>
  </si>
  <si>
    <t>renda fixa (Premissas) + ações e FIIs (Carteira)</t>
  </si>
  <si>
    <t>PATRIMÔNIO TOTAL</t>
  </si>
  <si>
    <t>RENDA FIXA</t>
  </si>
  <si>
    <t>RENDA VARIÁVEL</t>
  </si>
  <si>
    <t>INVESTIDO EM AÇÕES/FIIS</t>
  </si>
  <si>
    <t>LUCRO / PREJUÍZO</t>
  </si>
  <si>
    <t>PROVENTOS RECEBIDOS</t>
  </si>
  <si>
    <t>Meta de renda</t>
  </si>
  <si>
    <t>cada ativo deve pagar R$ 1.000/mês</t>
  </si>
  <si>
    <t>RENDA MENSAL</t>
  </si>
  <si>
    <t>META MENSAL</t>
  </si>
  <si>
    <t>PROGRESSO DA META</t>
  </si>
  <si>
    <t>ATIVOS NA META</t>
  </si>
  <si>
    <t>APORTE P/ META</t>
  </si>
  <si>
    <t>TEMPO ATÉ A META</t>
  </si>
  <si>
    <t>Destaques</t>
  </si>
  <si>
    <t>rankings atualizados automaticamente</t>
  </si>
  <si>
    <t>Maiores posições</t>
  </si>
  <si>
    <t>Maiores altas</t>
  </si>
  <si>
    <t>Maiores quedas</t>
  </si>
  <si>
    <t>#</t>
  </si>
  <si>
    <t>ATIVO</t>
  </si>
  <si>
    <t>POSIÇÃO</t>
  </si>
  <si>
    <t>PARTICIPAÇÃO</t>
  </si>
  <si>
    <t>VALORIZAÇÃO</t>
  </si>
  <si>
    <t>LUCRO</t>
  </si>
  <si>
    <t>Composição e resultado</t>
  </si>
  <si>
    <t>barras ordenadas da maior para a menor</t>
  </si>
  <si>
    <t>Meta de renda por ativo</t>
  </si>
  <si>
    <t>Proventos e rebalanceamento</t>
  </si>
  <si>
    <t>Alocação por classe</t>
  </si>
  <si>
    <t>valores de outras classes e pesos ideais: aba Premissas</t>
  </si>
  <si>
    <t>Classe</t>
  </si>
  <si>
    <t>Valor (R$)</t>
  </si>
  <si>
    <t>Peso atual</t>
  </si>
  <si>
    <t>Peso ideal</t>
  </si>
  <si>
    <t>Desvio</t>
  </si>
  <si>
    <t>Aporte p/ ideal (R$)</t>
  </si>
  <si>
    <t>Ações</t>
  </si>
  <si>
    <t>FIIs</t>
  </si>
  <si>
    <t>TOTAL</t>
  </si>
  <si>
    <t>Carteira</t>
  </si>
  <si>
    <t>Cada ação/FII em uma linha só: posição, proventos, peso e meta de renda — calculado, não digite aqui.</t>
  </si>
  <si>
    <t>Ticker</t>
  </si>
  <si>
    <t>Tipo</t>
  </si>
  <si>
    <t>Qtd atual</t>
  </si>
  <si>
    <t>Preço médio (R$)</t>
  </si>
  <si>
    <t>Valor investido (R$)</t>
  </si>
  <si>
    <t>Cotação (R$)</t>
  </si>
  <si>
    <t>Posição atual (R$)</t>
  </si>
  <si>
    <t>Lucro / prejuízo (R$)</t>
  </si>
  <si>
    <t>Valorização</t>
  </si>
  <si>
    <t>Proventos recebidos (R$)</t>
  </si>
  <si>
    <t>Proventos 12m (R$)</t>
  </si>
  <si>
    <t>Retorno total (R$)</t>
  </si>
  <si>
    <t>Retorno total %</t>
  </si>
  <si>
    <t>Yield on cost</t>
  </si>
  <si>
    <t>DY atual</t>
  </si>
  <si>
    <t>Desvio do peso</t>
  </si>
  <si>
    <t>Aporte p/ peso ideal (R$)</t>
  </si>
  <si>
    <t>Provento 12m por cota (R$)</t>
  </si>
  <si>
    <t>Provento mensal por cota (R$)</t>
  </si>
  <si>
    <t>Renda mensal (R$)</t>
  </si>
  <si>
    <t>% da meta</t>
  </si>
  <si>
    <t>Cotas p/ meta</t>
  </si>
  <si>
    <t>Cotas faltantes</t>
  </si>
  <si>
    <t>Aporte p/ meta (R$)</t>
  </si>
  <si>
    <t>Meses p/ meta</t>
  </si>
  <si>
    <t>Segmento</t>
  </si>
  <si>
    <t>Subtotal ações</t>
  </si>
  <si>
    <t>Subtotal FIIs</t>
  </si>
  <si>
    <t>Como ler</t>
  </si>
  <si>
    <t>• Linhas em cinza: ativos do catálogo que você ainda não tem (a mesma lista serve de catálogo e de carteira).</t>
  </si>
  <si>
    <t>• Meta de renda: cotas p/ meta = meta mensal ÷ provento mensal por cota; aporte = cotas faltantes × cotação.</t>
  </si>
  <si>
    <t>• Tipo, segmento, cotação, provento 12m e peso ideal vêm de dados/ativos.csv (aba Ativos, oculta).</t>
  </si>
  <si>
    <t>Análises Dinâmicas</t>
  </si>
  <si>
    <t>Novo Lançamento</t>
  </si>
  <si>
    <t>Escolha o ticker, informe a quantidade e clique em Registrar — o resto vem do cadastro do ativo.</t>
  </si>
  <si>
    <t>cadastro-formulario-v3</t>
  </si>
  <si>
    <t>Amarelo = você preenche   •   Cinza ⟲ = automático   •   Botão Registrar grava na hora (habilite as macros ao abrir o arquivo)</t>
  </si>
  <si>
    <t>✚  Compra / venda de cotas</t>
  </si>
  <si>
    <t>◈  Provento recebido</t>
  </si>
  <si>
    <t>Últimos lançamentos</t>
  </si>
  <si>
    <t>Data  (vazio = hoje)</t>
  </si>
  <si>
    <t>Data pagamento  (vazio = hoje)</t>
  </si>
  <si>
    <t>Data</t>
  </si>
  <si>
    <t>Operação</t>
  </si>
  <si>
    <t>Cotas</t>
  </si>
  <si>
    <t>Preço (R$)</t>
  </si>
  <si>
    <t>Operação  (vazio = compra)</t>
  </si>
  <si>
    <t>Tipo de provento</t>
  </si>
  <si>
    <t>Quantidade de cotas</t>
  </si>
  <si>
    <t>Valor por cota (R$)</t>
  </si>
  <si>
    <t>Preço por cota  (vazio = cotação)</t>
  </si>
  <si>
    <t>Qtd de cotas  (vazio = suas cotas)</t>
  </si>
  <si>
    <t>Custos / taxas (R$)</t>
  </si>
  <si>
    <t>AUTOMÁTICO  ⟲</t>
  </si>
  <si>
    <t>DADOS DO ATIVO  ⟲ automático</t>
  </si>
  <si>
    <t>Cotas que você tem</t>
  </si>
  <si>
    <t>Ativo</t>
  </si>
  <si>
    <t>Total recebido</t>
  </si>
  <si>
    <t>Cotação atual (R$)</t>
  </si>
  <si>
    <t>SÓ PARA TICKER NOVO</t>
  </si>
  <si>
    <t>Tipo do ativo (AÇÃO / FII)</t>
  </si>
  <si>
    <t>RESUMO</t>
  </si>
  <si>
    <t>Total do lançamento</t>
  </si>
  <si>
    <t>Cotas após o lançamento</t>
  </si>
  <si>
    <t>Histórico completo na aba Lançamentos • posição de cada ativo na aba Carteira</t>
  </si>
  <si>
    <t>Cadastro de Ativos</t>
  </si>
  <si>
    <t>Gerado a partir de dados/ativos.csv — edite lá e rode gestao.py (ou atualizar.bat).</t>
  </si>
  <si>
    <t>Atualizado em</t>
  </si>
  <si>
    <t>VALE3</t>
  </si>
  <si>
    <t>AÇÃO</t>
  </si>
  <si>
    <t>Mineração</t>
  </si>
  <si>
    <t>25/09/2026</t>
  </si>
  <si>
    <t>TAEE11</t>
  </si>
  <si>
    <t>Energia – Transmissão</t>
  </si>
  <si>
    <t>PETR4</t>
  </si>
  <si>
    <t>Petróleo &amp; Gás</t>
  </si>
  <si>
    <t>BBAS3</t>
  </si>
  <si>
    <t>Bancos</t>
  </si>
  <si>
    <t>BRBI11</t>
  </si>
  <si>
    <t>Banco de investimento</t>
  </si>
  <si>
    <t>BBDC4</t>
  </si>
  <si>
    <t>ITSA4</t>
  </si>
  <si>
    <t>Holding – Bancos</t>
  </si>
  <si>
    <t>CMIG4</t>
  </si>
  <si>
    <t>Energia – Utilities</t>
  </si>
  <si>
    <t>FIQE3</t>
  </si>
  <si>
    <t>Telecom / Tecnologia</t>
  </si>
  <si>
    <t>KLBN11</t>
  </si>
  <si>
    <t>Papel &amp; Celulose</t>
  </si>
  <si>
    <t>MXRF11</t>
  </si>
  <si>
    <t>FII</t>
  </si>
  <si>
    <t>Papel (recebíveis)</t>
  </si>
  <si>
    <t>BRCR11</t>
  </si>
  <si>
    <t>Lajes corporativas</t>
  </si>
  <si>
    <t>XPLG11</t>
  </si>
  <si>
    <t>Logística</t>
  </si>
  <si>
    <t>XPML11</t>
  </si>
  <si>
    <t>Shopping</t>
  </si>
  <si>
    <t>SNAG11</t>
  </si>
  <si>
    <t>Fiagro</t>
  </si>
  <si>
    <t>CPTS11</t>
  </si>
  <si>
    <t>Híbrido (papel)</t>
  </si>
  <si>
    <t>Observações</t>
  </si>
  <si>
    <t>• Cotação, provento 12m e 'Atualizado em' são preenchidos pelo Yahoo Finance a cada execução; 'manual' = não atualizado online.</t>
  </si>
  <si>
    <t>• Peso ideal: participação desejada de cada ativo dentro da renda variável — deve somar 100%.</t>
  </si>
  <si>
    <t>Lançamentos de Compra e Venda</t>
  </si>
  <si>
    <t>Gerado a partir de dados/lancamentos.csv — edite lá e rode gestao.py (ou atualizar.bat).</t>
  </si>
  <si>
    <t>Quantidade</t>
  </si>
  <si>
    <t>Custos (R$)</t>
  </si>
  <si>
    <t>Total (R$)</t>
  </si>
  <si>
    <t>Proventos Recebidos</t>
  </si>
  <si>
    <t>Gerado a partir de dados/proventos.csv — edite lá e rode gestao.py (ou atualizar.bat).</t>
  </si>
  <si>
    <t>Data pagamento</t>
  </si>
  <si>
    <t>Qtd de cotas</t>
  </si>
  <si>
    <t>Premissas</t>
  </si>
  <si>
    <t>Gerado a partir de dados/config.json — edite lá e rode gestao.py (ou atualizar.bat).</t>
  </si>
  <si>
    <t>Parâmetro</t>
  </si>
  <si>
    <t>Valor</t>
  </si>
  <si>
    <t>Uso</t>
  </si>
  <si>
    <t>Meta mensal por ativo</t>
  </si>
  <si>
    <t>Renda que cada ativo deve pagar por mês</t>
  </si>
  <si>
    <t>Aporte mensal</t>
  </si>
  <si>
    <t>Quanto você investe por mês (tempo até a meta)</t>
  </si>
  <si>
    <t>Peso ideal da renda variável</t>
  </si>
  <si>
    <t>Ações + FIIs no patrimônio total</t>
  </si>
  <si>
    <t>Outras classes</t>
  </si>
  <si>
    <t>Peso ideal no patrimônio</t>
  </si>
  <si>
    <t>Renda fixa (CDB Nubank)</t>
  </si>
  <si>
    <t>Internacional</t>
  </si>
  <si>
    <t>Cripto</t>
  </si>
  <si>
    <t>Pontos a Conferir</t>
  </si>
  <si>
    <t>Checagens automáticas feitas a cada geração — corrija em dados/.</t>
  </si>
  <si>
    <t>Gravidade</t>
  </si>
  <si>
    <t>O que foi encontrado</t>
  </si>
  <si>
    <t>Nenhuma inconsistência encontrada.</t>
  </si>
  <si>
    <t>Mês</t>
  </si>
  <si>
    <t>Proventos</t>
  </si>
  <si>
    <t>Posição</t>
  </si>
  <si>
    <t>Lucro</t>
  </si>
  <si>
    <t>Lucro / prejuízo</t>
  </si>
  <si>
    <t>Aporte necessário</t>
  </si>
  <si>
    <t>Participação</t>
  </si>
  <si>
    <t>Carteira por tipo de ativo</t>
  </si>
  <si>
    <t>Total Geral</t>
  </si>
  <si>
    <t>Total investido</t>
  </si>
  <si>
    <t>Posição atual</t>
  </si>
  <si>
    <t>Proventos por ativo</t>
  </si>
  <si>
    <t>(Tudo)</t>
  </si>
  <si>
    <t>(vazio)</t>
  </si>
  <si>
    <t>Proventos recebidos</t>
  </si>
  <si>
    <t>Lançamentos por ativo</t>
  </si>
  <si>
    <t>Valor movimentado</t>
  </si>
  <si>
    <t>Clique numa tabela para ver a lista de campos • o filtro 'Tipo' atualiza a tabela e o gráfico.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</si>
</sst>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&quot;R$&quot;\ #,##0.00;[Red]\-&quot;R$&quot;\ #,##0.00;&quot;-&quot;"/>
    <numFmt numFmtId="165" formatCode="0.0%;[Red]\-0.0%;&quot;-&quot;"/>
    <numFmt numFmtId="166" formatCode="&quot;R$&quot;\ #,##0;[Red]\-&quot;R$&quot;\ #,##0;&quot;-&quot;"/>
    <numFmt numFmtId="167" formatCode="#,##0;[Red]\-#,##0;&quot;-&quot;"/>
    <numFmt numFmtId="168" formatCode="&quot;R$&quot;\ #,##0.0000"/>
    <numFmt numFmtId="169" formatCode="0&quot; meses&quot;;;&quot;atingida&quot;"/>
    <numFmt numFmtId="170" formatCode="&quot;R$ &quot;#,##0,&quot;k&quot;;\-&quot;R$ &quot;#,##0,&quot;k&quot;;&quot;R$ 0&quot;"/>
    <numFmt numFmtId="171" formatCode="0.0%"/>
    <numFmt numFmtId="172" formatCode="&quot;●  Atualizado em &quot;dd/mm/yyyy"/>
    <numFmt numFmtId="173" formatCode="0&quot; ativos em renda variável&quot;"/>
    <numFmt numFmtId="174" formatCode="0%&quot; do patrimônio&quot;"/>
    <numFmt numFmtId="175" formatCode="&quot;▲ &quot;0.0%&quot; valorização&quot;;&quot;▼ &quot;0.0%&quot; valorização&quot;;&quot;sem variação&quot;"/>
    <numFmt numFmtId="176" formatCode="&quot;R$ &quot;#,##0&quot; c/ prov.&quot;;&quot;-R$ &quot;#,##0&quot; c/ prov.&quot;;&quot;R$ 0 c/ prov.&quot;"/>
    <numFmt numFmtId="177" formatCode="&quot;DY 12m &quot;0.0%"/>
    <numFmt numFmtId="178" formatCode="&quot;R$ &quot;#,##0&quot; por ano&quot;"/>
    <numFmt numFmtId="179" formatCode="&quot;R$ &quot;#,##0&quot; por ativo&quot;"/>
    <numFmt numFmtId="180" formatCode="0.0%&quot; da renda total&quot;"/>
    <numFmt numFmtId="181" formatCode="#,##0&quot; cotas faltantes&quot;"/>
    <numFmt numFmtId="182" formatCode="&quot;Aporte de R$ &quot;#,##0&quot;/mês&quot;"/>
    <numFmt numFmtId="183" formatCode="0.0&quot; anos&quot;"/>
    <numFmt numFmtId="184" formatCode="&quot;▲ &quot;0.0%;&quot;▼ &quot;0.0%;0.0%"/>
    <numFmt numFmtId="185" formatCode="&quot;R$&quot;\ #,##0"/>
  </numFmts>
  <fonts count="29" x14ac:knownFonts="1">
    <font>
      <sz val="11"/>
      <color theme="1"/>
      <name val="Calibri"/>
      <family val="2"/>
      <scheme val="minor"/>
    </font>
    <font>
      <b/>
      <sz val="12"/>
      <color rgb="FFFFFFFF"/>
      <name val="Segoe UI"/>
    </font>
    <font>
      <b/>
      <sz val="15"/>
      <color rgb="FF0F172A"/>
      <name val="Segoe UI"/>
    </font>
    <font>
      <i/>
      <sz val="8"/>
      <color rgb="FF64748B"/>
      <name val="Segoe UI"/>
    </font>
    <font>
      <b/>
      <sz val="10"/>
      <color rgb="FFFFFFFF"/>
      <name val="Segoe UI"/>
    </font>
    <font>
      <sz val="10"/>
      <color rgb="FF0000FF"/>
      <name val="Segoe UI"/>
    </font>
    <font>
      <i/>
      <sz val="9"/>
      <color rgb="FF666666"/>
      <name val="Segoe UI"/>
    </font>
    <font>
      <b/>
      <sz val="10"/>
      <name val="Segoe UI"/>
    </font>
    <font>
      <sz val="9"/>
      <color rgb="FF444444"/>
      <name val="Segoe UI"/>
    </font>
    <font>
      <sz val="10"/>
      <color rgb="FF008000"/>
      <name val="Segoe UI"/>
    </font>
    <font>
      <sz val="10"/>
      <name val="Segoe UI"/>
    </font>
    <font>
      <sz val="1"/>
      <color rgb="FFFFFFFF"/>
      <name val="Calibri"/>
    </font>
    <font>
      <sz val="9"/>
      <color rgb="FF64748B"/>
      <name val="Segoe UI"/>
    </font>
    <font>
      <b/>
      <sz val="10"/>
      <color rgb="FF0000FF"/>
      <name val="Segoe UI"/>
    </font>
    <font>
      <b/>
      <sz val="7"/>
      <color rgb="FF64748B"/>
      <name val="Segoe UI"/>
    </font>
    <font>
      <sz val="10"/>
      <color rgb="FF334155"/>
      <name val="Segoe UI"/>
    </font>
    <font>
      <b/>
      <sz val="12"/>
      <color rgb="FF2563EB"/>
      <name val="Segoe UI"/>
    </font>
    <font>
      <b/>
      <sz val="9"/>
      <color rgb="FF16A34A"/>
      <name val="Segoe UI"/>
    </font>
    <font>
      <b/>
      <sz val="8"/>
      <color rgb="FF64748B"/>
      <name val="Segoe UI"/>
    </font>
    <font>
      <sz val="9"/>
      <color rgb="FF0F172A"/>
      <name val="Segoe UI"/>
    </font>
    <font>
      <b/>
      <sz val="9"/>
      <color rgb="FF0F172A"/>
      <name val="Segoe UI"/>
    </font>
    <font>
      <b/>
      <sz val="16"/>
      <color rgb="FF0F172A"/>
      <name val="Segoe UI"/>
    </font>
    <font>
      <sz val="8"/>
      <color rgb="FF64748B"/>
      <name val="Segoe UI"/>
    </font>
    <font>
      <b/>
      <sz val="9"/>
      <color rgb="FF2563EB"/>
      <name val="Segoe UI"/>
    </font>
    <font>
      <b/>
      <sz val="11"/>
      <color rgb="FF0F172A"/>
      <name val="Segoe UI"/>
    </font>
    <font>
      <b/>
      <sz val="10"/>
      <color rgb="FF0F172A"/>
      <name val="Segoe UI"/>
    </font>
    <font>
      <sz val="9"/>
      <color rgb="FF334155"/>
      <name val="Segoe UI"/>
    </font>
    <font>
      <b/>
      <i/>
      <sz val="11"/>
      <color rgb="FF0F172A"/>
      <name val="Segoe UI"/>
      <family val="2"/>
    </font>
    <font>
      <b/>
      <sz val="11"/>
      <color rgb="FF0F172A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F172A"/>
      </patternFill>
    </fill>
    <fill>
      <patternFill patternType="solid">
        <fgColor rgb="FFFFFFFF"/>
      </patternFill>
    </fill>
    <fill>
      <patternFill patternType="solid">
        <fgColor rgb="FF1E293B"/>
      </patternFill>
    </fill>
    <fill>
      <patternFill patternType="solid">
        <fgColor rgb="FFFFF7D6"/>
      </patternFill>
    </fill>
    <fill>
      <patternFill patternType="solid">
        <fgColor rgb="FFE8EDF4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2563EB"/>
      </patternFill>
    </fill>
  </fills>
  <borders count="17">
    <border>
      <left/>
      <right/>
      <top/>
      <bottom/>
      <diagonal/>
    </border>
    <border>
      <left/>
      <right/>
      <top/>
      <bottom style="medium">
        <color rgb="FF2563EB"/>
      </bottom>
      <diagonal/>
    </border>
    <border>
      <left style="thin">
        <color rgb="FFD8DFE9"/>
      </left>
      <right style="thin">
        <color rgb="FFD8DFE9"/>
      </right>
      <top style="thin">
        <color rgb="FFD8DFE9"/>
      </top>
      <bottom style="thin">
        <color rgb="FFD8DFE9"/>
      </bottom>
      <diagonal/>
    </border>
    <border>
      <left style="thin">
        <color rgb="FFE2E8F0"/>
      </left>
      <right/>
      <top/>
      <bottom/>
      <diagonal/>
    </border>
    <border>
      <left style="thin">
        <color rgb="FF93C5FD"/>
      </left>
      <right style="thin">
        <color rgb="FF93C5FD"/>
      </right>
      <top style="thin">
        <color rgb="FF93C5FD"/>
      </top>
      <bottom style="thin">
        <color rgb="FF93C5FD"/>
      </bottom>
      <diagonal/>
    </border>
    <border>
      <left/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 style="thin">
        <color rgb="FFEEF2F7"/>
      </top>
      <bottom style="thin">
        <color rgb="FFEEF2F7"/>
      </bottom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/>
      <right/>
      <top/>
      <bottom style="thin">
        <color rgb="FFE2E8F0"/>
      </bottom>
      <diagonal/>
    </border>
    <border>
      <left/>
      <right/>
      <top/>
      <bottom style="thin">
        <color rgb="FFEEF2F7"/>
      </bottom>
      <diagonal/>
    </border>
    <border>
      <left style="thin">
        <color rgb="FFE2E8F0"/>
      </left>
      <right/>
      <top style="thick">
        <color rgb="FF2563EB"/>
      </top>
      <bottom/>
      <diagonal/>
    </border>
    <border>
      <left/>
      <right/>
      <top style="thick">
        <color rgb="FF2563EB"/>
      </top>
      <bottom/>
      <diagonal/>
    </border>
    <border>
      <left/>
      <right style="thin">
        <color rgb="FFE2E8F0"/>
      </right>
      <top style="thick">
        <color rgb="FF2563EB"/>
      </top>
      <bottom/>
      <diagonal/>
    </border>
    <border>
      <left/>
      <right/>
      <top/>
      <bottom/>
      <diagonal/>
    </border>
    <border>
      <left/>
      <right/>
      <top/>
      <bottom style="hair">
        <color rgb="FFE2E8F0"/>
      </bottom>
      <diagonal/>
    </border>
    <border>
      <left/>
      <right/>
      <top/>
      <bottom style="thin">
        <color rgb="FFD8DFE9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2" borderId="0" xfId="0" applyFont="1" applyFill="1" applyAlignment="1">
      <alignment vertical="center"/>
    </xf>
    <xf numFmtId="0" fontId="0" fillId="2" borderId="0" xfId="0" applyFill="1"/>
    <xf numFmtId="0" fontId="0" fillId="3" borderId="0" xfId="0" applyFill="1"/>
    <xf numFmtId="0" fontId="21" fillId="3" borderId="0" xfId="0" applyFont="1" applyFill="1" applyAlignment="1">
      <alignment vertical="center"/>
    </xf>
    <xf numFmtId="0" fontId="0" fillId="3" borderId="9" xfId="0" applyFill="1" applyBorder="1"/>
    <xf numFmtId="0" fontId="22" fillId="3" borderId="9" xfId="0" applyFont="1" applyFill="1" applyBorder="1" applyAlignment="1">
      <alignment vertical="top"/>
    </xf>
    <xf numFmtId="0" fontId="0" fillId="8" borderId="0" xfId="0" applyFill="1"/>
    <xf numFmtId="0" fontId="24" fillId="8" borderId="0" xfId="0" applyFont="1" applyFill="1" applyAlignment="1">
      <alignment vertical="center"/>
    </xf>
    <xf numFmtId="0" fontId="22" fillId="8" borderId="0" xfId="0" applyFont="1" applyFill="1" applyAlignment="1">
      <alignment vertical="center"/>
    </xf>
    <xf numFmtId="0" fontId="2" fillId="3" borderId="1" xfId="0" applyFont="1" applyFill="1" applyBorder="1" applyAlignment="1">
      <alignment vertical="center" indent="1"/>
    </xf>
    <xf numFmtId="0" fontId="0" fillId="3" borderId="1" xfId="0" applyFill="1" applyBorder="1"/>
    <xf numFmtId="0" fontId="3" fillId="0" borderId="0" xfId="0" applyFont="1" applyAlignment="1">
      <alignment vertical="top" indent="1"/>
    </xf>
    <xf numFmtId="0" fontId="4" fillId="4" borderId="2" xfId="0" applyFont="1" applyFill="1" applyBorder="1" applyAlignment="1">
      <alignment horizontal="center" vertical="center" wrapText="1"/>
    </xf>
    <xf numFmtId="0" fontId="9" fillId="0" borderId="2" xfId="0" applyFont="1" applyBorder="1"/>
    <xf numFmtId="167" fontId="10" fillId="0" borderId="2" xfId="0" applyNumberFormat="1" applyFont="1" applyBorder="1"/>
    <xf numFmtId="164" fontId="10" fillId="0" borderId="2" xfId="0" applyNumberFormat="1" applyFont="1" applyBorder="1"/>
    <xf numFmtId="164" fontId="9" fillId="0" borderId="2" xfId="0" applyNumberFormat="1" applyFont="1" applyBorder="1"/>
    <xf numFmtId="165" fontId="10" fillId="0" borderId="2" xfId="0" applyNumberFormat="1" applyFont="1" applyBorder="1"/>
    <xf numFmtId="165" fontId="9" fillId="0" borderId="2" xfId="0" applyNumberFormat="1" applyFont="1" applyBorder="1"/>
    <xf numFmtId="168" fontId="10" fillId="0" borderId="2" xfId="0" applyNumberFormat="1" applyFont="1" applyBorder="1"/>
    <xf numFmtId="166" fontId="10" fillId="0" borderId="2" xfId="0" applyNumberFormat="1" applyFont="1" applyBorder="1"/>
    <xf numFmtId="169" fontId="10" fillId="0" borderId="2" xfId="0" applyNumberFormat="1" applyFont="1" applyBorder="1"/>
    <xf numFmtId="0" fontId="9" fillId="7" borderId="2" xfId="0" applyFont="1" applyFill="1" applyBorder="1"/>
    <xf numFmtId="167" fontId="10" fillId="7" borderId="2" xfId="0" applyNumberFormat="1" applyFont="1" applyFill="1" applyBorder="1"/>
    <xf numFmtId="164" fontId="10" fillId="7" borderId="2" xfId="0" applyNumberFormat="1" applyFont="1" applyFill="1" applyBorder="1"/>
    <xf numFmtId="164" fontId="9" fillId="7" borderId="2" xfId="0" applyNumberFormat="1" applyFont="1" applyFill="1" applyBorder="1"/>
    <xf numFmtId="165" fontId="10" fillId="7" borderId="2" xfId="0" applyNumberFormat="1" applyFont="1" applyFill="1" applyBorder="1"/>
    <xf numFmtId="165" fontId="9" fillId="7" borderId="2" xfId="0" applyNumberFormat="1" applyFont="1" applyFill="1" applyBorder="1"/>
    <xf numFmtId="168" fontId="10" fillId="7" borderId="2" xfId="0" applyNumberFormat="1" applyFont="1" applyFill="1" applyBorder="1"/>
    <xf numFmtId="166" fontId="10" fillId="7" borderId="2" xfId="0" applyNumberFormat="1" applyFont="1" applyFill="1" applyBorder="1"/>
    <xf numFmtId="169" fontId="10" fillId="7" borderId="2" xfId="0" applyNumberFormat="1" applyFont="1" applyFill="1" applyBorder="1"/>
    <xf numFmtId="0" fontId="7" fillId="6" borderId="2" xfId="0" applyFont="1" applyFill="1" applyBorder="1"/>
    <xf numFmtId="164" fontId="7" fillId="6" borderId="2" xfId="0" applyNumberFormat="1" applyFont="1" applyFill="1" applyBorder="1"/>
    <xf numFmtId="165" fontId="7" fillId="6" borderId="2" xfId="0" applyNumberFormat="1" applyFont="1" applyFill="1" applyBorder="1"/>
    <xf numFmtId="167" fontId="7" fillId="6" borderId="2" xfId="0" applyNumberFormat="1" applyFont="1" applyFill="1" applyBorder="1"/>
    <xf numFmtId="169" fontId="7" fillId="6" borderId="2" xfId="0" applyNumberFormat="1" applyFont="1" applyFill="1" applyBorder="1"/>
    <xf numFmtId="0" fontId="7" fillId="0" borderId="0" xfId="0" applyFont="1"/>
    <xf numFmtId="0" fontId="8" fillId="0" borderId="0" xfId="0" applyFont="1"/>
    <xf numFmtId="0" fontId="11" fillId="0" borderId="0" xfId="0" applyFont="1"/>
    <xf numFmtId="0" fontId="3" fillId="8" borderId="0" xfId="0" applyFont="1" applyFill="1"/>
    <xf numFmtId="0" fontId="12" fillId="3" borderId="3" xfId="0" applyFont="1" applyFill="1" applyBorder="1" applyAlignment="1">
      <alignment vertical="center" indent="1" shrinkToFit="1"/>
    </xf>
    <xf numFmtId="14" fontId="13" fillId="5" borderId="4" xfId="0" applyNumberFormat="1" applyFont="1" applyFill="1" applyBorder="1" applyAlignment="1">
      <alignment horizontal="right" vertical="center" indent="1" shrinkToFit="1"/>
    </xf>
    <xf numFmtId="0" fontId="18" fillId="7" borderId="9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left" vertical="center" indent="1" shrinkToFit="1"/>
    </xf>
    <xf numFmtId="14" fontId="19" fillId="3" borderId="10" xfId="0" applyNumberFormat="1" applyFont="1" applyFill="1" applyBorder="1" applyAlignment="1">
      <alignment horizontal="right"/>
    </xf>
    <xf numFmtId="0" fontId="20" fillId="3" borderId="10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167" fontId="19" fillId="3" borderId="10" xfId="0" applyNumberFormat="1" applyFont="1" applyFill="1" applyBorder="1" applyAlignment="1">
      <alignment horizontal="right"/>
    </xf>
    <xf numFmtId="164" fontId="19" fillId="3" borderId="10" xfId="0" applyNumberFormat="1" applyFont="1" applyFill="1" applyBorder="1" applyAlignment="1">
      <alignment horizontal="right"/>
    </xf>
    <xf numFmtId="167" fontId="13" fillId="5" borderId="4" xfId="0" applyNumberFormat="1" applyFont="1" applyFill="1" applyBorder="1" applyAlignment="1">
      <alignment horizontal="right" vertical="center" indent="1" shrinkToFit="1"/>
    </xf>
    <xf numFmtId="168" fontId="13" fillId="5" borderId="4" xfId="0" applyNumberFormat="1" applyFont="1" applyFill="1" applyBorder="1" applyAlignment="1">
      <alignment horizontal="right" vertical="center" indent="1" shrinkToFit="1"/>
    </xf>
    <xf numFmtId="164" fontId="13" fillId="5" borderId="4" xfId="0" applyNumberFormat="1" applyFont="1" applyFill="1" applyBorder="1" applyAlignment="1">
      <alignment horizontal="right" vertical="center" indent="1" shrinkToFit="1"/>
    </xf>
    <xf numFmtId="167" fontId="15" fillId="8" borderId="6" xfId="0" applyNumberFormat="1" applyFont="1" applyFill="1" applyBorder="1" applyAlignment="1">
      <alignment horizontal="right" vertical="center" indent="1" shrinkToFit="1"/>
    </xf>
    <xf numFmtId="0" fontId="15" fillId="8" borderId="6" xfId="0" applyFont="1" applyFill="1" applyBorder="1" applyAlignment="1">
      <alignment horizontal="left" vertical="center" indent="1" shrinkToFit="1"/>
    </xf>
    <xf numFmtId="164" fontId="16" fillId="8" borderId="6" xfId="0" applyNumberFormat="1" applyFont="1" applyFill="1" applyBorder="1" applyAlignment="1">
      <alignment horizontal="right" vertical="center" indent="1" shrinkToFit="1"/>
    </xf>
    <xf numFmtId="164" fontId="15" fillId="8" borderId="6" xfId="0" applyNumberFormat="1" applyFont="1" applyFill="1" applyBorder="1" applyAlignment="1">
      <alignment horizontal="right" vertical="center" indent="1" shrinkToFit="1"/>
    </xf>
    <xf numFmtId="0" fontId="5" fillId="5" borderId="2" xfId="0" applyFont="1" applyFill="1" applyBorder="1"/>
    <xf numFmtId="164" fontId="5" fillId="5" borderId="2" xfId="0" applyNumberFormat="1" applyFont="1" applyFill="1" applyBorder="1"/>
    <xf numFmtId="165" fontId="5" fillId="5" borderId="2" xfId="0" applyNumberFormat="1" applyFont="1" applyFill="1" applyBorder="1"/>
    <xf numFmtId="0" fontId="6" fillId="0" borderId="2" xfId="0" applyFont="1" applyBorder="1"/>
    <xf numFmtId="0" fontId="7" fillId="0" borderId="2" xfId="0" applyFont="1" applyBorder="1"/>
    <xf numFmtId="166" fontId="5" fillId="5" borderId="2" xfId="0" applyNumberFormat="1" applyFont="1" applyFill="1" applyBorder="1"/>
    <xf numFmtId="17" fontId="0" fillId="0" borderId="0" xfId="0" applyNumberFormat="1"/>
    <xf numFmtId="170" fontId="0" fillId="0" borderId="0" xfId="0" applyNumberFormat="1"/>
    <xf numFmtId="166" fontId="0" fillId="0" borderId="0" xfId="0" applyNumberFormat="1"/>
    <xf numFmtId="171" fontId="0" fillId="0" borderId="0" xfId="0" applyNumberFormat="1"/>
    <xf numFmtId="9" fontId="0" fillId="0" borderId="0" xfId="0" applyNumberFormat="1"/>
    <xf numFmtId="0" fontId="27" fillId="0" borderId="0" xfId="0" applyFont="1"/>
    <xf numFmtId="0" fontId="0" fillId="0" borderId="0" xfId="0" pivotButton="1"/>
    <xf numFmtId="185" fontId="0" fillId="0" borderId="0" xfId="0" applyNumberFormat="1"/>
    <xf numFmtId="0" fontId="28" fillId="0" borderId="0" xfId="0" applyFont="1"/>
    <xf numFmtId="165" fontId="7" fillId="6" borderId="0" xfId="0" applyNumberFormat="1" applyFont="1" applyFill="1" applyAlignment="1">
      <alignment horizontal="right" indent="1"/>
    </xf>
    <xf numFmtId="0" fontId="0" fillId="6" borderId="0" xfId="0" applyFill="1"/>
    <xf numFmtId="0" fontId="14" fillId="7" borderId="9" xfId="0" applyFont="1" applyFill="1" applyBorder="1" applyAlignment="1">
      <alignment horizontal="right" indent="1"/>
    </xf>
    <xf numFmtId="0" fontId="0" fillId="7" borderId="9" xfId="0" applyFill="1" applyBorder="1"/>
    <xf numFmtId="166" fontId="26" fillId="3" borderId="15" xfId="0" applyNumberFormat="1" applyFont="1" applyFill="1" applyBorder="1" applyAlignment="1">
      <alignment horizontal="right" indent="1"/>
    </xf>
    <xf numFmtId="0" fontId="0" fillId="3" borderId="15" xfId="0" applyFill="1" applyBorder="1"/>
    <xf numFmtId="184" fontId="26" fillId="3" borderId="15" xfId="0" applyNumberFormat="1" applyFont="1" applyFill="1" applyBorder="1" applyAlignment="1">
      <alignment horizontal="right" indent="1"/>
    </xf>
    <xf numFmtId="0" fontId="14" fillId="3" borderId="11" xfId="0" applyFont="1" applyFill="1" applyBorder="1" applyAlignment="1">
      <alignment horizontal="left" indent="1"/>
    </xf>
    <xf numFmtId="0" fontId="0" fillId="3" borderId="12" xfId="0" applyFill="1" applyBorder="1"/>
    <xf numFmtId="0" fontId="0" fillId="3" borderId="13" xfId="0" applyFill="1" applyBorder="1"/>
    <xf numFmtId="0" fontId="20" fillId="3" borderId="15" xfId="0" applyFont="1" applyFill="1" applyBorder="1" applyAlignment="1">
      <alignment horizontal="left" indent="1"/>
    </xf>
    <xf numFmtId="175" fontId="22" fillId="3" borderId="7" xfId="0" applyNumberFormat="1" applyFont="1" applyFill="1" applyBorder="1" applyAlignment="1">
      <alignment horizontal="left" vertical="top" indent="1"/>
    </xf>
    <xf numFmtId="0" fontId="0" fillId="3" borderId="9" xfId="0" applyFill="1" applyBorder="1"/>
    <xf numFmtId="0" fontId="0" fillId="3" borderId="8" xfId="0" applyFill="1" applyBorder="1"/>
    <xf numFmtId="165" fontId="10" fillId="3" borderId="16" xfId="0" applyNumberFormat="1" applyFont="1" applyFill="1" applyBorder="1" applyAlignment="1">
      <alignment horizontal="right" indent="1"/>
    </xf>
    <xf numFmtId="0" fontId="0" fillId="3" borderId="16" xfId="0" applyFill="1" applyBorder="1"/>
    <xf numFmtId="0" fontId="21" fillId="3" borderId="3" xfId="0" applyFont="1" applyFill="1" applyBorder="1" applyAlignment="1">
      <alignment horizontal="left" vertical="center" indent="1" shrinkToFit="1"/>
    </xf>
    <xf numFmtId="0" fontId="0" fillId="3" borderId="14" xfId="0" applyFill="1" applyBorder="1"/>
    <xf numFmtId="0" fontId="0" fillId="3" borderId="5" xfId="0" applyFill="1" applyBorder="1"/>
    <xf numFmtId="1" fontId="26" fillId="3" borderId="15" xfId="0" applyNumberFormat="1" applyFont="1" applyFill="1" applyBorder="1" applyAlignment="1">
      <alignment horizontal="center"/>
    </xf>
    <xf numFmtId="166" fontId="10" fillId="7" borderId="16" xfId="0" applyNumberFormat="1" applyFont="1" applyFill="1" applyBorder="1" applyAlignment="1">
      <alignment horizontal="right" indent="1"/>
    </xf>
    <xf numFmtId="0" fontId="0" fillId="7" borderId="16" xfId="0" applyFill="1" applyBorder="1"/>
    <xf numFmtId="183" fontId="22" fillId="3" borderId="7" xfId="0" applyNumberFormat="1" applyFont="1" applyFill="1" applyBorder="1" applyAlignment="1">
      <alignment horizontal="left" vertical="top" indent="1"/>
    </xf>
    <xf numFmtId="0" fontId="14" fillId="7" borderId="9" xfId="0" applyFont="1" applyFill="1" applyBorder="1" applyAlignment="1">
      <alignment horizontal="center"/>
    </xf>
    <xf numFmtId="166" fontId="7" fillId="6" borderId="0" xfId="0" applyNumberFormat="1" applyFont="1" applyFill="1" applyAlignment="1">
      <alignment horizontal="right" indent="1"/>
    </xf>
    <xf numFmtId="181" fontId="22" fillId="3" borderId="7" xfId="0" applyNumberFormat="1" applyFont="1" applyFill="1" applyBorder="1" applyAlignment="1">
      <alignment horizontal="left" vertical="top" indent="1"/>
    </xf>
    <xf numFmtId="173" fontId="22" fillId="3" borderId="7" xfId="0" applyNumberFormat="1" applyFont="1" applyFill="1" applyBorder="1" applyAlignment="1">
      <alignment horizontal="left" vertical="top" indent="1"/>
    </xf>
    <xf numFmtId="171" fontId="10" fillId="3" borderId="16" xfId="0" applyNumberFormat="1" applyFont="1" applyFill="1" applyBorder="1" applyAlignment="1">
      <alignment horizontal="right" indent="1"/>
    </xf>
    <xf numFmtId="0" fontId="7" fillId="6" borderId="0" xfId="0" applyFont="1" applyFill="1" applyAlignment="1">
      <alignment horizontal="right" indent="1"/>
    </xf>
    <xf numFmtId="166" fontId="21" fillId="3" borderId="3" xfId="0" applyNumberFormat="1" applyFont="1" applyFill="1" applyBorder="1" applyAlignment="1">
      <alignment horizontal="left" vertical="center" indent="1" shrinkToFit="1"/>
    </xf>
    <xf numFmtId="0" fontId="7" fillId="6" borderId="0" xfId="0" applyFont="1" applyFill="1" applyAlignment="1">
      <alignment horizontal="left" indent="1"/>
    </xf>
    <xf numFmtId="0" fontId="7" fillId="3" borderId="16" xfId="0" applyFont="1" applyFill="1" applyBorder="1" applyAlignment="1">
      <alignment horizontal="left" indent="1"/>
    </xf>
    <xf numFmtId="0" fontId="4" fillId="4" borderId="0" xfId="0" applyFont="1" applyFill="1" applyAlignment="1">
      <alignment horizontal="center" vertical="center" wrapText="1"/>
    </xf>
    <xf numFmtId="0" fontId="0" fillId="0" borderId="0" xfId="0"/>
    <xf numFmtId="174" fontId="22" fillId="3" borderId="7" xfId="0" applyNumberFormat="1" applyFont="1" applyFill="1" applyBorder="1" applyAlignment="1">
      <alignment horizontal="left" vertical="top" indent="1"/>
    </xf>
    <xf numFmtId="166" fontId="9" fillId="3" borderId="16" xfId="0" applyNumberFormat="1" applyFont="1" applyFill="1" applyBorder="1" applyAlignment="1">
      <alignment horizontal="right" indent="1"/>
    </xf>
    <xf numFmtId="172" fontId="23" fillId="3" borderId="0" xfId="0" applyNumberFormat="1" applyFont="1" applyFill="1" applyAlignment="1">
      <alignment horizontal="right" vertical="center"/>
    </xf>
    <xf numFmtId="171" fontId="26" fillId="3" borderId="15" xfId="0" applyNumberFormat="1" applyFont="1" applyFill="1" applyBorder="1" applyAlignment="1">
      <alignment horizontal="right" indent="1"/>
    </xf>
    <xf numFmtId="171" fontId="9" fillId="7" borderId="16" xfId="0" applyNumberFormat="1" applyFont="1" applyFill="1" applyBorder="1" applyAlignment="1">
      <alignment horizontal="right" indent="1"/>
    </xf>
    <xf numFmtId="177" fontId="22" fillId="3" borderId="7" xfId="0" applyNumberFormat="1" applyFont="1" applyFill="1" applyBorder="1" applyAlignment="1">
      <alignment horizontal="left" vertical="top" indent="1"/>
    </xf>
    <xf numFmtId="0" fontId="23" fillId="8" borderId="0" xfId="0" applyFont="1" applyFill="1" applyAlignment="1">
      <alignment vertical="center" indent="1"/>
    </xf>
    <xf numFmtId="171" fontId="10" fillId="7" borderId="16" xfId="0" applyNumberFormat="1" applyFont="1" applyFill="1" applyBorder="1" applyAlignment="1">
      <alignment horizontal="right" indent="1"/>
    </xf>
    <xf numFmtId="0" fontId="25" fillId="3" borderId="12" xfId="0" applyFont="1" applyFill="1" applyBorder="1" applyAlignment="1">
      <alignment horizontal="left" vertical="center" indent="1"/>
    </xf>
    <xf numFmtId="165" fontId="10" fillId="7" borderId="16" xfId="0" applyNumberFormat="1" applyFont="1" applyFill="1" applyBorder="1" applyAlignment="1">
      <alignment horizontal="right" indent="1"/>
    </xf>
    <xf numFmtId="0" fontId="7" fillId="7" borderId="16" xfId="0" applyFont="1" applyFill="1" applyBorder="1" applyAlignment="1">
      <alignment horizontal="left" indent="1"/>
    </xf>
    <xf numFmtId="166" fontId="9" fillId="7" borderId="16" xfId="0" applyNumberFormat="1" applyFont="1" applyFill="1" applyBorder="1" applyAlignment="1">
      <alignment horizontal="right" indent="1"/>
    </xf>
    <xf numFmtId="180" fontId="22" fillId="3" borderId="7" xfId="0" applyNumberFormat="1" applyFont="1" applyFill="1" applyBorder="1" applyAlignment="1">
      <alignment horizontal="left" vertical="top" indent="1"/>
    </xf>
    <xf numFmtId="171" fontId="9" fillId="3" borderId="16" xfId="0" applyNumberFormat="1" applyFont="1" applyFill="1" applyBorder="1" applyAlignment="1">
      <alignment horizontal="right" indent="1"/>
    </xf>
    <xf numFmtId="179" fontId="22" fillId="3" borderId="7" xfId="0" applyNumberFormat="1" applyFont="1" applyFill="1" applyBorder="1" applyAlignment="1">
      <alignment horizontal="left" vertical="top" indent="1"/>
    </xf>
    <xf numFmtId="166" fontId="10" fillId="3" borderId="16" xfId="0" applyNumberFormat="1" applyFont="1" applyFill="1" applyBorder="1" applyAlignment="1">
      <alignment horizontal="right" indent="1"/>
    </xf>
    <xf numFmtId="182" fontId="22" fillId="3" borderId="7" xfId="0" applyNumberFormat="1" applyFont="1" applyFill="1" applyBorder="1" applyAlignment="1">
      <alignment horizontal="left" vertical="top" indent="1"/>
    </xf>
    <xf numFmtId="169" fontId="21" fillId="3" borderId="3" xfId="0" applyNumberFormat="1" applyFont="1" applyFill="1" applyBorder="1" applyAlignment="1">
      <alignment horizontal="left" vertical="center" indent="1" shrinkToFit="1"/>
    </xf>
    <xf numFmtId="0" fontId="14" fillId="7" borderId="9" xfId="0" applyFont="1" applyFill="1" applyBorder="1" applyAlignment="1">
      <alignment horizontal="left" indent="1"/>
    </xf>
    <xf numFmtId="165" fontId="21" fillId="3" borderId="3" xfId="0" applyNumberFormat="1" applyFont="1" applyFill="1" applyBorder="1" applyAlignment="1">
      <alignment horizontal="left" vertical="center" indent="1" shrinkToFit="1"/>
    </xf>
    <xf numFmtId="178" fontId="22" fillId="3" borderId="7" xfId="0" applyNumberFormat="1" applyFont="1" applyFill="1" applyBorder="1" applyAlignment="1">
      <alignment horizontal="left" vertical="top" indent="1"/>
    </xf>
    <xf numFmtId="176" fontId="22" fillId="3" borderId="7" xfId="0" applyNumberFormat="1" applyFont="1" applyFill="1" applyBorder="1" applyAlignment="1">
      <alignment horizontal="left" vertical="top" indent="1"/>
    </xf>
    <xf numFmtId="0" fontId="14" fillId="3" borderId="3" xfId="0" applyFont="1" applyFill="1" applyBorder="1" applyAlignment="1">
      <alignment indent="1"/>
    </xf>
    <xf numFmtId="0" fontId="17" fillId="3" borderId="7" xfId="0" applyFont="1" applyFill="1" applyBorder="1" applyAlignment="1">
      <alignment vertical="center" wrapText="1" indent="1"/>
    </xf>
    <xf numFmtId="0" fontId="1" fillId="9" borderId="0" xfId="0" applyFont="1" applyFill="1" applyAlignment="1">
      <alignment vertical="center" indent="1"/>
    </xf>
    <xf numFmtId="0" fontId="0" fillId="9" borderId="0" xfId="0" applyFill="1"/>
    <xf numFmtId="0" fontId="1" fillId="4" borderId="0" xfId="0" applyFont="1" applyFill="1" applyAlignment="1">
      <alignment vertical="center" indent="1"/>
    </xf>
    <xf numFmtId="0" fontId="0" fillId="4" borderId="0" xfId="0" applyFill="1"/>
  </cellXfs>
  <cellStyles count="1">
    <cellStyle name="Normal" xfId="0" builtinId="0"/>
  </cellStyles>
  <dxfs count="15"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color rgb="FFCBD5E1"/>
        <name val="Segoe UI"/>
      </font>
    </dxf>
    <dxf>
      <font>
        <b/>
        <sz val="9"/>
        <color rgb="FF16A34A"/>
        <name val="Segoe UI"/>
      </font>
    </dxf>
    <dxf>
      <font>
        <b/>
        <sz val="9"/>
        <color rgb="FFDC2626"/>
        <name val="Segoe UI"/>
      </font>
    </dxf>
    <dxf>
      <font>
        <b/>
        <sz val="16"/>
        <color rgb="FF16A34A"/>
        <name val="Segoe UI"/>
      </font>
    </dxf>
    <dxf>
      <font>
        <b/>
        <sz val="16"/>
        <color rgb="FFDC2626"/>
        <name val="Segoe UI"/>
      </font>
    </dxf>
    <dxf>
      <font>
        <color rgb="FF16A34A"/>
        <name val="Segoe UI"/>
      </font>
    </dxf>
    <dxf>
      <font>
        <color rgb="FFDC2626"/>
        <name val="Segoe UI"/>
      </font>
    </dxf>
    <dxf>
      <font>
        <b/>
        <sz val="9"/>
        <color rgb="FF16A34A"/>
        <name val="Segoe UI"/>
      </font>
    </dxf>
    <dxf>
      <font>
        <b/>
        <sz val="9"/>
        <color rgb="FFDC2626"/>
        <name val="Segoe U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Participação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Painel'!$AJ$4</c:f>
              <c:strCache>
                <c:ptCount val="1"/>
                <c:pt idx="0">
                  <c:v>Participação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Painel'!$G$5:$G$20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Painel'!$AJ$5:$AJ$20</c:f>
              <c:numCache>
                <c:formatCode>0.0%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C-44CA-997D-86A9DD09DF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Lucro / prejuízo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Painel'!$V$4</c:f>
              <c:strCache>
                <c:ptCount val="1"/>
                <c:pt idx="0">
                  <c:v>Lucro / prejuízo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Painel'!$U$5:$U$20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Painel'!$V$5:$V$20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4-4A6A-800E-1EDE220F73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Alocação por classe: atual x ideal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Painel!$M$83</c:f>
              <c:strCache>
                <c:ptCount val="1"/>
                <c:pt idx="0">
                  <c:v>Peso atual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Painel!$C$84:$C$88</c:f>
              <c:strCache>
                <c:ptCount val="5"/>
                <c:pt idx="0">
                  <c:v>Ações</c:v>
                </c:pt>
                <c:pt idx="1">
                  <c:v>FIIs</c:v>
                </c:pt>
                <c:pt idx="2">
                  <c:v>Renda fixa (CDB Nubank)</c:v>
                </c:pt>
                <c:pt idx="3">
                  <c:v>Internacional</c:v>
                </c:pt>
                <c:pt idx="4">
                  <c:v>Cripto</c:v>
                </c:pt>
              </c:strCache>
            </c:strRef>
          </c:cat>
          <c:val>
            <c:numRef>
              <c:f>Painel!$M$84:$M$88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9-4F90-B32D-10D32E944E5C}"/>
            </c:ext>
          </c:extLst>
        </c:ser>
        <c:ser>
          <c:idx val="1"/>
          <c:order val="1"/>
          <c:tx>
            <c:strRef>
              <c:f>Painel!$Q$83</c:f>
              <c:strCache>
                <c:ptCount val="1"/>
                <c:pt idx="0">
                  <c:v>Peso ideal</c:v>
                </c:pt>
              </c:strCache>
            </c:strRef>
          </c:tx>
          <c:spPr>
            <a:solidFill>
              <a:srgbClr val="CBD5E1"/>
            </a:solidFill>
            <a:ln>
              <a:solidFill>
                <a:srgbClr val="CBD5E1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Painel!$C$84:$C$88</c:f>
              <c:strCache>
                <c:ptCount val="5"/>
                <c:pt idx="0">
                  <c:v>Ações</c:v>
                </c:pt>
                <c:pt idx="1">
                  <c:v>FIIs</c:v>
                </c:pt>
                <c:pt idx="2">
                  <c:v>Renda fixa (CDB Nubank)</c:v>
                </c:pt>
                <c:pt idx="3">
                  <c:v>Internacional</c:v>
                </c:pt>
                <c:pt idx="4">
                  <c:v>Cripto</c:v>
                </c:pt>
              </c:strCache>
            </c:strRef>
          </c:cat>
          <c:val>
            <c:numRef>
              <c:f>Painel!$Q$84:$Q$88</c:f>
              <c:numCache>
                <c:formatCode>0.0%</c:formatCode>
                <c:ptCount val="5"/>
                <c:pt idx="0">
                  <c:v>0.22399999999999992</c:v>
                </c:pt>
                <c:pt idx="1">
                  <c:v>9.5999999999999974E-2</c:v>
                </c:pt>
                <c:pt idx="2">
                  <c:v>0.5</c:v>
                </c:pt>
                <c:pt idx="3">
                  <c:v>0.15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9-4F90-B32D-10D32E944E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legend>
      <c:legendPos val="t"/>
      <c:overlay val="1"/>
    </c:legend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Progresso da meta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Painel'!$Z$4</c:f>
              <c:strCache>
                <c:ptCount val="1"/>
                <c:pt idx="0">
                  <c:v>% da meta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Painel'!$Y$5:$Y$20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Painel'!$Z$5:$Z$20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9-418A-A2FB-DC4BAC62DE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Aporte necessário para a meta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Painel'!$AD$4</c:f>
              <c:strCache>
                <c:ptCount val="1"/>
                <c:pt idx="0">
                  <c:v>Aporte necessário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Painel'!$AC$5:$AC$20</c:f>
              <c:strCache>
                <c:ptCount val="16"/>
                <c:pt idx="0">
                  <c:v>BBAS3</c:v>
                </c:pt>
                <c:pt idx="1">
                  <c:v>KLBN11</c:v>
                </c:pt>
                <c:pt idx="2">
                  <c:v>TAEE11</c:v>
                </c:pt>
                <c:pt idx="3">
                  <c:v>PETR4</c:v>
                </c:pt>
                <c:pt idx="4">
                  <c:v>VALE3</c:v>
                </c:pt>
                <c:pt idx="5">
                  <c:v>ITSA4</c:v>
                </c:pt>
                <c:pt idx="6">
                  <c:v>BBDC4</c:v>
                </c:pt>
                <c:pt idx="7">
                  <c:v>BRBI11</c:v>
                </c:pt>
                <c:pt idx="8">
                  <c:v>XPLG11</c:v>
                </c:pt>
                <c:pt idx="9">
                  <c:v>XPML11</c:v>
                </c:pt>
                <c:pt idx="10">
                  <c:v>BRCR11</c:v>
                </c:pt>
                <c:pt idx="11">
                  <c:v>CMIG4</c:v>
                </c:pt>
                <c:pt idx="12">
                  <c:v>MXRF11</c:v>
                </c:pt>
                <c:pt idx="13">
                  <c:v>FIQE3</c:v>
                </c:pt>
                <c:pt idx="14">
                  <c:v>CPTS11</c:v>
                </c:pt>
                <c:pt idx="15">
                  <c:v>SNAG11</c:v>
                </c:pt>
              </c:strCache>
            </c:strRef>
          </c:cat>
          <c:val>
            <c:numRef>
              <c:f>'Base Painel'!$AD$5:$AD$20</c:f>
              <c:numCache>
                <c:formatCode>"R$ "#,##0,"k";\-"R$ "#,##0,"k";"R$ 0"</c:formatCode>
                <c:ptCount val="16"/>
                <c:pt idx="0">
                  <c:v>395550.39</c:v>
                </c:pt>
                <c:pt idx="1">
                  <c:v>187598.4</c:v>
                </c:pt>
                <c:pt idx="2">
                  <c:v>162833.68</c:v>
                </c:pt>
                <c:pt idx="3">
                  <c:v>157429.25</c:v>
                </c:pt>
                <c:pt idx="4">
                  <c:v>151377.03</c:v>
                </c:pt>
                <c:pt idx="5">
                  <c:v>148867.59</c:v>
                </c:pt>
                <c:pt idx="6">
                  <c:v>138176.63999999998</c:v>
                </c:pt>
                <c:pt idx="7">
                  <c:v>128961.68000000001</c:v>
                </c:pt>
                <c:pt idx="8">
                  <c:v>112715.8</c:v>
                </c:pt>
                <c:pt idx="9">
                  <c:v>107067.8</c:v>
                </c:pt>
                <c:pt idx="10">
                  <c:v>100430.39999999999</c:v>
                </c:pt>
                <c:pt idx="11">
                  <c:v>96757.650000000009</c:v>
                </c:pt>
                <c:pt idx="12">
                  <c:v>91436.800000000003</c:v>
                </c:pt>
                <c:pt idx="13">
                  <c:v>89211.72</c:v>
                </c:pt>
                <c:pt idx="14">
                  <c:v>82784.400000000009</c:v>
                </c:pt>
                <c:pt idx="15">
                  <c:v>74582.900000000009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9-41A5-B9FF-7020581363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Proventos por mês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'Base Painel'!$B$1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'Base Painel'!$A$2:$A$13</c:f>
              <c:numCache>
                <c:formatCode>mmm\-yy</c:formatCode>
                <c:ptCount val="12"/>
                <c:pt idx="0">
                  <c:v>45931</c:v>
                </c:pt>
                <c:pt idx="1">
                  <c:v>45962</c:v>
                </c:pt>
                <c:pt idx="2">
                  <c:v>45992</c:v>
                </c:pt>
                <c:pt idx="3">
                  <c:v>46023</c:v>
                </c:pt>
                <c:pt idx="4">
                  <c:v>46054</c:v>
                </c:pt>
                <c:pt idx="5">
                  <c:v>46082</c:v>
                </c:pt>
                <c:pt idx="6">
                  <c:v>46113</c:v>
                </c:pt>
                <c:pt idx="7">
                  <c:v>46143</c:v>
                </c:pt>
                <c:pt idx="8">
                  <c:v>46174</c:v>
                </c:pt>
                <c:pt idx="9">
                  <c:v>46204</c:v>
                </c:pt>
                <c:pt idx="10">
                  <c:v>46235</c:v>
                </c:pt>
                <c:pt idx="11">
                  <c:v>46266</c:v>
                </c:pt>
              </c:numCache>
            </c:numRef>
          </c:cat>
          <c:val>
            <c:numRef>
              <c:f>'Base Painel'!$B$2:$B$13</c:f>
              <c:numCache>
                <c:formatCode>"R$ "#,##0,"k";\-"R$ "#,##0,"k";"R$ 0"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A-4E32-9529-CFB86BCE86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dateAx>
        <c:axId val="1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ln>
            <a:noFill/>
            <a:prstDash val="solid"/>
          </a:ln>
        </c:spPr>
        <c:crossAx val="100"/>
        <c:crosses val="autoZero"/>
        <c:auto val="1"/>
        <c:lblOffset val="100"/>
        <c:baseTimeUnit val="months"/>
        <c:majorUnit val="1"/>
      </c:dateAx>
      <c:valAx>
        <c:axId val="100"/>
        <c:scaling>
          <c:orientation val="minMax"/>
        </c:scaling>
        <c:delete val="0"/>
        <c:axPos val="l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autoZero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Proventos por ativo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'Base Painel'!$AH$4</c:f>
              <c:strCache>
                <c:ptCount val="1"/>
                <c:pt idx="0">
                  <c:v>Proventos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'Base Painel'!$AG$5:$AG$20</c:f>
              <c:strCache>
                <c:ptCount val="16"/>
                <c:pt idx="0">
                  <c:v>CPTS11</c:v>
                </c:pt>
                <c:pt idx="1">
                  <c:v>SNAG11</c:v>
                </c:pt>
                <c:pt idx="2">
                  <c:v>XPML11</c:v>
                </c:pt>
                <c:pt idx="3">
                  <c:v>XPLG11</c:v>
                </c:pt>
                <c:pt idx="4">
                  <c:v>BRCR11</c:v>
                </c:pt>
                <c:pt idx="5">
                  <c:v>MXRF11</c:v>
                </c:pt>
                <c:pt idx="6">
                  <c:v>KLBN11</c:v>
                </c:pt>
                <c:pt idx="7">
                  <c:v>FIQE3</c:v>
                </c:pt>
                <c:pt idx="8">
                  <c:v>CMIG4</c:v>
                </c:pt>
                <c:pt idx="9">
                  <c:v>ITSA4</c:v>
                </c:pt>
                <c:pt idx="10">
                  <c:v>BBDC4</c:v>
                </c:pt>
                <c:pt idx="11">
                  <c:v>BRBI11</c:v>
                </c:pt>
                <c:pt idx="12">
                  <c:v>BBAS3</c:v>
                </c:pt>
                <c:pt idx="13">
                  <c:v>PETR4</c:v>
                </c:pt>
                <c:pt idx="14">
                  <c:v>TAEE11</c:v>
                </c:pt>
                <c:pt idx="15">
                  <c:v>VALE3</c:v>
                </c:pt>
              </c:strCache>
            </c:strRef>
          </c:cat>
          <c:val>
            <c:numRef>
              <c:f>'Base Painel'!$AH$5:$AH$20</c:f>
              <c:numCache>
                <c:formatCode>"R$ "#,##0,"k";\-"R$ "#,##0,"k";"R$ 0"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4B5-A13B-9D876CA733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1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&quot;R$ &quot;#,##0,&quot;k&quot;;\-&quot;R$ &quot;#,##0,&quot;k&quot;;&quot;R$ 0&quot;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Peso atual x peso ideal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Carteira!$P$4</c:f>
              <c:strCache>
                <c:ptCount val="1"/>
                <c:pt idx="0">
                  <c:v>Peso atual</c:v>
                </c:pt>
              </c:strCache>
            </c:strRef>
          </c:tx>
          <c:spPr>
            <a:solidFill>
              <a:srgbClr val="2563EB"/>
            </a:solidFill>
            <a:ln>
              <a:solidFill>
                <a:srgbClr val="2563EB"/>
              </a:solidFill>
              <a:prstDash val="solid"/>
            </a:ln>
          </c:spPr>
          <c:invertIfNegative val="0"/>
          <c:cat>
            <c:strRef>
              <c:f>Carteira!$A$5:$A$20</c:f>
              <c:strCache>
                <c:ptCount val="16"/>
                <c:pt idx="0">
                  <c:v>VALE3</c:v>
                </c:pt>
                <c:pt idx="1">
                  <c:v>TAEE11</c:v>
                </c:pt>
                <c:pt idx="2">
                  <c:v>PETR4</c:v>
                </c:pt>
                <c:pt idx="3">
                  <c:v>BBAS3</c:v>
                </c:pt>
                <c:pt idx="4">
                  <c:v>BRBI11</c:v>
                </c:pt>
                <c:pt idx="5">
                  <c:v>BBDC4</c:v>
                </c:pt>
                <c:pt idx="6">
                  <c:v>ITSA4</c:v>
                </c:pt>
                <c:pt idx="7">
                  <c:v>CMIG4</c:v>
                </c:pt>
                <c:pt idx="8">
                  <c:v>FIQE3</c:v>
                </c:pt>
                <c:pt idx="9">
                  <c:v>KLBN11</c:v>
                </c:pt>
                <c:pt idx="10">
                  <c:v>MXRF11</c:v>
                </c:pt>
                <c:pt idx="11">
                  <c:v>BRCR11</c:v>
                </c:pt>
                <c:pt idx="12">
                  <c:v>XPLG11</c:v>
                </c:pt>
                <c:pt idx="13">
                  <c:v>XPML11</c:v>
                </c:pt>
                <c:pt idx="14">
                  <c:v>SNAG11</c:v>
                </c:pt>
                <c:pt idx="15">
                  <c:v>CPTS11</c:v>
                </c:pt>
              </c:strCache>
            </c:strRef>
          </c:cat>
          <c:val>
            <c:numRef>
              <c:f>Carteira!$P$5:$P$20</c:f>
              <c:numCache>
                <c:formatCode>0.0%;[Red]\-0.0%;"-"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C-4C34-A3DC-892102097163}"/>
            </c:ext>
          </c:extLst>
        </c:ser>
        <c:ser>
          <c:idx val="1"/>
          <c:order val="1"/>
          <c:tx>
            <c:strRef>
              <c:f>Carteira!$Q$4</c:f>
              <c:strCache>
                <c:ptCount val="1"/>
                <c:pt idx="0">
                  <c:v>Peso ideal</c:v>
                </c:pt>
              </c:strCache>
            </c:strRef>
          </c:tx>
          <c:spPr>
            <a:solidFill>
              <a:srgbClr val="CBD5E1"/>
            </a:solidFill>
            <a:ln>
              <a:solidFill>
                <a:srgbClr val="CBD5E1"/>
              </a:solidFill>
              <a:prstDash val="solid"/>
            </a:ln>
          </c:spPr>
          <c:invertIfNegative val="0"/>
          <c:cat>
            <c:strRef>
              <c:f>Carteira!$A$5:$A$20</c:f>
              <c:strCache>
                <c:ptCount val="16"/>
                <c:pt idx="0">
                  <c:v>VALE3</c:v>
                </c:pt>
                <c:pt idx="1">
                  <c:v>TAEE11</c:v>
                </c:pt>
                <c:pt idx="2">
                  <c:v>PETR4</c:v>
                </c:pt>
                <c:pt idx="3">
                  <c:v>BBAS3</c:v>
                </c:pt>
                <c:pt idx="4">
                  <c:v>BRBI11</c:v>
                </c:pt>
                <c:pt idx="5">
                  <c:v>BBDC4</c:v>
                </c:pt>
                <c:pt idx="6">
                  <c:v>ITSA4</c:v>
                </c:pt>
                <c:pt idx="7">
                  <c:v>CMIG4</c:v>
                </c:pt>
                <c:pt idx="8">
                  <c:v>FIQE3</c:v>
                </c:pt>
                <c:pt idx="9">
                  <c:v>KLBN11</c:v>
                </c:pt>
                <c:pt idx="10">
                  <c:v>MXRF11</c:v>
                </c:pt>
                <c:pt idx="11">
                  <c:v>BRCR11</c:v>
                </c:pt>
                <c:pt idx="12">
                  <c:v>XPLG11</c:v>
                </c:pt>
                <c:pt idx="13">
                  <c:v>XPML11</c:v>
                </c:pt>
                <c:pt idx="14">
                  <c:v>SNAG11</c:v>
                </c:pt>
                <c:pt idx="15">
                  <c:v>CPTS11</c:v>
                </c:pt>
              </c:strCache>
            </c:strRef>
          </c:cat>
          <c:val>
            <c:numRef>
              <c:f>Carteira!$Q$5:$Q$20</c:f>
              <c:numCache>
                <c:formatCode>0.0%;[Red]\-0.0%;"-"</c:formatCode>
                <c:ptCount val="16"/>
                <c:pt idx="0">
                  <c:v>0.1</c:v>
                </c:pt>
                <c:pt idx="1">
                  <c:v>0.05</c:v>
                </c:pt>
                <c:pt idx="2">
                  <c:v>7.0000000000000007E-2</c:v>
                </c:pt>
                <c:pt idx="3">
                  <c:v>0.06</c:v>
                </c:pt>
                <c:pt idx="4">
                  <c:v>0.05</c:v>
                </c:pt>
                <c:pt idx="5">
                  <c:v>0.05</c:v>
                </c:pt>
                <c:pt idx="6">
                  <c:v>0.1</c:v>
                </c:pt>
                <c:pt idx="7">
                  <c:v>0.1</c:v>
                </c:pt>
                <c:pt idx="8">
                  <c:v>0.05</c:v>
                </c:pt>
                <c:pt idx="9">
                  <c:v>7.0000000000000007E-2</c:v>
                </c:pt>
                <c:pt idx="10">
                  <c:v>0.05</c:v>
                </c:pt>
                <c:pt idx="11">
                  <c:v>0.04</c:v>
                </c:pt>
                <c:pt idx="12">
                  <c:v>0.06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8C-4C34-A3DC-89210209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>
            <a:noFill/>
            <a:prstDash val="solid"/>
          </a:ln>
        </c:spPr>
        <c:crossAx val="100"/>
        <c:crosses val="autoZero"/>
        <c:auto val="1"/>
        <c:lblAlgn val="ctr"/>
        <c:lblOffset val="100"/>
        <c:tickLblSkip val="1"/>
        <c:noMultiLvlLbl val="1"/>
      </c:catAx>
      <c:valAx>
        <c:axId val="100"/>
        <c:scaling>
          <c:orientation val="minMax"/>
        </c:scaling>
        <c:delete val="0"/>
        <c:axPos val="b"/>
        <c:majorGridlines>
          <c:spPr>
            <a:ln>
              <a:solidFill>
                <a:srgbClr val="EEF2F7"/>
              </a:solidFill>
              <a:prstDash val="solid"/>
            </a:ln>
          </c:spPr>
        </c:majorGridlines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crossAx val="10"/>
        <c:crosses val="max"/>
        <c:crossBetween val="between"/>
      </c:valAx>
    </c:plotArea>
    <c:legend>
      <c:legendPos val="t"/>
      <c:overlay val="1"/>
    </c:legend>
    <c:plotVisOnly val="1"/>
    <c:dispBlanksAs val="gap"/>
    <c:showDLblsOverMax val="1"/>
  </c:chart>
  <c:spPr>
    <a:ln>
      <a:solidFill>
        <a:srgbClr val="E2E8F0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 de investimentos.xlsm]Análises!ptGrafico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por ativo (filtre pelo tipo)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2563EB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 &quot;#,##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Análises!$S$7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563EB"/>
            </a:solidFill>
            <a:ln>
              <a:noFill/>
            </a:ln>
            <a:effectLst/>
          </c:spPr>
          <c:invertIfNegative val="0"/>
          <c:dLbls>
            <c:numFmt formatCode="&quot;R$ &quot;#,##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Análises!$R$8:$R$24</c:f>
              <c:strCache>
                <c:ptCount val="16"/>
                <c:pt idx="0">
                  <c:v>XPML11</c:v>
                </c:pt>
                <c:pt idx="1">
                  <c:v>SNAG11</c:v>
                </c:pt>
                <c:pt idx="2">
                  <c:v>MXRF11</c:v>
                </c:pt>
                <c:pt idx="3">
                  <c:v>BBDC4</c:v>
                </c:pt>
                <c:pt idx="4">
                  <c:v>VALE3</c:v>
                </c:pt>
                <c:pt idx="5">
                  <c:v>BRBI11</c:v>
                </c:pt>
                <c:pt idx="6">
                  <c:v>KLBN11</c:v>
                </c:pt>
                <c:pt idx="7">
                  <c:v>BRCR11</c:v>
                </c:pt>
                <c:pt idx="8">
                  <c:v>PETR4</c:v>
                </c:pt>
                <c:pt idx="9">
                  <c:v>CMIG4</c:v>
                </c:pt>
                <c:pt idx="10">
                  <c:v>TAEE11</c:v>
                </c:pt>
                <c:pt idx="11">
                  <c:v>CPTS11</c:v>
                </c:pt>
                <c:pt idx="12">
                  <c:v>XPLG11</c:v>
                </c:pt>
                <c:pt idx="13">
                  <c:v>FIQE3</c:v>
                </c:pt>
                <c:pt idx="14">
                  <c:v>BBAS3</c:v>
                </c:pt>
                <c:pt idx="15">
                  <c:v>ITSA4</c:v>
                </c:pt>
              </c:strCache>
            </c:strRef>
          </c:cat>
          <c:val>
            <c:numRef>
              <c:f>Análises!$S$8:$S$24</c:f>
              <c:numCache>
                <c:formatCode>"R$"\ 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F-4EED-92B4-9C3DB923F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7958399"/>
        <c:axId val="1284151343"/>
      </c:barChart>
      <c:catAx>
        <c:axId val="12179583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4151343"/>
        <c:crosses val="autoZero"/>
        <c:auto val="1"/>
        <c:lblAlgn val="ctr"/>
        <c:lblOffset val="100"/>
        <c:noMultiLvlLbl val="0"/>
      </c:catAx>
      <c:valAx>
        <c:axId val="1284151343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crossAx val="121795839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hyperlink" Target="#Lan&#231;amentos!A1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Cadastro!A1"/><Relationship Id="rId2" Type="http://schemas.openxmlformats.org/officeDocument/2006/relationships/chart" Target="../charts/chart2.xml"/><Relationship Id="rId16" Type="http://schemas.openxmlformats.org/officeDocument/2006/relationships/hyperlink" Target="#Verificar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An&#225;lises!A1"/><Relationship Id="rId5" Type="http://schemas.openxmlformats.org/officeDocument/2006/relationships/chart" Target="../charts/chart5.xml"/><Relationship Id="rId15" Type="http://schemas.openxmlformats.org/officeDocument/2006/relationships/hyperlink" Target="#Premissas!A1"/><Relationship Id="rId10" Type="http://schemas.openxmlformats.org/officeDocument/2006/relationships/hyperlink" Target="#Carteira!A1"/><Relationship Id="rId4" Type="http://schemas.openxmlformats.org/officeDocument/2006/relationships/chart" Target="../charts/chart4.xml"/><Relationship Id="rId9" Type="http://schemas.openxmlformats.org/officeDocument/2006/relationships/hyperlink" Target="#Painel!A1"/><Relationship Id="rId14" Type="http://schemas.openxmlformats.org/officeDocument/2006/relationships/hyperlink" Target="#Prov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Verificar!A1"/><Relationship Id="rId3" Type="http://schemas.openxmlformats.org/officeDocument/2006/relationships/hyperlink" Target="#An&#225;lises!A1"/><Relationship Id="rId7" Type="http://schemas.openxmlformats.org/officeDocument/2006/relationships/hyperlink" Target="#Premissas!A1"/><Relationship Id="rId2" Type="http://schemas.openxmlformats.org/officeDocument/2006/relationships/hyperlink" Target="#Carteira!A1"/><Relationship Id="rId1" Type="http://schemas.openxmlformats.org/officeDocument/2006/relationships/hyperlink" Target="#Painel!A1"/><Relationship Id="rId6" Type="http://schemas.openxmlformats.org/officeDocument/2006/relationships/hyperlink" Target="#Proventos!A1"/><Relationship Id="rId5" Type="http://schemas.openxmlformats.org/officeDocument/2006/relationships/hyperlink" Target="#Lan&#231;amentos!A1"/><Relationship Id="rId4" Type="http://schemas.openxmlformats.org/officeDocument/2006/relationships/hyperlink" Target="#Cadastro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28</xdr:row>
      <xdr:rowOff>0</xdr:rowOff>
    </xdr:from>
    <xdr:ext cx="3564000" cy="27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28</xdr:row>
      <xdr:rowOff>0</xdr:rowOff>
    </xdr:from>
    <xdr:ext cx="3564000" cy="2736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22</xdr:col>
      <xdr:colOff>0</xdr:colOff>
      <xdr:row>28</xdr:row>
      <xdr:rowOff>0</xdr:rowOff>
    </xdr:from>
    <xdr:ext cx="3564000" cy="2736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</xdr:col>
      <xdr:colOff>0</xdr:colOff>
      <xdr:row>46</xdr:row>
      <xdr:rowOff>0</xdr:rowOff>
    </xdr:from>
    <xdr:ext cx="5508000" cy="2736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17</xdr:col>
      <xdr:colOff>0</xdr:colOff>
      <xdr:row>46</xdr:row>
      <xdr:rowOff>0</xdr:rowOff>
    </xdr:from>
    <xdr:ext cx="5508000" cy="2736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0</xdr:colOff>
      <xdr:row>64</xdr:row>
      <xdr:rowOff>0</xdr:rowOff>
    </xdr:from>
    <xdr:ext cx="3564000" cy="2736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12</xdr:col>
      <xdr:colOff>0</xdr:colOff>
      <xdr:row>64</xdr:row>
      <xdr:rowOff>0</xdr:rowOff>
    </xdr:from>
    <xdr:ext cx="3564000" cy="27360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22</xdr:col>
      <xdr:colOff>0</xdr:colOff>
      <xdr:row>64</xdr:row>
      <xdr:rowOff>0</xdr:rowOff>
    </xdr:from>
    <xdr:ext cx="3564000" cy="2736000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twoCellAnchor editAs="absolute">
    <xdr:from>
      <xdr:col>5</xdr:col>
      <xdr:colOff>174625</xdr:colOff>
      <xdr:row>0</xdr:row>
      <xdr:rowOff>63500</xdr:rowOff>
    </xdr:from>
    <xdr:to>
      <xdr:col>7</xdr:col>
      <xdr:colOff>145415</xdr:colOff>
      <xdr:row>0</xdr:row>
      <xdr:rowOff>317500</xdr:rowOff>
    </xdr:to>
    <xdr:sp macro="" textlink="">
      <xdr:nvSpPr>
        <xdr:cNvPr id="10" name="nav_Painel">
          <a:hlinkClick xmlns:r="http://schemas.openxmlformats.org/officeDocument/2006/relationships" r:id="rId9" tooltip="Ir para Painel"/>
          <a:extLst>
            <a:ext uri="{FF2B5EF4-FFF2-40B4-BE49-F238E27FC236}">
              <a16:creationId xmlns:a16="http://schemas.microsoft.com/office/drawing/2014/main" id="{3E1F9896-E2D9-A518-0CA2-89FD9C3A9E77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7</xdr:col>
      <xdr:colOff>196215</xdr:colOff>
      <xdr:row>0</xdr:row>
      <xdr:rowOff>63500</xdr:rowOff>
    </xdr:from>
    <xdr:to>
      <xdr:col>9</xdr:col>
      <xdr:colOff>324485</xdr:colOff>
      <xdr:row>0</xdr:row>
      <xdr:rowOff>317500</xdr:rowOff>
    </xdr:to>
    <xdr:sp macro="" textlink="">
      <xdr:nvSpPr>
        <xdr:cNvPr id="11" name="nav_Carteira">
          <a:hlinkClick xmlns:r="http://schemas.openxmlformats.org/officeDocument/2006/relationships" r:id="rId10" tooltip="Ir para Carteira"/>
          <a:extLst>
            <a:ext uri="{FF2B5EF4-FFF2-40B4-BE49-F238E27FC236}">
              <a16:creationId xmlns:a16="http://schemas.microsoft.com/office/drawing/2014/main" id="{5AC61497-7809-D240-EC4F-36055BE8FCAB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10</xdr:col>
      <xdr:colOff>22860</xdr:colOff>
      <xdr:row>0</xdr:row>
      <xdr:rowOff>63500</xdr:rowOff>
    </xdr:from>
    <xdr:to>
      <xdr:col>12</xdr:col>
      <xdr:colOff>151130</xdr:colOff>
      <xdr:row>0</xdr:row>
      <xdr:rowOff>317500</xdr:rowOff>
    </xdr:to>
    <xdr:sp macro="" textlink="">
      <xdr:nvSpPr>
        <xdr:cNvPr id="12" name="nav_Análises">
          <a:hlinkClick xmlns:r="http://schemas.openxmlformats.org/officeDocument/2006/relationships" r:id="rId11" tooltip="Ir para Análises"/>
          <a:extLst>
            <a:ext uri="{FF2B5EF4-FFF2-40B4-BE49-F238E27FC236}">
              <a16:creationId xmlns:a16="http://schemas.microsoft.com/office/drawing/2014/main" id="{7D215C5D-FAF0-7BDB-D119-8477EDBD46CD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12</xdr:col>
      <xdr:colOff>201930</xdr:colOff>
      <xdr:row>0</xdr:row>
      <xdr:rowOff>63500</xdr:rowOff>
    </xdr:from>
    <xdr:to>
      <xdr:col>14</xdr:col>
      <xdr:colOff>330200</xdr:colOff>
      <xdr:row>0</xdr:row>
      <xdr:rowOff>317500</xdr:rowOff>
    </xdr:to>
    <xdr:sp macro="" textlink="">
      <xdr:nvSpPr>
        <xdr:cNvPr id="13" name="nav_Cadastro">
          <a:hlinkClick xmlns:r="http://schemas.openxmlformats.org/officeDocument/2006/relationships" r:id="rId12" tooltip="Ir para Cadastro"/>
          <a:extLst>
            <a:ext uri="{FF2B5EF4-FFF2-40B4-BE49-F238E27FC236}">
              <a16:creationId xmlns:a16="http://schemas.microsoft.com/office/drawing/2014/main" id="{B3DB813F-9E76-8A3D-29A1-567F360B8C05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15</xdr:col>
      <xdr:colOff>28575</xdr:colOff>
      <xdr:row>0</xdr:row>
      <xdr:rowOff>63500</xdr:rowOff>
    </xdr:from>
    <xdr:to>
      <xdr:col>18</xdr:col>
      <xdr:colOff>40640</xdr:colOff>
      <xdr:row>0</xdr:row>
      <xdr:rowOff>317500</xdr:rowOff>
    </xdr:to>
    <xdr:sp macro="" textlink="">
      <xdr:nvSpPr>
        <xdr:cNvPr id="14" name="nav_Lançamentos">
          <a:hlinkClick xmlns:r="http://schemas.openxmlformats.org/officeDocument/2006/relationships" r:id="rId13" tooltip="Ir para Lançamentos"/>
          <a:extLst>
            <a:ext uri="{FF2B5EF4-FFF2-40B4-BE49-F238E27FC236}">
              <a16:creationId xmlns:a16="http://schemas.microsoft.com/office/drawing/2014/main" id="{6F9274D4-5DCE-8B32-2C5E-A9052C42AEFB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18</xdr:col>
      <xdr:colOff>91440</xdr:colOff>
      <xdr:row>0</xdr:row>
      <xdr:rowOff>63500</xdr:rowOff>
    </xdr:from>
    <xdr:to>
      <xdr:col>20</xdr:col>
      <xdr:colOff>298450</xdr:colOff>
      <xdr:row>0</xdr:row>
      <xdr:rowOff>317500</xdr:rowOff>
    </xdr:to>
    <xdr:sp macro="" textlink="">
      <xdr:nvSpPr>
        <xdr:cNvPr id="15" name="nav_Proventos">
          <a:hlinkClick xmlns:r="http://schemas.openxmlformats.org/officeDocument/2006/relationships" r:id="rId14" tooltip="Ir para Proventos"/>
          <a:extLst>
            <a:ext uri="{FF2B5EF4-FFF2-40B4-BE49-F238E27FC236}">
              <a16:creationId xmlns:a16="http://schemas.microsoft.com/office/drawing/2014/main" id="{13E87767-6F56-BD19-DBAD-ED358512A59C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20</xdr:col>
      <xdr:colOff>349250</xdr:colOff>
      <xdr:row>0</xdr:row>
      <xdr:rowOff>63500</xdr:rowOff>
    </xdr:from>
    <xdr:to>
      <xdr:col>23</xdr:col>
      <xdr:colOff>203835</xdr:colOff>
      <xdr:row>0</xdr:row>
      <xdr:rowOff>317500</xdr:rowOff>
    </xdr:to>
    <xdr:sp macro="" textlink="">
      <xdr:nvSpPr>
        <xdr:cNvPr id="16" name="nav_Premissas">
          <a:hlinkClick xmlns:r="http://schemas.openxmlformats.org/officeDocument/2006/relationships" r:id="rId15" tooltip="Ir para Premissas"/>
          <a:extLst>
            <a:ext uri="{FF2B5EF4-FFF2-40B4-BE49-F238E27FC236}">
              <a16:creationId xmlns:a16="http://schemas.microsoft.com/office/drawing/2014/main" id="{DA41ACDE-1122-E68D-AF67-D8BB30A96D8D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23</xdr:col>
      <xdr:colOff>254635</xdr:colOff>
      <xdr:row>0</xdr:row>
      <xdr:rowOff>63500</xdr:rowOff>
    </xdr:from>
    <xdr:to>
      <xdr:col>26</xdr:col>
      <xdr:colOff>109220</xdr:colOff>
      <xdr:row>0</xdr:row>
      <xdr:rowOff>317500</xdr:rowOff>
    </xdr:to>
    <xdr:sp macro="" textlink="">
      <xdr:nvSpPr>
        <xdr:cNvPr id="17" name="nav_Verificar">
          <a:hlinkClick xmlns:r="http://schemas.openxmlformats.org/officeDocument/2006/relationships" r:id="rId16" tooltip="Ir para Verificar"/>
          <a:extLst>
            <a:ext uri="{FF2B5EF4-FFF2-40B4-BE49-F238E27FC236}">
              <a16:creationId xmlns:a16="http://schemas.microsoft.com/office/drawing/2014/main" id="{A1C78DD2-9593-67F0-FCE3-D6164E2E95DE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14</xdr:col>
      <xdr:colOff>25400</xdr:colOff>
      <xdr:row>1</xdr:row>
      <xdr:rowOff>38100</xdr:rowOff>
    </xdr:from>
    <xdr:to>
      <xdr:col>18</xdr:col>
      <xdr:colOff>327025</xdr:colOff>
      <xdr:row>1</xdr:row>
      <xdr:rowOff>390525</xdr:rowOff>
    </xdr:to>
    <xdr:sp macro="IrCadastro" textlink="">
      <xdr:nvSpPr>
        <xdr:cNvPr id="18" name="btn_IrCadastro">
          <a:extLst>
            <a:ext uri="{FF2B5EF4-FFF2-40B4-BE49-F238E27FC236}">
              <a16:creationId xmlns:a16="http://schemas.microsoft.com/office/drawing/2014/main" id="{9FA8D72D-06B3-8A4D-DD2F-5077121B3EE0}"/>
            </a:ext>
          </a:extLst>
        </xdr:cNvPr>
        <xdr:cNvSpPr/>
      </xdr:nvSpPr>
      <xdr:spPr>
        <a:xfrm>
          <a:off x="4521200" y="419100"/>
          <a:ext cx="1711325" cy="352425"/>
        </a:xfrm>
        <a:prstGeom prst="roundRect">
          <a:avLst>
            <a:gd name="adj" fmla="val 25000"/>
          </a:avLst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✚  Novo lançamento</a:t>
          </a:r>
        </a:p>
      </xdr:txBody>
    </xdr:sp>
    <xdr:clientData/>
  </xdr:twoCellAnchor>
  <xdr:twoCellAnchor editAs="oneCell">
    <xdr:from>
      <xdr:col>19</xdr:col>
      <xdr:colOff>25400</xdr:colOff>
      <xdr:row>1</xdr:row>
      <xdr:rowOff>38100</xdr:rowOff>
    </xdr:from>
    <xdr:to>
      <xdr:col>23</xdr:col>
      <xdr:colOff>327025</xdr:colOff>
      <xdr:row>1</xdr:row>
      <xdr:rowOff>390525</xdr:rowOff>
    </xdr:to>
    <xdr:sp macro="AtualizarTudo" textlink="">
      <xdr:nvSpPr>
        <xdr:cNvPr id="19" name="btn_AtualizarTudo">
          <a:extLst>
            <a:ext uri="{FF2B5EF4-FFF2-40B4-BE49-F238E27FC236}">
              <a16:creationId xmlns:a16="http://schemas.microsoft.com/office/drawing/2014/main" id="{77D8276D-9674-4D14-4F36-8BA33359ADA4}"/>
            </a:ext>
          </a:extLst>
        </xdr:cNvPr>
        <xdr:cNvSpPr/>
      </xdr:nvSpPr>
      <xdr:spPr>
        <a:xfrm>
          <a:off x="6283325" y="419100"/>
          <a:ext cx="1711325" cy="352425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93C5F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2563EB"/>
              </a:solidFill>
              <a:latin typeface="Segoe UI" panose="020B0502040204020203" pitchFamily="34" charset="0"/>
            </a:rPr>
            <a:t>⟳  Atualizar cotações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365125</xdr:colOff>
      <xdr:row>0</xdr:row>
      <xdr:rowOff>63500</xdr:rowOff>
    </xdr:from>
    <xdr:to>
      <xdr:col>3</xdr:col>
      <xdr:colOff>374015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B8B58C5D-4CF3-3C29-9E13-14E730B3757C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3</xdr:col>
      <xdr:colOff>424815</xdr:colOff>
      <xdr:row>0</xdr:row>
      <xdr:rowOff>63500</xdr:rowOff>
    </xdr:from>
    <xdr:to>
      <xdr:col>4</xdr:col>
      <xdr:colOff>457835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A39210FF-1542-01D2-55E2-ACB7D4062FBA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4</xdr:col>
      <xdr:colOff>508635</xdr:colOff>
      <xdr:row>0</xdr:row>
      <xdr:rowOff>63500</xdr:rowOff>
    </xdr:from>
    <xdr:to>
      <xdr:col>5</xdr:col>
      <xdr:colOff>341630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7B4CB0A1-F011-C2B7-102E-C050C230C435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5</xdr:col>
      <xdr:colOff>392430</xdr:colOff>
      <xdr:row>0</xdr:row>
      <xdr:rowOff>63500</xdr:rowOff>
    </xdr:from>
    <xdr:to>
      <xdr:col>6</xdr:col>
      <xdr:colOff>492125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1A854A44-CE06-2451-E9CC-B7D88E9F4123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63500</xdr:rowOff>
    </xdr:from>
    <xdr:to>
      <xdr:col>7</xdr:col>
      <xdr:colOff>612140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D104D8E3-A3F1-32F1-0692-AA801E612FA3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662940</xdr:colOff>
      <xdr:row>0</xdr:row>
      <xdr:rowOff>63500</xdr:rowOff>
    </xdr:from>
    <xdr:to>
      <xdr:col>8</xdr:col>
      <xdr:colOff>574675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2FBEA8C2-9FE4-134A-6D65-C2A8ABEBF3E8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8</xdr:col>
      <xdr:colOff>625475</xdr:colOff>
      <xdr:row>0</xdr:row>
      <xdr:rowOff>63500</xdr:rowOff>
    </xdr:from>
    <xdr:to>
      <xdr:col>9</xdr:col>
      <xdr:colOff>803910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F8059BE4-31F5-A1A8-DAF5-40E7D80ACDB5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9</xdr:col>
      <xdr:colOff>854710</xdr:colOff>
      <xdr:row>0</xdr:row>
      <xdr:rowOff>63500</xdr:rowOff>
    </xdr:from>
    <xdr:to>
      <xdr:col>10</xdr:col>
      <xdr:colOff>833120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882B6E40-9E07-88EF-BF92-18791DCDC803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784225</xdr:colOff>
      <xdr:row>0</xdr:row>
      <xdr:rowOff>63500</xdr:rowOff>
    </xdr:from>
    <xdr:to>
      <xdr:col>2</xdr:col>
      <xdr:colOff>507365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E77D161D-6278-8EC7-6E75-4FCBBB9A3820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3</xdr:col>
      <xdr:colOff>43815</xdr:colOff>
      <xdr:row>0</xdr:row>
      <xdr:rowOff>63500</xdr:rowOff>
    </xdr:from>
    <xdr:to>
      <xdr:col>3</xdr:col>
      <xdr:colOff>876935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E8BF799F-5391-7CBC-68B5-40FFACF4F9AB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3</xdr:col>
      <xdr:colOff>927735</xdr:colOff>
      <xdr:row>0</xdr:row>
      <xdr:rowOff>63500</xdr:rowOff>
    </xdr:from>
    <xdr:to>
      <xdr:col>5</xdr:col>
      <xdr:colOff>103505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08F31EDA-EF9B-F88B-8FF9-F321F7AE78E7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5</xdr:col>
      <xdr:colOff>154305</xdr:colOff>
      <xdr:row>0</xdr:row>
      <xdr:rowOff>63500</xdr:rowOff>
    </xdr:from>
    <xdr:to>
      <xdr:col>6</xdr:col>
      <xdr:colOff>787400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47905C5A-0FCA-43D5-BE13-A85DE458905F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6</xdr:col>
      <xdr:colOff>838200</xdr:colOff>
      <xdr:row>0</xdr:row>
      <xdr:rowOff>63500</xdr:rowOff>
    </xdr:from>
    <xdr:to>
      <xdr:col>7</xdr:col>
      <xdr:colOff>650240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B1985EBF-DCD6-16B9-8755-F347A2CA40FE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701040</xdr:colOff>
      <xdr:row>0</xdr:row>
      <xdr:rowOff>63500</xdr:rowOff>
    </xdr:from>
    <xdr:to>
      <xdr:col>9</xdr:col>
      <xdr:colOff>117475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5D97E616-3170-84E1-FEFF-02ABFBF67874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168275</xdr:colOff>
      <xdr:row>0</xdr:row>
      <xdr:rowOff>63500</xdr:rowOff>
    </xdr:from>
    <xdr:to>
      <xdr:col>10</xdr:col>
      <xdr:colOff>146685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90BBECF6-333E-AB65-83D4-6C77EE1A9DB5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10</xdr:col>
      <xdr:colOff>197485</xdr:colOff>
      <xdr:row>0</xdr:row>
      <xdr:rowOff>63500</xdr:rowOff>
    </xdr:from>
    <xdr:to>
      <xdr:col>11</xdr:col>
      <xdr:colOff>909320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A6D3915D-D4E9-6ED5-E40B-986AF65C33DA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12</xdr:col>
      <xdr:colOff>835025</xdr:colOff>
      <xdr:row>23</xdr:row>
      <xdr:rowOff>171450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B3EF8F5-B17B-14F9-B0BE-3D9113D71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0</xdr:colOff>
      <xdr:row>12</xdr:row>
      <xdr:rowOff>0</xdr:rowOff>
    </xdr:from>
    <xdr:to>
      <xdr:col>3</xdr:col>
      <xdr:colOff>612775</xdr:colOff>
      <xdr:row>18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">
              <a:extLst>
                <a:ext uri="{FF2B5EF4-FFF2-40B4-BE49-F238E27FC236}">
                  <a16:creationId xmlns:a16="http://schemas.microsoft.com/office/drawing/2014/main" id="{467B3A61-A54A-8BD2-738D-D65FD2DCFD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43200"/>
              <a:ext cx="2794000" cy="120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1365250</xdr:colOff>
      <xdr:row>0</xdr:row>
      <xdr:rowOff>63500</xdr:rowOff>
    </xdr:from>
    <xdr:to>
      <xdr:col>2</xdr:col>
      <xdr:colOff>40640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F48AAB04-396B-130B-DF76-8ED0393771EF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2</xdr:col>
      <xdr:colOff>91440</xdr:colOff>
      <xdr:row>0</xdr:row>
      <xdr:rowOff>63500</xdr:rowOff>
    </xdr:from>
    <xdr:to>
      <xdr:col>2</xdr:col>
      <xdr:colOff>924560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9703CDCE-94B3-9CAA-888D-24C455141430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975360</xdr:colOff>
      <xdr:row>0</xdr:row>
      <xdr:rowOff>63500</xdr:rowOff>
    </xdr:from>
    <xdr:to>
      <xdr:col>4</xdr:col>
      <xdr:colOff>141605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EC444914-3B31-DB80-7BDA-E2AE9DAB8120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4</xdr:col>
      <xdr:colOff>192405</xdr:colOff>
      <xdr:row>0</xdr:row>
      <xdr:rowOff>63500</xdr:rowOff>
    </xdr:from>
    <xdr:to>
      <xdr:col>4</xdr:col>
      <xdr:colOff>1025525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96D787BE-D059-4CE6-ECE3-5A8B3B1D37EC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4</xdr:col>
      <xdr:colOff>1076325</xdr:colOff>
      <xdr:row>0</xdr:row>
      <xdr:rowOff>63500</xdr:rowOff>
    </xdr:from>
    <xdr:to>
      <xdr:col>5</xdr:col>
      <xdr:colOff>145415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81CBE939-2397-E464-4EBF-9F0670FB3EEB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196215</xdr:colOff>
      <xdr:row>0</xdr:row>
      <xdr:rowOff>63500</xdr:rowOff>
    </xdr:from>
    <xdr:to>
      <xdr:col>5</xdr:col>
      <xdr:colOff>1108075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88FCCDB4-D18C-E021-7DB6-6BE1087D01D0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5</xdr:col>
      <xdr:colOff>1158875</xdr:colOff>
      <xdr:row>0</xdr:row>
      <xdr:rowOff>63500</xdr:rowOff>
    </xdr:from>
    <xdr:to>
      <xdr:col>7</xdr:col>
      <xdr:colOff>537210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6FDBC14C-6D0C-E9D7-8F9B-FEF3C529DD39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7</xdr:col>
      <xdr:colOff>588010</xdr:colOff>
      <xdr:row>0</xdr:row>
      <xdr:rowOff>63500</xdr:rowOff>
    </xdr:from>
    <xdr:to>
      <xdr:col>9</xdr:col>
      <xdr:colOff>99695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3F0616BD-E98B-AF99-6615-C743F46BC0B8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  <xdr:twoCellAnchor editAs="oneCell">
    <xdr:from>
      <xdr:col>1</xdr:col>
      <xdr:colOff>25400</xdr:colOff>
      <xdr:row>25</xdr:row>
      <xdr:rowOff>38100</xdr:rowOff>
    </xdr:from>
    <xdr:to>
      <xdr:col>1</xdr:col>
      <xdr:colOff>1974850</xdr:colOff>
      <xdr:row>25</xdr:row>
      <xdr:rowOff>361950</xdr:rowOff>
    </xdr:to>
    <xdr:sp macro="RegistrarLancamento" textlink="">
      <xdr:nvSpPr>
        <xdr:cNvPr id="10" name="btn_RegistrarLancamento">
          <a:extLst>
            <a:ext uri="{FF2B5EF4-FFF2-40B4-BE49-F238E27FC236}">
              <a16:creationId xmlns:a16="http://schemas.microsoft.com/office/drawing/2014/main" id="{88D4B5E2-683D-6D60-104C-CCAE50FC235E}"/>
            </a:ext>
          </a:extLst>
        </xdr:cNvPr>
        <xdr:cNvSpPr/>
      </xdr:nvSpPr>
      <xdr:spPr>
        <a:xfrm>
          <a:off x="158750" y="7200900"/>
          <a:ext cx="1949450" cy="323850"/>
        </a:xfrm>
        <a:prstGeom prst="roundRect">
          <a:avLst>
            <a:gd name="adj" fmla="val 25000"/>
          </a:avLst>
        </a:prstGeom>
        <a:solidFill>
          <a:srgbClr val="2563E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lançamento</a:t>
          </a:r>
        </a:p>
      </xdr:txBody>
    </xdr:sp>
    <xdr:clientData/>
  </xdr:twoCellAnchor>
  <xdr:twoCellAnchor editAs="oneCell">
    <xdr:from>
      <xdr:col>2</xdr:col>
      <xdr:colOff>25400</xdr:colOff>
      <xdr:row>25</xdr:row>
      <xdr:rowOff>38100</xdr:rowOff>
    </xdr:from>
    <xdr:to>
      <xdr:col>2</xdr:col>
      <xdr:colOff>1441450</xdr:colOff>
      <xdr:row>25</xdr:row>
      <xdr:rowOff>361950</xdr:rowOff>
    </xdr:to>
    <xdr:sp macro="LimparLancamento" textlink="">
      <xdr:nvSpPr>
        <xdr:cNvPr id="11" name="btn_LimparLancamento">
          <a:extLst>
            <a:ext uri="{FF2B5EF4-FFF2-40B4-BE49-F238E27FC236}">
              <a16:creationId xmlns:a16="http://schemas.microsoft.com/office/drawing/2014/main" id="{FF80C155-D5C4-12D4-C28B-B62634EB05BE}"/>
            </a:ext>
          </a:extLst>
        </xdr:cNvPr>
        <xdr:cNvSpPr/>
      </xdr:nvSpPr>
      <xdr:spPr>
        <a:xfrm>
          <a:off x="2159000" y="7200900"/>
          <a:ext cx="141605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  <xdr:twoCellAnchor editAs="oneCell">
    <xdr:from>
      <xdr:col>4</xdr:col>
      <xdr:colOff>25400</xdr:colOff>
      <xdr:row>17</xdr:row>
      <xdr:rowOff>38100</xdr:rowOff>
    </xdr:from>
    <xdr:to>
      <xdr:col>4</xdr:col>
      <xdr:colOff>1974850</xdr:colOff>
      <xdr:row>17</xdr:row>
      <xdr:rowOff>361950</xdr:rowOff>
    </xdr:to>
    <xdr:sp macro="RegistrarProvento" textlink="">
      <xdr:nvSpPr>
        <xdr:cNvPr id="12" name="btn_RegistrarProvento">
          <a:extLst>
            <a:ext uri="{FF2B5EF4-FFF2-40B4-BE49-F238E27FC236}">
              <a16:creationId xmlns:a16="http://schemas.microsoft.com/office/drawing/2014/main" id="{99453D22-9A90-9404-9F7D-B36825E35D29}"/>
            </a:ext>
          </a:extLst>
        </xdr:cNvPr>
        <xdr:cNvSpPr/>
      </xdr:nvSpPr>
      <xdr:spPr>
        <a:xfrm>
          <a:off x="3825875" y="4857750"/>
          <a:ext cx="1949450" cy="323850"/>
        </a:xfrm>
        <a:prstGeom prst="roundRect">
          <a:avLst>
            <a:gd name="adj" fmla="val 25000"/>
          </a:avLst>
        </a:prstGeom>
        <a:solidFill>
          <a:srgbClr val="1E293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✔  Registrar provento</a:t>
          </a:r>
        </a:p>
      </xdr:txBody>
    </xdr:sp>
    <xdr:clientData/>
  </xdr:twoCellAnchor>
  <xdr:twoCellAnchor editAs="oneCell">
    <xdr:from>
      <xdr:col>5</xdr:col>
      <xdr:colOff>25400</xdr:colOff>
      <xdr:row>17</xdr:row>
      <xdr:rowOff>38100</xdr:rowOff>
    </xdr:from>
    <xdr:to>
      <xdr:col>5</xdr:col>
      <xdr:colOff>1308100</xdr:colOff>
      <xdr:row>17</xdr:row>
      <xdr:rowOff>361950</xdr:rowOff>
    </xdr:to>
    <xdr:sp macro="LimparProvento" textlink="">
      <xdr:nvSpPr>
        <xdr:cNvPr id="13" name="btn_LimparProvento">
          <a:extLst>
            <a:ext uri="{FF2B5EF4-FFF2-40B4-BE49-F238E27FC236}">
              <a16:creationId xmlns:a16="http://schemas.microsoft.com/office/drawing/2014/main" id="{AA2A616A-55B1-7460-E785-E3E9BABEB4CA}"/>
            </a:ext>
          </a:extLst>
        </xdr:cNvPr>
        <xdr:cNvSpPr/>
      </xdr:nvSpPr>
      <xdr:spPr>
        <a:xfrm>
          <a:off x="5826125" y="4857750"/>
          <a:ext cx="1282700" cy="32385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1000" b="1">
              <a:solidFill>
                <a:srgbClr val="64748B"/>
              </a:solidFill>
              <a:latin typeface="Segoe UI" panose="020B0502040204020203" pitchFamily="34" charset="0"/>
            </a:rPr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31750</xdr:colOff>
      <xdr:row>0</xdr:row>
      <xdr:rowOff>63500</xdr:rowOff>
    </xdr:from>
    <xdr:to>
      <xdr:col>2</xdr:col>
      <xdr:colOff>707390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61BCDB26-A5D3-B1E0-967A-E942CE5B3D54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3</xdr:col>
      <xdr:colOff>24765</xdr:colOff>
      <xdr:row>0</xdr:row>
      <xdr:rowOff>63500</xdr:rowOff>
    </xdr:from>
    <xdr:to>
      <xdr:col>4</xdr:col>
      <xdr:colOff>57785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CB10DA4A-0951-A639-F287-EFBCC61DC1EF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4</xdr:col>
      <xdr:colOff>108585</xdr:colOff>
      <xdr:row>0</xdr:row>
      <xdr:rowOff>63500</xdr:rowOff>
    </xdr:from>
    <xdr:to>
      <xdr:col>5</xdr:col>
      <xdr:colOff>141605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28F07379-187E-19A0-63F6-A398717C0153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5</xdr:col>
      <xdr:colOff>192405</xdr:colOff>
      <xdr:row>0</xdr:row>
      <xdr:rowOff>63500</xdr:rowOff>
    </xdr:from>
    <xdr:to>
      <xdr:col>6</xdr:col>
      <xdr:colOff>292100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379781C6-82D1-9862-E62C-59321096E477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6</xdr:col>
      <xdr:colOff>342900</xdr:colOff>
      <xdr:row>0</xdr:row>
      <xdr:rowOff>63500</xdr:rowOff>
    </xdr:from>
    <xdr:to>
      <xdr:col>7</xdr:col>
      <xdr:colOff>412115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684877B6-11B3-BFAF-9CBA-5F68DE2C9F0F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462915</xdr:colOff>
      <xdr:row>0</xdr:row>
      <xdr:rowOff>63500</xdr:rowOff>
    </xdr:from>
    <xdr:to>
      <xdr:col>9</xdr:col>
      <xdr:colOff>155575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71D25D56-92D2-22D5-FB39-33D5733ACB8D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9</xdr:col>
      <xdr:colOff>206375</xdr:colOff>
      <xdr:row>0</xdr:row>
      <xdr:rowOff>63500</xdr:rowOff>
    </xdr:from>
    <xdr:to>
      <xdr:col>10</xdr:col>
      <xdr:colOff>508635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7F0A732F-F822-C7D0-7807-721EA5AC18DD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10</xdr:col>
      <xdr:colOff>559435</xdr:colOff>
      <xdr:row>0</xdr:row>
      <xdr:rowOff>63500</xdr:rowOff>
    </xdr:from>
    <xdr:to>
      <xdr:col>12</xdr:col>
      <xdr:colOff>252095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0C15821F-CE8E-B9E7-FE79-C787A6CEF03A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498475</xdr:colOff>
      <xdr:row>0</xdr:row>
      <xdr:rowOff>63500</xdr:rowOff>
    </xdr:from>
    <xdr:to>
      <xdr:col>2</xdr:col>
      <xdr:colOff>507365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7962D6F3-C545-300C-504C-92AF6E96D44C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2</xdr:col>
      <xdr:colOff>558165</xdr:colOff>
      <xdr:row>0</xdr:row>
      <xdr:rowOff>63500</xdr:rowOff>
    </xdr:from>
    <xdr:to>
      <xdr:col>3</xdr:col>
      <xdr:colOff>457835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55B1C3B1-3342-4EE3-AD9B-DF08E3817FB7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3</xdr:col>
      <xdr:colOff>508635</xdr:colOff>
      <xdr:row>0</xdr:row>
      <xdr:rowOff>63500</xdr:rowOff>
    </xdr:from>
    <xdr:to>
      <xdr:col>4</xdr:col>
      <xdr:colOff>274955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06D2BBBB-A6EA-30D3-88E6-81E81E5FDD92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4</xdr:col>
      <xdr:colOff>325755</xdr:colOff>
      <xdr:row>0</xdr:row>
      <xdr:rowOff>63500</xdr:rowOff>
    </xdr:from>
    <xdr:to>
      <xdr:col>5</xdr:col>
      <xdr:colOff>292100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6FE00669-16C9-2374-EF00-08D6E915902B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5</xdr:col>
      <xdr:colOff>342900</xdr:colOff>
      <xdr:row>0</xdr:row>
      <xdr:rowOff>63500</xdr:rowOff>
    </xdr:from>
    <xdr:to>
      <xdr:col>6</xdr:col>
      <xdr:colOff>412115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8AA6E9A6-3457-D37A-51A5-1EE8083F8762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462915</xdr:colOff>
      <xdr:row>0</xdr:row>
      <xdr:rowOff>63500</xdr:rowOff>
    </xdr:from>
    <xdr:to>
      <xdr:col>8</xdr:col>
      <xdr:colOff>155575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DB158B92-4FC1-227B-6C6E-C042518F222B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8</xdr:col>
      <xdr:colOff>206375</xdr:colOff>
      <xdr:row>0</xdr:row>
      <xdr:rowOff>63500</xdr:rowOff>
    </xdr:from>
    <xdr:to>
      <xdr:col>9</xdr:col>
      <xdr:colOff>508635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3FF019DD-B277-272C-5359-B2EF4A42E833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9</xdr:col>
      <xdr:colOff>559435</xdr:colOff>
      <xdr:row>0</xdr:row>
      <xdr:rowOff>63500</xdr:rowOff>
    </xdr:from>
    <xdr:to>
      <xdr:col>11</xdr:col>
      <xdr:colOff>252095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D8EC9644-C35E-76B7-0030-20BC89EB8860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1498600</xdr:colOff>
      <xdr:row>0</xdr:row>
      <xdr:rowOff>63500</xdr:rowOff>
    </xdr:from>
    <xdr:to>
      <xdr:col>1</xdr:col>
      <xdr:colOff>173990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15B3591F-03F1-5D11-55D6-4CACE70CAB8D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224790</xdr:colOff>
      <xdr:row>0</xdr:row>
      <xdr:rowOff>63500</xdr:rowOff>
    </xdr:from>
    <xdr:to>
      <xdr:col>1</xdr:col>
      <xdr:colOff>1057910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9362E255-66AE-1591-FDD0-88E38C354E82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41910</xdr:colOff>
      <xdr:row>0</xdr:row>
      <xdr:rowOff>63500</xdr:rowOff>
    </xdr:from>
    <xdr:to>
      <xdr:col>2</xdr:col>
      <xdr:colOff>875030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71CD3247-9A4B-473C-DE22-E2F93CA1E5B9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925830</xdr:colOff>
      <xdr:row>0</xdr:row>
      <xdr:rowOff>63500</xdr:rowOff>
    </xdr:from>
    <xdr:to>
      <xdr:col>2</xdr:col>
      <xdr:colOff>1758950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C5AF9ACE-96E2-9018-CA14-EAAA0126E2E2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2</xdr:col>
      <xdr:colOff>1809750</xdr:colOff>
      <xdr:row>0</xdr:row>
      <xdr:rowOff>63500</xdr:rowOff>
    </xdr:from>
    <xdr:to>
      <xdr:col>2</xdr:col>
      <xdr:colOff>2879090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3CE240AD-CA13-830F-5207-5928683BE9BD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</xdr:col>
      <xdr:colOff>2929890</xdr:colOff>
      <xdr:row>0</xdr:row>
      <xdr:rowOff>63500</xdr:rowOff>
    </xdr:from>
    <xdr:to>
      <xdr:col>4</xdr:col>
      <xdr:colOff>298450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090FB717-FE82-2000-C090-77DEAC47DF13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4</xdr:col>
      <xdr:colOff>349250</xdr:colOff>
      <xdr:row>0</xdr:row>
      <xdr:rowOff>63500</xdr:rowOff>
    </xdr:from>
    <xdr:to>
      <xdr:col>6</xdr:col>
      <xdr:colOff>41910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92F47144-179C-37F4-A80E-05BAD0B94788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6</xdr:col>
      <xdr:colOff>92710</xdr:colOff>
      <xdr:row>0</xdr:row>
      <xdr:rowOff>63500</xdr:rowOff>
    </xdr:from>
    <xdr:to>
      <xdr:col>7</xdr:col>
      <xdr:colOff>394970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C9680C8F-7C0A-2C13-BF27-37F4A12CC6AF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765175</xdr:colOff>
      <xdr:row>0</xdr:row>
      <xdr:rowOff>63500</xdr:rowOff>
    </xdr:from>
    <xdr:to>
      <xdr:col>1</xdr:col>
      <xdr:colOff>1440815</xdr:colOff>
      <xdr:row>0</xdr:row>
      <xdr:rowOff>317500</xdr:rowOff>
    </xdr:to>
    <xdr:sp macro="" textlink="">
      <xdr:nvSpPr>
        <xdr:cNvPr id="2" name="nav_Painel">
          <a:hlinkClick xmlns:r="http://schemas.openxmlformats.org/officeDocument/2006/relationships" r:id="rId1" tooltip="Ir para Painel"/>
          <a:extLst>
            <a:ext uri="{FF2B5EF4-FFF2-40B4-BE49-F238E27FC236}">
              <a16:creationId xmlns:a16="http://schemas.microsoft.com/office/drawing/2014/main" id="{D28C5B6C-19B7-F4E2-D403-E26A43572E6D}"/>
            </a:ext>
          </a:extLst>
        </xdr:cNvPr>
        <xdr:cNvSpPr/>
      </xdr:nvSpPr>
      <xdr:spPr>
        <a:xfrm>
          <a:off x="1498600" y="63500"/>
          <a:ext cx="6756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Painel</a:t>
          </a:r>
        </a:p>
      </xdr:txBody>
    </xdr:sp>
    <xdr:clientData/>
  </xdr:twoCellAnchor>
  <xdr:twoCellAnchor editAs="absolute">
    <xdr:from>
      <xdr:col>1</xdr:col>
      <xdr:colOff>1491615</xdr:colOff>
      <xdr:row>0</xdr:row>
      <xdr:rowOff>63500</xdr:rowOff>
    </xdr:from>
    <xdr:to>
      <xdr:col>2</xdr:col>
      <xdr:colOff>724535</xdr:colOff>
      <xdr:row>0</xdr:row>
      <xdr:rowOff>317500</xdr:rowOff>
    </xdr:to>
    <xdr:sp macro="" textlink="">
      <xdr:nvSpPr>
        <xdr:cNvPr id="3" name="nav_Carteira">
          <a:hlinkClick xmlns:r="http://schemas.openxmlformats.org/officeDocument/2006/relationships" r:id="rId2" tooltip="Ir para Carteira"/>
          <a:extLst>
            <a:ext uri="{FF2B5EF4-FFF2-40B4-BE49-F238E27FC236}">
              <a16:creationId xmlns:a16="http://schemas.microsoft.com/office/drawing/2014/main" id="{8E41491A-CDA2-28A8-7A3F-4ACD796FFDF6}"/>
            </a:ext>
          </a:extLst>
        </xdr:cNvPr>
        <xdr:cNvSpPr/>
      </xdr:nvSpPr>
      <xdr:spPr>
        <a:xfrm>
          <a:off x="222504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Carteira</a:t>
          </a:r>
        </a:p>
      </xdr:txBody>
    </xdr:sp>
    <xdr:clientData/>
  </xdr:twoCellAnchor>
  <xdr:twoCellAnchor editAs="absolute">
    <xdr:from>
      <xdr:col>2</xdr:col>
      <xdr:colOff>775335</xdr:colOff>
      <xdr:row>0</xdr:row>
      <xdr:rowOff>63500</xdr:rowOff>
    </xdr:from>
    <xdr:to>
      <xdr:col>2</xdr:col>
      <xdr:colOff>1608455</xdr:colOff>
      <xdr:row>0</xdr:row>
      <xdr:rowOff>317500</xdr:rowOff>
    </xdr:to>
    <xdr:sp macro="" textlink="">
      <xdr:nvSpPr>
        <xdr:cNvPr id="4" name="nav_Análises">
          <a:hlinkClick xmlns:r="http://schemas.openxmlformats.org/officeDocument/2006/relationships" r:id="rId3" tooltip="Ir para Análises"/>
          <a:extLst>
            <a:ext uri="{FF2B5EF4-FFF2-40B4-BE49-F238E27FC236}">
              <a16:creationId xmlns:a16="http://schemas.microsoft.com/office/drawing/2014/main" id="{1C2752EC-8FE2-5E3B-2FF8-7923D2A4606C}"/>
            </a:ext>
          </a:extLst>
        </xdr:cNvPr>
        <xdr:cNvSpPr/>
      </xdr:nvSpPr>
      <xdr:spPr>
        <a:xfrm>
          <a:off x="310896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Análises</a:t>
          </a:r>
        </a:p>
      </xdr:txBody>
    </xdr:sp>
    <xdr:clientData/>
  </xdr:twoCellAnchor>
  <xdr:twoCellAnchor editAs="absolute">
    <xdr:from>
      <xdr:col>2</xdr:col>
      <xdr:colOff>1659255</xdr:colOff>
      <xdr:row>0</xdr:row>
      <xdr:rowOff>63500</xdr:rowOff>
    </xdr:from>
    <xdr:to>
      <xdr:col>2</xdr:col>
      <xdr:colOff>2492375</xdr:colOff>
      <xdr:row>0</xdr:row>
      <xdr:rowOff>317500</xdr:rowOff>
    </xdr:to>
    <xdr:sp macro="" textlink="">
      <xdr:nvSpPr>
        <xdr:cNvPr id="5" name="nav_Cadastro">
          <a:hlinkClick xmlns:r="http://schemas.openxmlformats.org/officeDocument/2006/relationships" r:id="rId4" tooltip="Ir para Cadastro"/>
          <a:extLst>
            <a:ext uri="{FF2B5EF4-FFF2-40B4-BE49-F238E27FC236}">
              <a16:creationId xmlns:a16="http://schemas.microsoft.com/office/drawing/2014/main" id="{57DED724-0385-2845-C152-ED24B60DA53D}"/>
            </a:ext>
          </a:extLst>
        </xdr:cNvPr>
        <xdr:cNvSpPr/>
      </xdr:nvSpPr>
      <xdr:spPr>
        <a:xfrm>
          <a:off x="3992880" y="63500"/>
          <a:ext cx="83312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✚ Lançar</a:t>
          </a:r>
        </a:p>
      </xdr:txBody>
    </xdr:sp>
    <xdr:clientData/>
  </xdr:twoCellAnchor>
  <xdr:twoCellAnchor editAs="absolute">
    <xdr:from>
      <xdr:col>2</xdr:col>
      <xdr:colOff>2543175</xdr:colOff>
      <xdr:row>0</xdr:row>
      <xdr:rowOff>63500</xdr:rowOff>
    </xdr:from>
    <xdr:to>
      <xdr:col>2</xdr:col>
      <xdr:colOff>3612515</xdr:colOff>
      <xdr:row>0</xdr:row>
      <xdr:rowOff>317500</xdr:rowOff>
    </xdr:to>
    <xdr:sp macro="" textlink="">
      <xdr:nvSpPr>
        <xdr:cNvPr id="6" name="nav_Lançamentos">
          <a:hlinkClick xmlns:r="http://schemas.openxmlformats.org/officeDocument/2006/relationships" r:id="rId5" tooltip="Ir para Lançamentos"/>
          <a:extLst>
            <a:ext uri="{FF2B5EF4-FFF2-40B4-BE49-F238E27FC236}">
              <a16:creationId xmlns:a16="http://schemas.microsoft.com/office/drawing/2014/main" id="{A00DB3A9-D3B5-D00E-B4CD-B6C5C66EB64F}"/>
            </a:ext>
          </a:extLst>
        </xdr:cNvPr>
        <xdr:cNvSpPr/>
      </xdr:nvSpPr>
      <xdr:spPr>
        <a:xfrm>
          <a:off x="4876800" y="63500"/>
          <a:ext cx="106934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Lançamentos</a:t>
          </a:r>
        </a:p>
      </xdr:txBody>
    </xdr:sp>
    <xdr:clientData/>
  </xdr:twoCellAnchor>
  <xdr:twoCellAnchor editAs="absolute">
    <xdr:from>
      <xdr:col>2</xdr:col>
      <xdr:colOff>3663315</xdr:colOff>
      <xdr:row>0</xdr:row>
      <xdr:rowOff>63500</xdr:rowOff>
    </xdr:from>
    <xdr:to>
      <xdr:col>2</xdr:col>
      <xdr:colOff>4575175</xdr:colOff>
      <xdr:row>0</xdr:row>
      <xdr:rowOff>317500</xdr:rowOff>
    </xdr:to>
    <xdr:sp macro="" textlink="">
      <xdr:nvSpPr>
        <xdr:cNvPr id="7" name="nav_Proventos">
          <a:hlinkClick xmlns:r="http://schemas.openxmlformats.org/officeDocument/2006/relationships" r:id="rId6" tooltip="Ir para Proventos"/>
          <a:extLst>
            <a:ext uri="{FF2B5EF4-FFF2-40B4-BE49-F238E27FC236}">
              <a16:creationId xmlns:a16="http://schemas.microsoft.com/office/drawing/2014/main" id="{B6BFABEC-2EC5-6B33-CE38-EF278F604220}"/>
            </a:ext>
          </a:extLst>
        </xdr:cNvPr>
        <xdr:cNvSpPr/>
      </xdr:nvSpPr>
      <xdr:spPr>
        <a:xfrm>
          <a:off x="599694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Proventos</a:t>
          </a:r>
        </a:p>
      </xdr:txBody>
    </xdr:sp>
    <xdr:clientData/>
  </xdr:twoCellAnchor>
  <xdr:twoCellAnchor editAs="absolute">
    <xdr:from>
      <xdr:col>2</xdr:col>
      <xdr:colOff>4625975</xdr:colOff>
      <xdr:row>0</xdr:row>
      <xdr:rowOff>63500</xdr:rowOff>
    </xdr:from>
    <xdr:to>
      <xdr:col>2</xdr:col>
      <xdr:colOff>5537835</xdr:colOff>
      <xdr:row>0</xdr:row>
      <xdr:rowOff>317500</xdr:rowOff>
    </xdr:to>
    <xdr:sp macro="" textlink="">
      <xdr:nvSpPr>
        <xdr:cNvPr id="8" name="nav_Premissas">
          <a:hlinkClick xmlns:r="http://schemas.openxmlformats.org/officeDocument/2006/relationships" r:id="rId7" tooltip="Ir para Premissas"/>
          <a:extLst>
            <a:ext uri="{FF2B5EF4-FFF2-40B4-BE49-F238E27FC236}">
              <a16:creationId xmlns:a16="http://schemas.microsoft.com/office/drawing/2014/main" id="{00D2C607-697E-30C4-9450-97B9E66610F8}"/>
            </a:ext>
          </a:extLst>
        </xdr:cNvPr>
        <xdr:cNvSpPr/>
      </xdr:nvSpPr>
      <xdr:spPr>
        <a:xfrm>
          <a:off x="6959600" y="63500"/>
          <a:ext cx="911860" cy="254000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0">
              <a:solidFill>
                <a:srgbClr val="CBD5E1"/>
              </a:solidFill>
              <a:latin typeface="Segoe UI" panose="020B0502040204020203" pitchFamily="34" charset="0"/>
            </a:rPr>
            <a:t>Premissas</a:t>
          </a:r>
        </a:p>
      </xdr:txBody>
    </xdr:sp>
    <xdr:clientData/>
  </xdr:twoCellAnchor>
  <xdr:twoCellAnchor editAs="absolute">
    <xdr:from>
      <xdr:col>2</xdr:col>
      <xdr:colOff>5588635</xdr:colOff>
      <xdr:row>0</xdr:row>
      <xdr:rowOff>63500</xdr:rowOff>
    </xdr:from>
    <xdr:to>
      <xdr:col>2</xdr:col>
      <xdr:colOff>6500495</xdr:colOff>
      <xdr:row>0</xdr:row>
      <xdr:rowOff>317500</xdr:rowOff>
    </xdr:to>
    <xdr:sp macro="" textlink="">
      <xdr:nvSpPr>
        <xdr:cNvPr id="9" name="nav_Verificar">
          <a:hlinkClick xmlns:r="http://schemas.openxmlformats.org/officeDocument/2006/relationships" r:id="rId8" tooltip="Ir para Verificar"/>
          <a:extLst>
            <a:ext uri="{FF2B5EF4-FFF2-40B4-BE49-F238E27FC236}">
              <a16:creationId xmlns:a16="http://schemas.microsoft.com/office/drawing/2014/main" id="{9E2B4296-DF10-CE7E-2840-E2FC3C68800D}"/>
            </a:ext>
          </a:extLst>
        </xdr:cNvPr>
        <xdr:cNvSpPr/>
      </xdr:nvSpPr>
      <xdr:spPr>
        <a:xfrm>
          <a:off x="7922260" y="63500"/>
          <a:ext cx="911860" cy="254000"/>
        </a:xfrm>
        <a:prstGeom prst="roundRect">
          <a:avLst/>
        </a:prstGeom>
        <a:solidFill>
          <a:srgbClr val="2563E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Verificar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1.442734722223" createdVersion="6" refreshedVersion="8" minRefreshableVersion="3" recordCount="1" xr:uid="{F4607FFF-EE6E-40C9-8AB7-8928CD3E0138}">
  <cacheSource type="worksheet">
    <worksheetSource name="tLancamentos"/>
  </cacheSource>
  <cacheFields count="7">
    <cacheField name="Data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Operação" numFmtId="0">
      <sharedItems containsNonDate="0" containsString="0" containsBlank="1" count="1">
        <m/>
      </sharedItems>
    </cacheField>
    <cacheField name="Quantidade" numFmtId="0">
      <sharedItems containsNonDate="0" containsString="0" containsBlank="1"/>
    </cacheField>
    <cacheField name="Preço (R$)" numFmtId="0">
      <sharedItems containsNonDate="0" containsString="0" containsBlank="1"/>
    </cacheField>
    <cacheField name="Custos (R$)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1.442735763892" createdVersion="6" refreshedVersion="8" minRefreshableVersion="3" recordCount="1" xr:uid="{73A6C151-42D4-40E9-98AB-2FAF26A3E6E3}">
  <cacheSource type="worksheet">
    <worksheetSource name="tProventos"/>
  </cacheSource>
  <cacheFields count="6">
    <cacheField name="Data pagamento" numFmtId="0">
      <sharedItems containsNonDate="0" containsString="0" containsBlank="1"/>
    </cacheField>
    <cacheField name="Ticker" numFmtId="0">
      <sharedItems containsNonDate="0" containsString="0" containsBlank="1" count="1">
        <m/>
      </sharedItems>
    </cacheField>
    <cacheField name="Tipo" numFmtId="0">
      <sharedItems containsNonDate="0" containsString="0" containsBlank="1" count="1">
        <m/>
      </sharedItems>
    </cacheField>
    <cacheField name="Valor por cota (R$)" numFmtId="0">
      <sharedItems containsNonDate="0" containsString="0" containsBlank="1"/>
    </cacheField>
    <cacheField name="Qtd de cotas" numFmtId="0">
      <sharedItems containsNonDate="0" containsString="0" containsBlank="1"/>
    </cacheField>
    <cacheField name="Total (R$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theus vinicius" refreshedDate="46291.442736458332" createdVersion="6" refreshedVersion="8" minRefreshableVersion="3" recordCount="16" xr:uid="{118B7E31-8BA8-41F7-A6A4-C0EC582C56AD}">
  <cacheSource type="worksheet">
    <worksheetSource name="tCarteira"/>
  </cacheSource>
  <cacheFields count="28">
    <cacheField name="Ticker" numFmtId="0">
      <sharedItems count="16">
        <s v="VALE3"/>
        <s v="TAEE11"/>
        <s v="PETR4"/>
        <s v="BBAS3"/>
        <s v="BRBI11"/>
        <s v="BBDC4"/>
        <s v="ITSA4"/>
        <s v="CMIG4"/>
        <s v="FIQE3"/>
        <s v="KLBN11"/>
        <s v="MXRF11"/>
        <s v="BRCR11"/>
        <s v="XPLG11"/>
        <s v="XPML11"/>
        <s v="SNAG11"/>
        <s v="CPTS11"/>
      </sharedItems>
    </cacheField>
    <cacheField name="Tipo" numFmtId="0">
      <sharedItems count="2">
        <s v="AÇÃO"/>
        <s v="FII"/>
      </sharedItems>
    </cacheField>
    <cacheField name="Qtd atual" numFmtId="167">
      <sharedItems containsSemiMixedTypes="0" containsString="0" containsNumber="1" containsInteger="1" minValue="0" maxValue="0"/>
    </cacheField>
    <cacheField name="Preço médio (R$)" numFmtId="164">
      <sharedItems containsSemiMixedTypes="0" containsString="0" containsNumber="1" containsInteger="1" minValue="0" maxValue="0"/>
    </cacheField>
    <cacheField name="Valor investido (R$)" numFmtId="164">
      <sharedItems containsSemiMixedTypes="0" containsString="0" containsNumber="1" containsInteger="1" minValue="0" maxValue="0"/>
    </cacheField>
    <cacheField name="Cotação (R$)" numFmtId="164">
      <sharedItems containsSemiMixedTypes="0" containsString="0" containsNumber="1" minValue="5.07" maxValue="98.68"/>
    </cacheField>
    <cacheField name="Posição atual (R$)" numFmtId="164">
      <sharedItems containsSemiMixedTypes="0" containsString="0" containsNumber="1" containsInteger="1" minValue="0" maxValue="0"/>
    </cacheField>
    <cacheField name="Lucro / prejuízo (R$)" numFmtId="164">
      <sharedItems containsSemiMixedTypes="0" containsString="0" containsNumber="1" containsInteger="1" minValue="0" maxValue="0"/>
    </cacheField>
    <cacheField name="Valorização" numFmtId="165">
      <sharedItems containsSemiMixedTypes="0" containsString="0" containsNumber="1" containsInteger="1" minValue="0" maxValue="0"/>
    </cacheField>
    <cacheField name="Proventos recebidos (R$)" numFmtId="164">
      <sharedItems containsSemiMixedTypes="0" containsString="0" containsNumber="1" containsInteger="1" minValue="0" maxValue="0"/>
    </cacheField>
    <cacheField name="Proventos 12m (R$)" numFmtId="164">
      <sharedItems containsSemiMixedTypes="0" containsString="0" containsNumber="1" containsInteger="1" minValue="0" maxValue="0"/>
    </cacheField>
    <cacheField name="Retorno total (R$)" numFmtId="164">
      <sharedItems containsSemiMixedTypes="0" containsString="0" containsNumber="1" containsInteger="1" minValue="0" maxValue="0"/>
    </cacheField>
    <cacheField name="Retorno total %" numFmtId="165">
      <sharedItems containsSemiMixedTypes="0" containsString="0" containsNumber="1" containsInteger="1" minValue="0" maxValue="0"/>
    </cacheField>
    <cacheField name="Yield on cost" numFmtId="165">
      <sharedItems containsSemiMixedTypes="0" containsString="0" containsNumber="1" containsInteger="1" minValue="0" maxValue="0"/>
    </cacheField>
    <cacheField name="DY atual" numFmtId="165">
      <sharedItems containsSemiMixedTypes="0" containsString="0" containsNumber="1" minValue="3.0338119499768414E-2" maxValue="0.16089613034623218"/>
    </cacheField>
    <cacheField name="Peso atual" numFmtId="165">
      <sharedItems containsSemiMixedTypes="0" containsString="0" containsNumber="1" containsInteger="1" minValue="0" maxValue="0"/>
    </cacheField>
    <cacheField name="Peso ideal" numFmtId="165">
      <sharedItems containsSemiMixedTypes="0" containsString="0" containsNumber="1" minValue="0.04" maxValue="0.1"/>
    </cacheField>
    <cacheField name="Desvio do peso" numFmtId="165">
      <sharedItems containsSemiMixedTypes="0" containsString="0" containsNumber="1" minValue="-0.1" maxValue="-0.04"/>
    </cacheField>
    <cacheField name="Aporte p/ peso ideal (R$)" numFmtId="164">
      <sharedItems containsSemiMixedTypes="0" containsString="0" containsNumber="1" containsInteger="1" minValue="0" maxValue="0"/>
    </cacheField>
    <cacheField name="Provento 12m por cota (R$)" numFmtId="164">
      <sharedItems containsSemiMixedTypes="0" containsString="0" containsNumber="1" minValue="0.65500000000000003" maxValue="11.0694"/>
    </cacheField>
    <cacheField name="Provento mensal por cota (R$)" numFmtId="168">
      <sharedItems containsSemiMixedTypes="0" containsString="0" containsNumber="1" minValue="5.4583333333333338E-2" maxValue="0.92244999999999999"/>
    </cacheField>
    <cacheField name="Renda mensal (R$)" numFmtId="164">
      <sharedItems containsSemiMixedTypes="0" containsString="0" containsNumber="1" containsInteger="1" minValue="0" maxValue="0"/>
    </cacheField>
    <cacheField name="% da meta" numFmtId="165">
      <sharedItems containsSemiMixedTypes="0" containsString="0" containsNumber="1" containsInteger="1" minValue="0" maxValue="0"/>
    </cacheField>
    <cacheField name="Cotas p/ meta" numFmtId="167">
      <sharedItems containsSemiMixedTypes="0" containsString="0" containsNumber="1" containsInteger="1" minValue="1085" maxValue="18321"/>
    </cacheField>
    <cacheField name="Cotas faltantes" numFmtId="167">
      <sharedItems containsSemiMixedTypes="0" containsString="0" containsNumber="1" containsInteger="1" minValue="1085" maxValue="18321"/>
    </cacheField>
    <cacheField name="Aporte p/ meta (R$)" numFmtId="166">
      <sharedItems containsSemiMixedTypes="0" containsString="0" containsNumber="1" minValue="74582.900000000009" maxValue="395550.39"/>
    </cacheField>
    <cacheField name="Meses p/ meta" numFmtId="169">
      <sharedItems containsSemiMixedTypes="0" containsString="0" containsNumber="1" containsInteger="1" minValue="25" maxValue="132"/>
    </cacheField>
    <cacheField name="Segmento" numFmtId="0">
      <sharedItems/>
    </cacheField>
  </cacheFields>
  <extLst>
    <ext xmlns:x14="http://schemas.microsoft.com/office/spreadsheetml/2009/9/main" uri="{725AE2AE-9491-48be-B2B4-4EB974FC3084}">
      <x14:pivotCacheDefinition pivotCacheId="13031776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0"/>
    <n v="0"/>
    <n v="0"/>
    <n v="70.77"/>
    <n v="0"/>
    <n v="0"/>
    <n v="0"/>
    <n v="0"/>
    <n v="0"/>
    <n v="0"/>
    <n v="0"/>
    <n v="0"/>
    <n v="7.9306203193443545E-2"/>
    <n v="0"/>
    <n v="0.1"/>
    <n v="-0.1"/>
    <n v="0"/>
    <n v="5.6124999999999998"/>
    <n v="0.46770833333333334"/>
    <n v="0"/>
    <n v="0"/>
    <n v="2139"/>
    <n v="2139"/>
    <n v="151377.03"/>
    <n v="51"/>
    <s v="Mineração"/>
  </r>
  <r>
    <x v="1"/>
    <x v="0"/>
    <n v="0"/>
    <n v="0"/>
    <n v="0"/>
    <n v="40.79"/>
    <n v="0"/>
    <n v="0"/>
    <n v="0"/>
    <n v="0"/>
    <n v="0"/>
    <n v="0"/>
    <n v="0"/>
    <n v="0"/>
    <n v="7.3706790880117681E-2"/>
    <n v="0"/>
    <n v="0.05"/>
    <n v="-0.05"/>
    <n v="0"/>
    <n v="3.0065"/>
    <n v="0.25054166666666666"/>
    <n v="0"/>
    <n v="0"/>
    <n v="3992"/>
    <n v="3992"/>
    <n v="162833.68"/>
    <n v="55"/>
    <s v="Energia – Transmissão"/>
  </r>
  <r>
    <x v="2"/>
    <x v="0"/>
    <n v="0"/>
    <n v="0"/>
    <n v="0"/>
    <n v="48.07"/>
    <n v="0"/>
    <n v="0"/>
    <n v="0"/>
    <n v="0"/>
    <n v="0"/>
    <n v="0"/>
    <n v="0"/>
    <n v="0"/>
    <n v="7.6228416892032455E-2"/>
    <n v="0"/>
    <n v="7.0000000000000007E-2"/>
    <n v="-7.0000000000000007E-2"/>
    <n v="0"/>
    <n v="3.6642999999999999"/>
    <n v="0.30535833333333334"/>
    <n v="0"/>
    <n v="0"/>
    <n v="3275"/>
    <n v="3275"/>
    <n v="157429.25"/>
    <n v="53"/>
    <s v="Petróleo &amp; Gás"/>
  </r>
  <r>
    <x v="3"/>
    <x v="0"/>
    <n v="0"/>
    <n v="0"/>
    <n v="0"/>
    <n v="21.59"/>
    <n v="0"/>
    <n v="0"/>
    <n v="0"/>
    <n v="0"/>
    <n v="0"/>
    <n v="0"/>
    <n v="0"/>
    <n v="0"/>
    <n v="3.0338119499768414E-2"/>
    <n v="0"/>
    <n v="0.06"/>
    <n v="-0.06"/>
    <n v="0"/>
    <n v="0.65500000000000003"/>
    <n v="5.4583333333333338E-2"/>
    <n v="0"/>
    <n v="0"/>
    <n v="18321"/>
    <n v="18321"/>
    <n v="395550.39"/>
    <n v="132"/>
    <s v="Bancos"/>
  </r>
  <r>
    <x v="4"/>
    <x v="0"/>
    <n v="0"/>
    <n v="0"/>
    <n v="0"/>
    <n v="14.83"/>
    <n v="0"/>
    <n v="0"/>
    <n v="0"/>
    <n v="0"/>
    <n v="0"/>
    <n v="0"/>
    <n v="0"/>
    <n v="0"/>
    <n v="9.3054619015509099E-2"/>
    <n v="0"/>
    <n v="0.05"/>
    <n v="-0.05"/>
    <n v="0"/>
    <n v="1.38"/>
    <n v="0.11499999999999999"/>
    <n v="0"/>
    <n v="0"/>
    <n v="8696"/>
    <n v="8696"/>
    <n v="128961.68000000001"/>
    <n v="43"/>
    <s v="Banco de investimento"/>
  </r>
  <r>
    <x v="5"/>
    <x v="0"/>
    <n v="0"/>
    <n v="0"/>
    <n v="0"/>
    <n v="17.88"/>
    <n v="0"/>
    <n v="0"/>
    <n v="0"/>
    <n v="0"/>
    <n v="0"/>
    <n v="0"/>
    <n v="0"/>
    <n v="0"/>
    <n v="8.6845637583892618E-2"/>
    <n v="0"/>
    <n v="0.05"/>
    <n v="-0.05"/>
    <n v="0"/>
    <n v="1.5528"/>
    <n v="0.12939999999999999"/>
    <n v="0"/>
    <n v="0"/>
    <n v="7728"/>
    <n v="7728"/>
    <n v="138176.63999999998"/>
    <n v="47"/>
    <s v="Bancos"/>
  </r>
  <r>
    <x v="6"/>
    <x v="0"/>
    <n v="0"/>
    <n v="0"/>
    <n v="0"/>
    <n v="13.99"/>
    <n v="0"/>
    <n v="0"/>
    <n v="0"/>
    <n v="0"/>
    <n v="0"/>
    <n v="0"/>
    <n v="0"/>
    <n v="0"/>
    <n v="8.0614724803431015E-2"/>
    <n v="0"/>
    <n v="0.1"/>
    <n v="-0.1"/>
    <n v="0"/>
    <n v="1.1277999999999999"/>
    <n v="9.3983333333333322E-2"/>
    <n v="0"/>
    <n v="0"/>
    <n v="10641"/>
    <n v="10641"/>
    <n v="148867.59"/>
    <n v="50"/>
    <s v="Holding – Bancos"/>
  </r>
  <r>
    <x v="7"/>
    <x v="0"/>
    <n v="0"/>
    <n v="0"/>
    <n v="0"/>
    <n v="10.89"/>
    <n v="0"/>
    <n v="0"/>
    <n v="0"/>
    <n v="0"/>
    <n v="0"/>
    <n v="0"/>
    <n v="0"/>
    <n v="0"/>
    <n v="0.12403122130394857"/>
    <n v="0"/>
    <n v="0.1"/>
    <n v="-0.1"/>
    <n v="0"/>
    <n v="1.3507"/>
    <n v="0.11255833333333333"/>
    <n v="0"/>
    <n v="0"/>
    <n v="8885"/>
    <n v="8885"/>
    <n v="96757.650000000009"/>
    <n v="33"/>
    <s v="Energia – Utilities"/>
  </r>
  <r>
    <x v="8"/>
    <x v="0"/>
    <n v="0"/>
    <n v="0"/>
    <n v="0"/>
    <n v="5.07"/>
    <n v="0"/>
    <n v="0"/>
    <n v="0"/>
    <n v="0"/>
    <n v="0"/>
    <n v="0"/>
    <n v="0"/>
    <n v="0"/>
    <n v="0.13451676528599607"/>
    <n v="0"/>
    <n v="0.05"/>
    <n v="-0.05"/>
    <n v="0"/>
    <n v="0.68200000000000005"/>
    <n v="5.683333333333334E-2"/>
    <n v="0"/>
    <n v="0"/>
    <n v="17596"/>
    <n v="17596"/>
    <n v="89211.72"/>
    <n v="30"/>
    <s v="Telecom / Tecnologia"/>
  </r>
  <r>
    <x v="9"/>
    <x v="0"/>
    <n v="0"/>
    <n v="0"/>
    <n v="0"/>
    <n v="18.149999999999999"/>
    <n v="0"/>
    <n v="0"/>
    <n v="0"/>
    <n v="0"/>
    <n v="0"/>
    <n v="0"/>
    <n v="0"/>
    <n v="0"/>
    <n v="6.3972451790633614E-2"/>
    <n v="0"/>
    <n v="7.0000000000000007E-2"/>
    <n v="-7.0000000000000007E-2"/>
    <n v="0"/>
    <n v="1.1611"/>
    <n v="9.6758333333333335E-2"/>
    <n v="0"/>
    <n v="0"/>
    <n v="10336"/>
    <n v="10336"/>
    <n v="187598.4"/>
    <n v="63"/>
    <s v="Papel &amp; Celulose"/>
  </r>
  <r>
    <x v="10"/>
    <x v="1"/>
    <n v="0"/>
    <n v="0"/>
    <n v="0"/>
    <n v="9.1"/>
    <n v="0"/>
    <n v="0"/>
    <n v="0"/>
    <n v="0"/>
    <n v="0"/>
    <n v="0"/>
    <n v="0"/>
    <n v="0"/>
    <n v="0.13124175824175824"/>
    <n v="0"/>
    <n v="0.05"/>
    <n v="-0.05"/>
    <n v="0"/>
    <n v="1.1942999999999999"/>
    <n v="9.9524999999999988E-2"/>
    <n v="0"/>
    <n v="0"/>
    <n v="10048"/>
    <n v="10048"/>
    <n v="91436.800000000003"/>
    <n v="31"/>
    <s v="Papel (recebíveis)"/>
  </r>
  <r>
    <x v="11"/>
    <x v="1"/>
    <n v="0"/>
    <n v="0"/>
    <n v="0"/>
    <n v="41.16"/>
    <n v="0"/>
    <n v="0"/>
    <n v="0"/>
    <n v="0"/>
    <n v="0"/>
    <n v="0"/>
    <n v="0"/>
    <n v="0"/>
    <n v="0.11953352769679301"/>
    <n v="0"/>
    <n v="0.04"/>
    <n v="-0.04"/>
    <n v="0"/>
    <n v="4.92"/>
    <n v="0.41"/>
    <n v="0"/>
    <n v="0"/>
    <n v="2440"/>
    <n v="2440"/>
    <n v="100430.39999999999"/>
    <n v="34"/>
    <s v="Lajes corporativas"/>
  </r>
  <r>
    <x v="12"/>
    <x v="1"/>
    <n v="0"/>
    <n v="0"/>
    <n v="0"/>
    <n v="92.39"/>
    <n v="0"/>
    <n v="0"/>
    <n v="0"/>
    <n v="0"/>
    <n v="0"/>
    <n v="0"/>
    <n v="0"/>
    <n v="0"/>
    <n v="0.10650503301223076"/>
    <n v="0"/>
    <n v="0.06"/>
    <n v="-0.06"/>
    <n v="0"/>
    <n v="9.84"/>
    <n v="0.82"/>
    <n v="0"/>
    <n v="0"/>
    <n v="1220"/>
    <n v="1220"/>
    <n v="112715.8"/>
    <n v="38"/>
    <s v="Logística"/>
  </r>
  <r>
    <x v="13"/>
    <x v="1"/>
    <n v="0"/>
    <n v="0"/>
    <n v="0"/>
    <n v="98.68"/>
    <n v="0"/>
    <n v="0"/>
    <n v="0"/>
    <n v="0"/>
    <n v="0"/>
    <n v="0"/>
    <n v="0"/>
    <n v="0"/>
    <n v="0.11217470612079448"/>
    <n v="0"/>
    <n v="0.05"/>
    <n v="-0.05"/>
    <n v="0"/>
    <n v="11.0694"/>
    <n v="0.92244999999999999"/>
    <n v="0"/>
    <n v="0"/>
    <n v="1085"/>
    <n v="1085"/>
    <n v="107067.8"/>
    <n v="36"/>
    <s v="Shopping"/>
  </r>
  <r>
    <x v="14"/>
    <x v="1"/>
    <n v="0"/>
    <n v="0"/>
    <n v="0"/>
    <n v="9.82"/>
    <n v="0"/>
    <n v="0"/>
    <n v="0"/>
    <n v="0"/>
    <n v="0"/>
    <n v="0"/>
    <n v="0"/>
    <n v="0"/>
    <n v="0.16089613034623218"/>
    <n v="0"/>
    <n v="0.06"/>
    <n v="-0.06"/>
    <n v="0"/>
    <n v="1.58"/>
    <n v="0.13166666666666668"/>
    <n v="0"/>
    <n v="0"/>
    <n v="7595"/>
    <n v="7595"/>
    <n v="74582.900000000009"/>
    <n v="25"/>
    <s v="Fiagro"/>
  </r>
  <r>
    <x v="15"/>
    <x v="1"/>
    <n v="0"/>
    <n v="0"/>
    <n v="0"/>
    <n v="7.45"/>
    <n v="0"/>
    <n v="0"/>
    <n v="0"/>
    <n v="0"/>
    <n v="0"/>
    <n v="0"/>
    <n v="0"/>
    <n v="0"/>
    <n v="0.14496644295302014"/>
    <n v="0"/>
    <n v="0.04"/>
    <n v="-0.04"/>
    <n v="0"/>
    <n v="1.08"/>
    <n v="9.0000000000000011E-2"/>
    <n v="0"/>
    <n v="0"/>
    <n v="11112"/>
    <n v="11112"/>
    <n v="82784.400000000009"/>
    <n v="28"/>
    <s v="Híbrido (papel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28C0A-5449-4962-A0AC-CF0A29617121}" name="ptLancamentos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G31:I34" firstHeaderRow="1" firstDataRow="2" firstDataCol="1"/>
  <pivotFields count="7">
    <pivotField compact="0" outline="0" showAll="0"/>
    <pivotField axis="axisRow" compact="0" outline="0" showAll="0">
      <items count="2">
        <item x="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Valor movimentado" fld="6" baseField="0" baseItem="0" numFmtId="18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60B93-F637-4FDA-B303-00B81051BB3C}" name="ptProventos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1:B33" firstHeaderRow="1" firstDataRow="1" firstDataCol="1" rowPageCount="1" colPageCount="1"/>
  <pivotFields count="6">
    <pivotField compact="0" outline="0" showAll="0"/>
    <pivotField axis="axisRow" compact="0" outline="0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>
      <items count="2"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hier="-1"/>
  </pageFields>
  <dataFields count="1">
    <dataField name="Proventos recebidos" fld="5" baseField="0" baseItem="0" numFmtId="18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3C2FC-A968-4CA6-82A0-89925FCB851B}" name="ptGrafico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chartFormat="1">
  <location ref="R7:S24" firstHeaderRow="1" firstDataRow="1" firstDataCol="1"/>
  <pivotFields count="28">
    <pivotField axis="axisRow" compact="0" outline="0" showAll="0" sortType="descending">
      <items count="17">
        <item x="3"/>
        <item x="5"/>
        <item x="4"/>
        <item x="11"/>
        <item x="7"/>
        <item x="15"/>
        <item x="8"/>
        <item x="6"/>
        <item x="9"/>
        <item x="10"/>
        <item x="2"/>
        <item x="14"/>
        <item x="1"/>
        <item x="0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">
        <item x="0"/>
        <item x="1"/>
        <item t="default"/>
      </items>
    </pivotField>
    <pivotField compact="0" numFmtId="167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numFmtId="165" outline="0" showAll="0"/>
    <pivotField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8" outline="0" showAll="0"/>
    <pivotField compact="0" numFmtId="164" outline="0" showAll="0"/>
    <pivotField compact="0" numFmtId="165" outline="0" showAll="0"/>
    <pivotField compact="0" numFmtId="167" outline="0" showAll="0"/>
    <pivotField compact="0" numFmtId="167" outline="0" showAll="0"/>
    <pivotField compact="0" numFmtId="166" outline="0" showAll="0"/>
    <pivotField compact="0" numFmtId="169" outline="0" showAll="0"/>
    <pivotField compact="0" outline="0" showAll="0"/>
  </pivotFields>
  <rowFields count="1">
    <field x="0"/>
  </rowFields>
  <rowItems count="17">
    <i>
      <x v="15"/>
    </i>
    <i>
      <x v="11"/>
    </i>
    <i>
      <x v="9"/>
    </i>
    <i>
      <x v="1"/>
    </i>
    <i>
      <x v="13"/>
    </i>
    <i>
      <x v="2"/>
    </i>
    <i>
      <x v="8"/>
    </i>
    <i>
      <x v="3"/>
    </i>
    <i>
      <x v="10"/>
    </i>
    <i>
      <x v="4"/>
    </i>
    <i>
      <x v="12"/>
    </i>
    <i>
      <x v="5"/>
    </i>
    <i>
      <x v="14"/>
    </i>
    <i>
      <x v="6"/>
    </i>
    <i>
      <x/>
    </i>
    <i>
      <x v="7"/>
    </i>
    <i t="grand">
      <x/>
    </i>
  </rowItems>
  <colItems count="1">
    <i/>
  </colItems>
  <dataFields count="1">
    <dataField name="Posição atual" fld="6" baseField="0" baseItem="0" numFmtId="18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DE9D1-FDDF-445E-B2E4-F36BE3374FC3}" name="ptCarteira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7:E10" firstHeaderRow="0" firstDataRow="1" firstDataCol="1"/>
  <pivotFields count="28"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numFmtId="167" outline="0" showAll="0"/>
    <pivotField compact="0" numFmtId="164" outline="0" showAll="0"/>
    <pivotField dataField="1" compact="0" numFmtId="164" outline="0" showAll="0"/>
    <pivotField compact="0" numFmtId="164" outline="0" showAll="0"/>
    <pivotField dataField="1" compact="0" numFmtId="164" outline="0" showAll="0"/>
    <pivotField dataField="1" compact="0" numFmtId="164" outline="0" showAll="0"/>
    <pivotField compact="0" numFmtId="165" outline="0" showAll="0"/>
    <pivotField dataField="1" compact="0" numFmtId="164" outline="0" showAll="0"/>
    <pivotField compact="0" numFmtId="164" outline="0" showAll="0"/>
    <pivotField compact="0" numFmtId="164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5" outline="0" showAll="0"/>
    <pivotField compact="0" numFmtId="164" outline="0" showAll="0"/>
    <pivotField compact="0" numFmtId="164" outline="0" showAll="0"/>
    <pivotField compact="0" numFmtId="168" outline="0" showAll="0"/>
    <pivotField compact="0" numFmtId="164" outline="0" showAll="0"/>
    <pivotField compact="0" numFmtId="165" outline="0" showAll="0"/>
    <pivotField compact="0" numFmtId="167" outline="0" showAll="0"/>
    <pivotField compact="0" numFmtId="167" outline="0" showAll="0"/>
    <pivotField compact="0" numFmtId="166" outline="0" showAll="0"/>
    <pivotField compact="0" numFmtId="169" outline="0" showAll="0"/>
    <pivotField compact="0" outline="0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investido" fld="4" baseField="0" baseItem="0" numFmtId="185"/>
    <dataField name="Posição" fld="6" baseField="0" baseItem="0" numFmtId="185"/>
    <dataField name="Lucro / prejuízo" fld="7" baseField="0" baseItem="0" numFmtId="185"/>
    <dataField name="Proventos" fld="9" baseField="0" baseItem="0" numFmtId="18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D311052-7987-4DBD-8E42-D376AF4B62FE}" sourceName="Tipo">
  <pivotTables>
    <pivotTable tabId="3" name="ptCarteira"/>
    <pivotTable tabId="3" name="ptGrafico"/>
  </pivotTables>
  <data>
    <tabular pivotCacheId="1303177645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399503DD-EE13-43DE-BD9F-8BD2FEE4B6C2}" cache="SegmentaçãodeDados_Tipo" caption="Tip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Carteira" displayName="tCarteira" ref="A4:AB20">
  <autoFilter ref="A4:AB20" xr:uid="{00000000-0009-0000-0100-000001000000}"/>
  <tableColumns count="28">
    <tableColumn id="1" xr3:uid="{00000000-0010-0000-0000-000001000000}" name="Ticker"/>
    <tableColumn id="2" xr3:uid="{00000000-0010-0000-0000-000002000000}" name="Tipo"/>
    <tableColumn id="3" xr3:uid="{00000000-0010-0000-0000-000003000000}" name="Qtd atual"/>
    <tableColumn id="4" xr3:uid="{00000000-0010-0000-0000-000004000000}" name="Preço médio (R$)"/>
    <tableColumn id="5" xr3:uid="{00000000-0010-0000-0000-000005000000}" name="Valor investido (R$)"/>
    <tableColumn id="6" xr3:uid="{00000000-0010-0000-0000-000006000000}" name="Cotação (R$)"/>
    <tableColumn id="7" xr3:uid="{00000000-0010-0000-0000-000007000000}" name="Posição atual (R$)"/>
    <tableColumn id="8" xr3:uid="{00000000-0010-0000-0000-000008000000}" name="Lucro / prejuízo (R$)"/>
    <tableColumn id="9" xr3:uid="{00000000-0010-0000-0000-000009000000}" name="Valorização"/>
    <tableColumn id="10" xr3:uid="{00000000-0010-0000-0000-00000A000000}" name="Proventos recebidos (R$)"/>
    <tableColumn id="11" xr3:uid="{00000000-0010-0000-0000-00000B000000}" name="Proventos 12m (R$)"/>
    <tableColumn id="12" xr3:uid="{00000000-0010-0000-0000-00000C000000}" name="Retorno total (R$)"/>
    <tableColumn id="13" xr3:uid="{00000000-0010-0000-0000-00000D000000}" name="Retorno total %"/>
    <tableColumn id="14" xr3:uid="{00000000-0010-0000-0000-00000E000000}" name="Yield on cost"/>
    <tableColumn id="15" xr3:uid="{00000000-0010-0000-0000-00000F000000}" name="DY atual"/>
    <tableColumn id="16" xr3:uid="{00000000-0010-0000-0000-000010000000}" name="Peso atual"/>
    <tableColumn id="17" xr3:uid="{00000000-0010-0000-0000-000011000000}" name="Peso ideal"/>
    <tableColumn id="18" xr3:uid="{00000000-0010-0000-0000-000012000000}" name="Desvio do peso"/>
    <tableColumn id="19" xr3:uid="{00000000-0010-0000-0000-000013000000}" name="Aporte p/ peso ideal (R$)"/>
    <tableColumn id="20" xr3:uid="{00000000-0010-0000-0000-000014000000}" name="Provento 12m por cota (R$)"/>
    <tableColumn id="21" xr3:uid="{00000000-0010-0000-0000-000015000000}" name="Provento mensal por cota (R$)"/>
    <tableColumn id="22" xr3:uid="{00000000-0010-0000-0000-000016000000}" name="Renda mensal (R$)"/>
    <tableColumn id="23" xr3:uid="{00000000-0010-0000-0000-000017000000}" name="% da meta"/>
    <tableColumn id="24" xr3:uid="{00000000-0010-0000-0000-000018000000}" name="Cotas p/ meta"/>
    <tableColumn id="25" xr3:uid="{00000000-0010-0000-0000-000019000000}" name="Cotas faltantes"/>
    <tableColumn id="26" xr3:uid="{00000000-0010-0000-0000-00001A000000}" name="Aporte p/ meta (R$)"/>
    <tableColumn id="27" xr3:uid="{00000000-0010-0000-0000-00001B000000}" name="Meses p/ meta"/>
    <tableColumn id="28" xr3:uid="{00000000-0010-0000-0000-00001C000000}" name="Segmento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tivos" displayName="tAtivos" ref="A4:G20">
  <autoFilter ref="A4:G20" xr:uid="{00000000-0009-0000-0100-000002000000}"/>
  <tableColumns count="7">
    <tableColumn id="1" xr3:uid="{00000000-0010-0000-0100-000001000000}" name="Ticker"/>
    <tableColumn id="2" xr3:uid="{00000000-0010-0000-0100-000002000000}" name="Tipo"/>
    <tableColumn id="3" xr3:uid="{00000000-0010-0000-0100-000003000000}" name="Segmento"/>
    <tableColumn id="4" xr3:uid="{00000000-0010-0000-0100-000004000000}" name="Cotação (R$)"/>
    <tableColumn id="5" xr3:uid="{00000000-0010-0000-0100-000005000000}" name="Provento 12m por cota (R$)"/>
    <tableColumn id="6" xr3:uid="{00000000-0010-0000-0100-000006000000}" name="Peso ideal"/>
    <tableColumn id="7" xr3:uid="{00000000-0010-0000-0100-000007000000}" name="Atualizado em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Lancamentos" displayName="tLancamentos" ref="A4:G5">
  <autoFilter ref="A4:G5" xr:uid="{00000000-0009-0000-0100-000003000000}"/>
  <tableColumns count="7">
    <tableColumn id="1" xr3:uid="{00000000-0010-0000-0200-000001000000}" name="Data"/>
    <tableColumn id="2" xr3:uid="{00000000-0010-0000-0200-000002000000}" name="Ticker"/>
    <tableColumn id="3" xr3:uid="{00000000-0010-0000-0200-000003000000}" name="Operação"/>
    <tableColumn id="4" xr3:uid="{00000000-0010-0000-0200-000004000000}" name="Quantidade"/>
    <tableColumn id="5" xr3:uid="{00000000-0010-0000-0200-000005000000}" name="Preço (R$)"/>
    <tableColumn id="6" xr3:uid="{00000000-0010-0000-0200-000006000000}" name="Custos (R$)"/>
    <tableColumn id="7" xr3:uid="{00000000-0010-0000-0200-000007000000}" name="Total (R$)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Proventos" displayName="tProventos" ref="A4:F5">
  <autoFilter ref="A4:F5" xr:uid="{00000000-0009-0000-0100-000004000000}"/>
  <tableColumns count="6">
    <tableColumn id="1" xr3:uid="{00000000-0010-0000-0300-000001000000}" name="Data pagamento"/>
    <tableColumn id="2" xr3:uid="{00000000-0010-0000-0300-000002000000}" name="Ticker"/>
    <tableColumn id="3" xr3:uid="{00000000-0010-0000-0300-000003000000}" name="Tipo"/>
    <tableColumn id="4" xr3:uid="{00000000-0010-0000-0300-000004000000}" name="Valor por cota (R$)"/>
    <tableColumn id="5" xr3:uid="{00000000-0010-0000-0300-000005000000}" name="Qtd de cotas"/>
    <tableColumn id="6" xr3:uid="{00000000-0010-0000-0300-000006000000}" name="Total (R$)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2563EB"/>
    <pageSetUpPr fitToPage="1"/>
  </sheetPr>
  <dimension ref="A1:AF104"/>
  <sheetViews>
    <sheetView showGridLines="0" showRowColHeaders="0" tabSelected="1" zoomScale="90" workbookViewId="0">
      <pane ySplit="3" topLeftCell="A4" activePane="bottomLeft" state="frozen"/>
      <selection pane="bottomLeft"/>
    </sheetView>
  </sheetViews>
  <sheetFormatPr defaultRowHeight="15" x14ac:dyDescent="0.25"/>
  <cols>
    <col min="1" max="2" width="2" customWidth="1"/>
    <col min="3" max="31" width="5.28515625" customWidth="1"/>
    <col min="32" max="32" width="3" customWidth="1"/>
  </cols>
  <sheetData>
    <row r="1" spans="1:32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3.950000000000003" customHeight="1" x14ac:dyDescent="0.25">
      <c r="A2" s="3"/>
      <c r="B2" s="3"/>
      <c r="C2" s="4" t="s">
        <v>1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108">
        <f ca="1">TODAY()</f>
        <v>46291</v>
      </c>
      <c r="Z2" s="105"/>
      <c r="AA2" s="105"/>
      <c r="AB2" s="105"/>
      <c r="AC2" s="105"/>
      <c r="AD2" s="105"/>
      <c r="AE2" s="105"/>
      <c r="AF2" s="3"/>
    </row>
    <row r="3" spans="1:32" ht="18" customHeight="1" x14ac:dyDescent="0.25">
      <c r="A3" s="5"/>
      <c r="B3" s="5"/>
      <c r="C3" s="6" t="s">
        <v>2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</row>
    <row r="4" spans="1:32" ht="20.100000000000001" customHeight="1" x14ac:dyDescent="0.25">
      <c r="A4" s="7"/>
      <c r="B4" s="7"/>
      <c r="C4" s="112" t="str">
        <f ca="1">IF(COUNTIF(Carteira!C5:C20,"&gt;0")=0,"✚  Nenhuma ação ou FII na carteira ainda — registre sua primeira compra na aba Cadastro (clique aqui)","")</f>
        <v>✚  Nenhuma ação ou FII na carteira ainda — registre sua primeira compra na aba Cadastro (clique aqui)</v>
      </c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7"/>
    </row>
    <row r="5" spans="1:32" ht="21.95" customHeight="1" x14ac:dyDescent="0.25">
      <c r="A5" s="7"/>
      <c r="B5" s="7"/>
      <c r="C5" s="8" t="s">
        <v>3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9" t="s">
        <v>4</v>
      </c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21.9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21.95" customHeight="1" x14ac:dyDescent="0.25">
      <c r="A7" s="7"/>
      <c r="B7" s="7"/>
      <c r="C7" s="79" t="s">
        <v>5</v>
      </c>
      <c r="D7" s="80"/>
      <c r="E7" s="80"/>
      <c r="F7" s="81"/>
      <c r="G7" s="7"/>
      <c r="H7" s="79" t="s">
        <v>6</v>
      </c>
      <c r="I7" s="80"/>
      <c r="J7" s="80"/>
      <c r="K7" s="81"/>
      <c r="L7" s="7"/>
      <c r="M7" s="79" t="s">
        <v>7</v>
      </c>
      <c r="N7" s="80"/>
      <c r="O7" s="80"/>
      <c r="P7" s="81"/>
      <c r="Q7" s="7"/>
      <c r="R7" s="79" t="s">
        <v>8</v>
      </c>
      <c r="S7" s="80"/>
      <c r="T7" s="80"/>
      <c r="U7" s="81"/>
      <c r="V7" s="7"/>
      <c r="W7" s="79" t="s">
        <v>9</v>
      </c>
      <c r="X7" s="80"/>
      <c r="Y7" s="80"/>
      <c r="Z7" s="81"/>
      <c r="AA7" s="7"/>
      <c r="AB7" s="79" t="s">
        <v>10</v>
      </c>
      <c r="AC7" s="80"/>
      <c r="AD7" s="80"/>
      <c r="AE7" s="81"/>
      <c r="AF7" s="7"/>
    </row>
    <row r="8" spans="1:32" ht="30" customHeight="1" x14ac:dyDescent="0.25">
      <c r="A8" s="7"/>
      <c r="B8" s="7"/>
      <c r="C8" s="101">
        <f ca="1">(Carteira!G21+SUM(OUTRAS_CLASSES))</f>
        <v>1000</v>
      </c>
      <c r="D8" s="89"/>
      <c r="E8" s="89"/>
      <c r="F8" s="90"/>
      <c r="G8" s="7"/>
      <c r="H8" s="101">
        <f>SUMIF(Premissas!$A:$A,"Renda fixa*",Premissas!$B:$B)</f>
        <v>1000</v>
      </c>
      <c r="I8" s="89"/>
      <c r="J8" s="89"/>
      <c r="K8" s="90"/>
      <c r="L8" s="7"/>
      <c r="M8" s="101">
        <f ca="1">Carteira!G21</f>
        <v>0</v>
      </c>
      <c r="N8" s="89"/>
      <c r="O8" s="89"/>
      <c r="P8" s="90"/>
      <c r="Q8" s="7"/>
      <c r="R8" s="101">
        <f ca="1">Carteira!E21</f>
        <v>0</v>
      </c>
      <c r="S8" s="89"/>
      <c r="T8" s="89"/>
      <c r="U8" s="90"/>
      <c r="V8" s="7"/>
      <c r="W8" s="101">
        <f ca="1">Carteira!H21</f>
        <v>0</v>
      </c>
      <c r="X8" s="89"/>
      <c r="Y8" s="89"/>
      <c r="Z8" s="90"/>
      <c r="AA8" s="7"/>
      <c r="AB8" s="101">
        <f>Carteira!J21</f>
        <v>0</v>
      </c>
      <c r="AC8" s="89"/>
      <c r="AD8" s="89"/>
      <c r="AE8" s="90"/>
      <c r="AF8" s="7"/>
    </row>
    <row r="9" spans="1:32" ht="21.95" customHeight="1" x14ac:dyDescent="0.25">
      <c r="A9" s="7"/>
      <c r="B9" s="7"/>
      <c r="C9" s="98">
        <f ca="1">COUNTIF(Carteira!C5:C20,"&gt;0")</f>
        <v>0</v>
      </c>
      <c r="D9" s="84"/>
      <c r="E9" s="84"/>
      <c r="F9" s="85"/>
      <c r="G9" s="7"/>
      <c r="H9" s="106">
        <f ca="1">IF((Carteira!G21+SUM(OUTRAS_CLASSES))&gt;0,SUMIF(Premissas!$A:$A,"Renda fixa*",Premissas!$B:$B)/(Carteira!G21+SUM(OUTRAS_CLASSES)),0)</f>
        <v>1</v>
      </c>
      <c r="I9" s="84"/>
      <c r="J9" s="84"/>
      <c r="K9" s="85"/>
      <c r="L9" s="7"/>
      <c r="M9" s="106">
        <f ca="1">IF((Carteira!G21+SUM(OUTRAS_CLASSES))&gt;0,Carteira!G21/(Carteira!G21+SUM(OUTRAS_CLASSES)),0)</f>
        <v>0</v>
      </c>
      <c r="N9" s="84"/>
      <c r="O9" s="84"/>
      <c r="P9" s="85"/>
      <c r="Q9" s="7"/>
      <c r="R9" s="83">
        <f ca="1">Carteira!I21</f>
        <v>0</v>
      </c>
      <c r="S9" s="84"/>
      <c r="T9" s="84"/>
      <c r="U9" s="85"/>
      <c r="V9" s="7"/>
      <c r="W9" s="127">
        <f ca="1">Carteira!L21</f>
        <v>0</v>
      </c>
      <c r="X9" s="84"/>
      <c r="Y9" s="84"/>
      <c r="Z9" s="85"/>
      <c r="AA9" s="7"/>
      <c r="AB9" s="111">
        <f ca="1">Carteira!O21</f>
        <v>0</v>
      </c>
      <c r="AC9" s="84"/>
      <c r="AD9" s="84"/>
      <c r="AE9" s="85"/>
      <c r="AF9" s="7"/>
    </row>
    <row r="10" spans="1:32" ht="21.9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ht="21.95" customHeight="1" x14ac:dyDescent="0.25">
      <c r="A11" s="7"/>
      <c r="B11" s="7"/>
      <c r="C11" s="8" t="s">
        <v>11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9" t="s">
        <v>12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ht="21.9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ht="21.95" customHeight="1" x14ac:dyDescent="0.25">
      <c r="A13" s="7"/>
      <c r="B13" s="7"/>
      <c r="C13" s="79" t="s">
        <v>13</v>
      </c>
      <c r="D13" s="80"/>
      <c r="E13" s="80"/>
      <c r="F13" s="81"/>
      <c r="G13" s="7"/>
      <c r="H13" s="79" t="s">
        <v>14</v>
      </c>
      <c r="I13" s="80"/>
      <c r="J13" s="80"/>
      <c r="K13" s="81"/>
      <c r="L13" s="7"/>
      <c r="M13" s="79" t="s">
        <v>15</v>
      </c>
      <c r="N13" s="80"/>
      <c r="O13" s="80"/>
      <c r="P13" s="81"/>
      <c r="Q13" s="7"/>
      <c r="R13" s="79" t="s">
        <v>16</v>
      </c>
      <c r="S13" s="80"/>
      <c r="T13" s="80"/>
      <c r="U13" s="81"/>
      <c r="V13" s="7"/>
      <c r="W13" s="79" t="s">
        <v>17</v>
      </c>
      <c r="X13" s="80"/>
      <c r="Y13" s="80"/>
      <c r="Z13" s="81"/>
      <c r="AA13" s="7"/>
      <c r="AB13" s="79" t="s">
        <v>18</v>
      </c>
      <c r="AC13" s="80"/>
      <c r="AD13" s="80"/>
      <c r="AE13" s="81"/>
      <c r="AF13" s="7"/>
    </row>
    <row r="14" spans="1:32" ht="30" customHeight="1" x14ac:dyDescent="0.25">
      <c r="A14" s="7"/>
      <c r="B14" s="7"/>
      <c r="C14" s="101">
        <f ca="1">Carteira!V21</f>
        <v>0</v>
      </c>
      <c r="D14" s="89"/>
      <c r="E14" s="89"/>
      <c r="F14" s="90"/>
      <c r="G14" s="7"/>
      <c r="H14" s="101">
        <f>META_MENSAL*COUNTIF(Carteira!A5:A20,"?*")</f>
        <v>16000</v>
      </c>
      <c r="I14" s="89"/>
      <c r="J14" s="89"/>
      <c r="K14" s="90"/>
      <c r="L14" s="7"/>
      <c r="M14" s="125">
        <f ca="1">Carteira!W21</f>
        <v>0</v>
      </c>
      <c r="N14" s="89"/>
      <c r="O14" s="89"/>
      <c r="P14" s="90"/>
      <c r="Q14" s="7"/>
      <c r="R14" s="88" t="str">
        <f ca="1">Carteira!X21</f>
        <v>0 de 16 na meta</v>
      </c>
      <c r="S14" s="89"/>
      <c r="T14" s="89"/>
      <c r="U14" s="90"/>
      <c r="V14" s="7"/>
      <c r="W14" s="101">
        <f ca="1">Carteira!Z21</f>
        <v>2225782.13</v>
      </c>
      <c r="X14" s="89"/>
      <c r="Y14" s="89"/>
      <c r="Z14" s="90"/>
      <c r="AA14" s="7"/>
      <c r="AB14" s="123">
        <f ca="1">Carteira!AA21</f>
        <v>742</v>
      </c>
      <c r="AC14" s="89"/>
      <c r="AD14" s="89"/>
      <c r="AE14" s="90"/>
      <c r="AF14" s="7"/>
    </row>
    <row r="15" spans="1:32" ht="21.95" customHeight="1" x14ac:dyDescent="0.25">
      <c r="A15" s="7"/>
      <c r="B15" s="7"/>
      <c r="C15" s="126">
        <f ca="1">Carteira!V21*12</f>
        <v>0</v>
      </c>
      <c r="D15" s="84"/>
      <c r="E15" s="84"/>
      <c r="F15" s="85"/>
      <c r="G15" s="7"/>
      <c r="H15" s="120">
        <f>META_MENSAL</f>
        <v>1000</v>
      </c>
      <c r="I15" s="84"/>
      <c r="J15" s="84"/>
      <c r="K15" s="85"/>
      <c r="L15" s="7"/>
      <c r="M15" s="118">
        <f ca="1">IF(META_MENSAL&gt;0,Carteira!V21/(META_MENSAL*COUNTIF(Carteira!A5:A20,"?*")),0)</f>
        <v>0</v>
      </c>
      <c r="N15" s="84"/>
      <c r="O15" s="84"/>
      <c r="P15" s="85"/>
      <c r="Q15" s="7"/>
      <c r="R15" s="97">
        <f ca="1">Carteira!Y21</f>
        <v>125109</v>
      </c>
      <c r="S15" s="84"/>
      <c r="T15" s="84"/>
      <c r="U15" s="85"/>
      <c r="V15" s="7"/>
      <c r="W15" s="122">
        <f>APORTE_MENSAL</f>
        <v>3000</v>
      </c>
      <c r="X15" s="84"/>
      <c r="Y15" s="84"/>
      <c r="Z15" s="85"/>
      <c r="AA15" s="7"/>
      <c r="AB15" s="94">
        <f ca="1">IF(APORTE_MENSAL&gt;0,Carteira!Z21/APORTE_MENSAL/12,0)</f>
        <v>61.827281388888885</v>
      </c>
      <c r="AC15" s="84"/>
      <c r="AD15" s="84"/>
      <c r="AE15" s="85"/>
      <c r="AF15" s="7"/>
    </row>
    <row r="16" spans="1:32" ht="21.9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ht="16.5" x14ac:dyDescent="0.25">
      <c r="A17" s="7"/>
      <c r="B17" s="7"/>
      <c r="C17" s="8" t="s">
        <v>19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9" t="s">
        <v>20</v>
      </c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ht="21.95" customHeight="1" x14ac:dyDescent="0.25">
      <c r="A19" s="7"/>
      <c r="B19" s="7"/>
      <c r="C19" s="114" t="s">
        <v>21</v>
      </c>
      <c r="D19" s="80"/>
      <c r="E19" s="80"/>
      <c r="F19" s="80"/>
      <c r="G19" s="80"/>
      <c r="H19" s="80"/>
      <c r="I19" s="80"/>
      <c r="J19" s="80"/>
      <c r="K19" s="80"/>
      <c r="L19" s="7"/>
      <c r="M19" s="114" t="s">
        <v>22</v>
      </c>
      <c r="N19" s="80"/>
      <c r="O19" s="80"/>
      <c r="P19" s="80"/>
      <c r="Q19" s="80"/>
      <c r="R19" s="80"/>
      <c r="S19" s="80"/>
      <c r="T19" s="80"/>
      <c r="U19" s="80"/>
      <c r="V19" s="7"/>
      <c r="W19" s="114" t="s">
        <v>23</v>
      </c>
      <c r="X19" s="80"/>
      <c r="Y19" s="80"/>
      <c r="Z19" s="80"/>
      <c r="AA19" s="80"/>
      <c r="AB19" s="80"/>
      <c r="AC19" s="80"/>
      <c r="AD19" s="80"/>
      <c r="AE19" s="80"/>
      <c r="AF19" s="7"/>
    </row>
    <row r="20" spans="1:32" x14ac:dyDescent="0.25">
      <c r="A20" s="7"/>
      <c r="B20" s="7"/>
      <c r="C20" s="95" t="s">
        <v>24</v>
      </c>
      <c r="D20" s="124" t="s">
        <v>25</v>
      </c>
      <c r="E20" s="75"/>
      <c r="F20" s="74" t="s">
        <v>26</v>
      </c>
      <c r="G20" s="75"/>
      <c r="H20" s="75"/>
      <c r="I20" s="74" t="s">
        <v>27</v>
      </c>
      <c r="J20" s="75"/>
      <c r="K20" s="75"/>
      <c r="L20" s="7"/>
      <c r="M20" s="95" t="s">
        <v>24</v>
      </c>
      <c r="N20" s="124" t="s">
        <v>25</v>
      </c>
      <c r="O20" s="75"/>
      <c r="P20" s="74" t="s">
        <v>28</v>
      </c>
      <c r="Q20" s="75"/>
      <c r="R20" s="75"/>
      <c r="S20" s="74" t="s">
        <v>29</v>
      </c>
      <c r="T20" s="75"/>
      <c r="U20" s="75"/>
      <c r="V20" s="7"/>
      <c r="W20" s="95" t="s">
        <v>24</v>
      </c>
      <c r="X20" s="124" t="s">
        <v>25</v>
      </c>
      <c r="Y20" s="75"/>
      <c r="Z20" s="74" t="s">
        <v>28</v>
      </c>
      <c r="AA20" s="75"/>
      <c r="AB20" s="75"/>
      <c r="AC20" s="74" t="s">
        <v>29</v>
      </c>
      <c r="AD20" s="75"/>
      <c r="AE20" s="75"/>
      <c r="AF20" s="7"/>
    </row>
    <row r="21" spans="1:32" x14ac:dyDescent="0.25">
      <c r="A21" s="7"/>
      <c r="B21" s="7"/>
      <c r="C21" s="91">
        <v>1</v>
      </c>
      <c r="D21" s="82" t="str">
        <f ca="1">IF(SUM(Carteira!$C$5:$C$20)=0,"",'Base Painel'!G5)</f>
        <v/>
      </c>
      <c r="E21" s="77"/>
      <c r="F21" s="76" t="str">
        <f ca="1">IF(SUM(Carteira!$C$5:$C$20)=0,"",'Base Painel'!H5)</f>
        <v/>
      </c>
      <c r="G21" s="77"/>
      <c r="H21" s="77"/>
      <c r="I21" s="109" t="str">
        <f ca="1">IF(SUM(Carteira!$C$5:$C$20)=0,"",'Base Painel'!AJ5)</f>
        <v/>
      </c>
      <c r="J21" s="77"/>
      <c r="K21" s="77"/>
      <c r="L21" s="7"/>
      <c r="M21" s="91">
        <v>1</v>
      </c>
      <c r="N21" s="82" t="str">
        <f ca="1">IF(SUM(Carteira!$C$5:$C$20)=0,"",'Base Painel'!K5)</f>
        <v/>
      </c>
      <c r="O21" s="77"/>
      <c r="P21" s="78" t="str">
        <f ca="1">IF(SUM(Carteira!$C$5:$C$20)=0,"",'Base Painel'!L5)</f>
        <v/>
      </c>
      <c r="Q21" s="77"/>
      <c r="R21" s="77"/>
      <c r="S21" s="76" t="str">
        <f ca="1">IF(SUM(Carteira!$C$5:$C$20)=0,"",'Base Painel'!M5)</f>
        <v/>
      </c>
      <c r="T21" s="77"/>
      <c r="U21" s="77"/>
      <c r="V21" s="7"/>
      <c r="W21" s="91">
        <v>1</v>
      </c>
      <c r="X21" s="82" t="str">
        <f ca="1">IF(SUM(Carteira!$C$5:$C$20)=0,"",'Base Painel'!P5)</f>
        <v/>
      </c>
      <c r="Y21" s="77"/>
      <c r="Z21" s="78" t="str">
        <f ca="1">IF(SUM(Carteira!$C$5:$C$20)=0,"",'Base Painel'!Q5)</f>
        <v/>
      </c>
      <c r="AA21" s="77"/>
      <c r="AB21" s="77"/>
      <c r="AC21" s="76" t="str">
        <f ca="1">IF(SUM(Carteira!$C$5:$C$20)=0,"",'Base Painel'!R5)</f>
        <v/>
      </c>
      <c r="AD21" s="77"/>
      <c r="AE21" s="77"/>
      <c r="AF21" s="7"/>
    </row>
    <row r="22" spans="1:32" x14ac:dyDescent="0.25">
      <c r="A22" s="7"/>
      <c r="B22" s="7"/>
      <c r="C22" s="91">
        <v>2</v>
      </c>
      <c r="D22" s="82" t="str">
        <f ca="1">IF(SUM(Carteira!$C$5:$C$20)=0,"",'Base Painel'!G6)</f>
        <v/>
      </c>
      <c r="E22" s="77"/>
      <c r="F22" s="76" t="str">
        <f ca="1">IF(SUM(Carteira!$C$5:$C$20)=0,"",'Base Painel'!H6)</f>
        <v/>
      </c>
      <c r="G22" s="77"/>
      <c r="H22" s="77"/>
      <c r="I22" s="109" t="str">
        <f ca="1">IF(SUM(Carteira!$C$5:$C$20)=0,"",'Base Painel'!AJ6)</f>
        <v/>
      </c>
      <c r="J22" s="77"/>
      <c r="K22" s="77"/>
      <c r="L22" s="7"/>
      <c r="M22" s="91">
        <v>2</v>
      </c>
      <c r="N22" s="82" t="str">
        <f ca="1">IF(SUM(Carteira!$C$5:$C$20)=0,"",'Base Painel'!K6)</f>
        <v/>
      </c>
      <c r="O22" s="77"/>
      <c r="P22" s="78" t="str">
        <f ca="1">IF(SUM(Carteira!$C$5:$C$20)=0,"",'Base Painel'!L6)</f>
        <v/>
      </c>
      <c r="Q22" s="77"/>
      <c r="R22" s="77"/>
      <c r="S22" s="76" t="str">
        <f ca="1">IF(SUM(Carteira!$C$5:$C$20)=0,"",'Base Painel'!M6)</f>
        <v/>
      </c>
      <c r="T22" s="77"/>
      <c r="U22" s="77"/>
      <c r="V22" s="7"/>
      <c r="W22" s="91">
        <v>2</v>
      </c>
      <c r="X22" s="82" t="str">
        <f ca="1">IF(SUM(Carteira!$C$5:$C$20)=0,"",'Base Painel'!P6)</f>
        <v/>
      </c>
      <c r="Y22" s="77"/>
      <c r="Z22" s="78" t="str">
        <f ca="1">IF(SUM(Carteira!$C$5:$C$20)=0,"",'Base Painel'!Q6)</f>
        <v/>
      </c>
      <c r="AA22" s="77"/>
      <c r="AB22" s="77"/>
      <c r="AC22" s="76" t="str">
        <f ca="1">IF(SUM(Carteira!$C$5:$C$20)=0,"",'Base Painel'!R6)</f>
        <v/>
      </c>
      <c r="AD22" s="77"/>
      <c r="AE22" s="77"/>
      <c r="AF22" s="7"/>
    </row>
    <row r="23" spans="1:32" x14ac:dyDescent="0.25">
      <c r="A23" s="7"/>
      <c r="B23" s="7"/>
      <c r="C23" s="91">
        <v>3</v>
      </c>
      <c r="D23" s="82" t="str">
        <f ca="1">IF(SUM(Carteira!$C$5:$C$20)=0,"",'Base Painel'!G7)</f>
        <v/>
      </c>
      <c r="E23" s="77"/>
      <c r="F23" s="76" t="str">
        <f ca="1">IF(SUM(Carteira!$C$5:$C$20)=0,"",'Base Painel'!H7)</f>
        <v/>
      </c>
      <c r="G23" s="77"/>
      <c r="H23" s="77"/>
      <c r="I23" s="109" t="str">
        <f ca="1">IF(SUM(Carteira!$C$5:$C$20)=0,"",'Base Painel'!AJ7)</f>
        <v/>
      </c>
      <c r="J23" s="77"/>
      <c r="K23" s="77"/>
      <c r="L23" s="7"/>
      <c r="M23" s="91">
        <v>3</v>
      </c>
      <c r="N23" s="82" t="str">
        <f ca="1">IF(SUM(Carteira!$C$5:$C$20)=0,"",'Base Painel'!K7)</f>
        <v/>
      </c>
      <c r="O23" s="77"/>
      <c r="P23" s="78" t="str">
        <f ca="1">IF(SUM(Carteira!$C$5:$C$20)=0,"",'Base Painel'!L7)</f>
        <v/>
      </c>
      <c r="Q23" s="77"/>
      <c r="R23" s="77"/>
      <c r="S23" s="76" t="str">
        <f ca="1">IF(SUM(Carteira!$C$5:$C$20)=0,"",'Base Painel'!M7)</f>
        <v/>
      </c>
      <c r="T23" s="77"/>
      <c r="U23" s="77"/>
      <c r="V23" s="7"/>
      <c r="W23" s="91">
        <v>3</v>
      </c>
      <c r="X23" s="82" t="str">
        <f ca="1">IF(SUM(Carteira!$C$5:$C$20)=0,"",'Base Painel'!P7)</f>
        <v/>
      </c>
      <c r="Y23" s="77"/>
      <c r="Z23" s="78" t="str">
        <f ca="1">IF(SUM(Carteira!$C$5:$C$20)=0,"",'Base Painel'!Q7)</f>
        <v/>
      </c>
      <c r="AA23" s="77"/>
      <c r="AB23" s="77"/>
      <c r="AC23" s="76" t="str">
        <f ca="1">IF(SUM(Carteira!$C$5:$C$20)=0,"",'Base Painel'!R7)</f>
        <v/>
      </c>
      <c r="AD23" s="77"/>
      <c r="AE23" s="77"/>
      <c r="AF23" s="7"/>
    </row>
    <row r="24" spans="1:32" x14ac:dyDescent="0.25">
      <c r="A24" s="7"/>
      <c r="B24" s="7"/>
      <c r="C24" s="91">
        <v>4</v>
      </c>
      <c r="D24" s="82" t="str">
        <f ca="1">IF(SUM(Carteira!$C$5:$C$20)=0,"",'Base Painel'!G8)</f>
        <v/>
      </c>
      <c r="E24" s="77"/>
      <c r="F24" s="76" t="str">
        <f ca="1">IF(SUM(Carteira!$C$5:$C$20)=0,"",'Base Painel'!H8)</f>
        <v/>
      </c>
      <c r="G24" s="77"/>
      <c r="H24" s="77"/>
      <c r="I24" s="109" t="str">
        <f ca="1">IF(SUM(Carteira!$C$5:$C$20)=0,"",'Base Painel'!AJ8)</f>
        <v/>
      </c>
      <c r="J24" s="77"/>
      <c r="K24" s="77"/>
      <c r="L24" s="7"/>
      <c r="M24" s="91">
        <v>4</v>
      </c>
      <c r="N24" s="82" t="str">
        <f ca="1">IF(SUM(Carteira!$C$5:$C$20)=0,"",'Base Painel'!K8)</f>
        <v/>
      </c>
      <c r="O24" s="77"/>
      <c r="P24" s="78" t="str">
        <f ca="1">IF(SUM(Carteira!$C$5:$C$20)=0,"",'Base Painel'!L8)</f>
        <v/>
      </c>
      <c r="Q24" s="77"/>
      <c r="R24" s="77"/>
      <c r="S24" s="76" t="str">
        <f ca="1">IF(SUM(Carteira!$C$5:$C$20)=0,"",'Base Painel'!M8)</f>
        <v/>
      </c>
      <c r="T24" s="77"/>
      <c r="U24" s="77"/>
      <c r="V24" s="7"/>
      <c r="W24" s="91">
        <v>4</v>
      </c>
      <c r="X24" s="82" t="str">
        <f ca="1">IF(SUM(Carteira!$C$5:$C$20)=0,"",'Base Painel'!P8)</f>
        <v/>
      </c>
      <c r="Y24" s="77"/>
      <c r="Z24" s="78" t="str">
        <f ca="1">IF(SUM(Carteira!$C$5:$C$20)=0,"",'Base Painel'!Q8)</f>
        <v/>
      </c>
      <c r="AA24" s="77"/>
      <c r="AB24" s="77"/>
      <c r="AC24" s="76" t="str">
        <f ca="1">IF(SUM(Carteira!$C$5:$C$20)=0,"",'Base Painel'!R8)</f>
        <v/>
      </c>
      <c r="AD24" s="77"/>
      <c r="AE24" s="77"/>
      <c r="AF24" s="7"/>
    </row>
    <row r="25" spans="1:32" x14ac:dyDescent="0.25">
      <c r="A25" s="7"/>
      <c r="B25" s="7"/>
      <c r="C25" s="91">
        <v>5</v>
      </c>
      <c r="D25" s="82" t="str">
        <f ca="1">IF(SUM(Carteira!$C$5:$C$20)=0,"",'Base Painel'!G9)</f>
        <v/>
      </c>
      <c r="E25" s="77"/>
      <c r="F25" s="76" t="str">
        <f ca="1">IF(SUM(Carteira!$C$5:$C$20)=0,"",'Base Painel'!H9)</f>
        <v/>
      </c>
      <c r="G25" s="77"/>
      <c r="H25" s="77"/>
      <c r="I25" s="109" t="str">
        <f ca="1">IF(SUM(Carteira!$C$5:$C$20)=0,"",'Base Painel'!AJ9)</f>
        <v/>
      </c>
      <c r="J25" s="77"/>
      <c r="K25" s="77"/>
      <c r="L25" s="7"/>
      <c r="M25" s="91">
        <v>5</v>
      </c>
      <c r="N25" s="82" t="str">
        <f ca="1">IF(SUM(Carteira!$C$5:$C$20)=0,"",'Base Painel'!K9)</f>
        <v/>
      </c>
      <c r="O25" s="77"/>
      <c r="P25" s="78" t="str">
        <f ca="1">IF(SUM(Carteira!$C$5:$C$20)=0,"",'Base Painel'!L9)</f>
        <v/>
      </c>
      <c r="Q25" s="77"/>
      <c r="R25" s="77"/>
      <c r="S25" s="76" t="str">
        <f ca="1">IF(SUM(Carteira!$C$5:$C$20)=0,"",'Base Painel'!M9)</f>
        <v/>
      </c>
      <c r="T25" s="77"/>
      <c r="U25" s="77"/>
      <c r="V25" s="7"/>
      <c r="W25" s="91">
        <v>5</v>
      </c>
      <c r="X25" s="82" t="str">
        <f ca="1">IF(SUM(Carteira!$C$5:$C$20)=0,"",'Base Painel'!P9)</f>
        <v/>
      </c>
      <c r="Y25" s="77"/>
      <c r="Z25" s="78" t="str">
        <f ca="1">IF(SUM(Carteira!$C$5:$C$20)=0,"",'Base Painel'!Q9)</f>
        <v/>
      </c>
      <c r="AA25" s="77"/>
      <c r="AB25" s="77"/>
      <c r="AC25" s="76" t="str">
        <f ca="1">IF(SUM(Carteira!$C$5:$C$20)=0,"",'Base Painel'!R9)</f>
        <v/>
      </c>
      <c r="AD25" s="77"/>
      <c r="AE25" s="77"/>
      <c r="AF25" s="7"/>
    </row>
    <row r="26" spans="1:32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ht="16.5" x14ac:dyDescent="0.25">
      <c r="A27" s="7"/>
      <c r="B27" s="7"/>
      <c r="C27" s="8" t="s">
        <v>30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9" t="s">
        <v>31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3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  <row r="33" spans="1:3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</row>
    <row r="34" spans="1:3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35" spans="1:3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</row>
    <row r="36" spans="1:3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</row>
    <row r="37" spans="1:3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</row>
    <row r="38" spans="1:3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</row>
    <row r="39" spans="1:3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</row>
    <row r="40" spans="1:3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</row>
    <row r="41" spans="1:3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</row>
    <row r="42" spans="1:3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</row>
    <row r="43" spans="1:3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1:3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1:32" ht="16.5" x14ac:dyDescent="0.25">
      <c r="A45" s="7"/>
      <c r="B45" s="7"/>
      <c r="C45" s="8" t="s">
        <v>32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</row>
    <row r="46" spans="1:3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</row>
    <row r="47" spans="1:3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</row>
    <row r="48" spans="1:3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</row>
    <row r="49" spans="1:3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</row>
    <row r="50" spans="1:3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</row>
    <row r="51" spans="1:32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</row>
    <row r="52" spans="1:32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</row>
    <row r="53" spans="1:32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</row>
    <row r="54" spans="1:32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</row>
    <row r="55" spans="1:32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</row>
    <row r="56" spans="1:32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</row>
    <row r="57" spans="1:32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</row>
    <row r="58" spans="1:32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</row>
    <row r="59" spans="1:32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</row>
    <row r="60" spans="1:32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</row>
    <row r="61" spans="1:32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</row>
    <row r="62" spans="1:32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</row>
    <row r="63" spans="1:32" ht="16.5" x14ac:dyDescent="0.25">
      <c r="A63" s="7"/>
      <c r="B63" s="7"/>
      <c r="C63" s="8" t="s">
        <v>33</v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</row>
    <row r="64" spans="1:32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</row>
    <row r="65" spans="1:32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</row>
    <row r="66" spans="1:32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</row>
    <row r="67" spans="1:32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</row>
    <row r="68" spans="1:32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</row>
    <row r="69" spans="1:32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</row>
    <row r="70" spans="1:32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</row>
    <row r="71" spans="1:32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</row>
    <row r="72" spans="1:32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</row>
    <row r="73" spans="1:32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</row>
    <row r="74" spans="1:32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</row>
    <row r="75" spans="1:32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</row>
    <row r="76" spans="1:32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</row>
    <row r="77" spans="1:32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</row>
    <row r="78" spans="1:32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</row>
    <row r="79" spans="1:32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</row>
    <row r="80" spans="1:32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</row>
    <row r="81" spans="1:32" ht="16.5" x14ac:dyDescent="0.25">
      <c r="A81" s="7"/>
      <c r="B81" s="7"/>
      <c r="C81" s="8" t="s">
        <v>34</v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9" t="s">
        <v>35</v>
      </c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</row>
    <row r="82" spans="1:32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</row>
    <row r="83" spans="1:32" ht="21.95" customHeight="1" x14ac:dyDescent="0.25">
      <c r="A83" s="7"/>
      <c r="B83" s="7"/>
      <c r="C83" s="104" t="s">
        <v>36</v>
      </c>
      <c r="D83" s="105"/>
      <c r="E83" s="105"/>
      <c r="F83" s="105"/>
      <c r="G83" s="105"/>
      <c r="H83" s="104" t="s">
        <v>37</v>
      </c>
      <c r="I83" s="105"/>
      <c r="J83" s="105"/>
      <c r="K83" s="105"/>
      <c r="L83" s="105"/>
      <c r="M83" s="104" t="s">
        <v>38</v>
      </c>
      <c r="N83" s="105"/>
      <c r="O83" s="105"/>
      <c r="P83" s="105"/>
      <c r="Q83" s="104" t="s">
        <v>39</v>
      </c>
      <c r="R83" s="105"/>
      <c r="S83" s="105"/>
      <c r="T83" s="105"/>
      <c r="U83" s="104" t="s">
        <v>40</v>
      </c>
      <c r="V83" s="105"/>
      <c r="W83" s="105"/>
      <c r="X83" s="105"/>
      <c r="Y83" s="104" t="s">
        <v>41</v>
      </c>
      <c r="Z83" s="105"/>
      <c r="AA83" s="105"/>
      <c r="AB83" s="105"/>
      <c r="AC83" s="105"/>
      <c r="AD83" s="105"/>
      <c r="AE83" s="105"/>
      <c r="AF83" s="7"/>
    </row>
    <row r="84" spans="1:32" ht="20.100000000000001" customHeight="1" x14ac:dyDescent="0.25">
      <c r="A84" s="7"/>
      <c r="B84" s="7"/>
      <c r="C84" s="103" t="s">
        <v>42</v>
      </c>
      <c r="D84" s="87"/>
      <c r="E84" s="87"/>
      <c r="F84" s="87"/>
      <c r="G84" s="87"/>
      <c r="H84" s="107">
        <f ca="1">Carteira!G23</f>
        <v>0</v>
      </c>
      <c r="I84" s="87"/>
      <c r="J84" s="87"/>
      <c r="K84" s="87"/>
      <c r="L84" s="87"/>
      <c r="M84" s="99">
        <f ca="1">IF($H$89&gt;0,H84/$H$89,0)</f>
        <v>0</v>
      </c>
      <c r="N84" s="87"/>
      <c r="O84" s="87"/>
      <c r="P84" s="87"/>
      <c r="Q84" s="119">
        <f>PESO_RV*SUMIFS(Ativos!$F$5:$F$20,Ativos!$B$5:$B$20,"AÇÃO")/Ativos!$F$21</f>
        <v>0.22399999999999992</v>
      </c>
      <c r="R84" s="87"/>
      <c r="S84" s="87"/>
      <c r="T84" s="87"/>
      <c r="U84" s="86">
        <f ca="1">M84-Q84</f>
        <v>-0.22399999999999992</v>
      </c>
      <c r="V84" s="87"/>
      <c r="W84" s="87"/>
      <c r="X84" s="87"/>
      <c r="Y84" s="121">
        <f ca="1">MAX(0,Q84*$H$89-H84)</f>
        <v>223.99999999999991</v>
      </c>
      <c r="Z84" s="87"/>
      <c r="AA84" s="87"/>
      <c r="AB84" s="87"/>
      <c r="AC84" s="87"/>
      <c r="AD84" s="87"/>
      <c r="AE84" s="87"/>
      <c r="AF84" s="7"/>
    </row>
    <row r="85" spans="1:32" ht="20.100000000000001" customHeight="1" x14ac:dyDescent="0.25">
      <c r="A85" s="7"/>
      <c r="B85" s="7"/>
      <c r="C85" s="116" t="s">
        <v>43</v>
      </c>
      <c r="D85" s="93"/>
      <c r="E85" s="93"/>
      <c r="F85" s="93"/>
      <c r="G85" s="93"/>
      <c r="H85" s="117">
        <f ca="1">Carteira!G24</f>
        <v>0</v>
      </c>
      <c r="I85" s="93"/>
      <c r="J85" s="93"/>
      <c r="K85" s="93"/>
      <c r="L85" s="93"/>
      <c r="M85" s="113">
        <f ca="1">IF($H$89&gt;0,H85/$H$89,0)</f>
        <v>0</v>
      </c>
      <c r="N85" s="93"/>
      <c r="O85" s="93"/>
      <c r="P85" s="93"/>
      <c r="Q85" s="110">
        <f>PESO_RV*SUMIFS(Ativos!$F$5:$F$20,Ativos!$B$5:$B$20,"FII")/Ativos!$F$21</f>
        <v>9.5999999999999974E-2</v>
      </c>
      <c r="R85" s="93"/>
      <c r="S85" s="93"/>
      <c r="T85" s="93"/>
      <c r="U85" s="115">
        <f ca="1">M85-Q85</f>
        <v>-9.5999999999999974E-2</v>
      </c>
      <c r="V85" s="93"/>
      <c r="W85" s="93"/>
      <c r="X85" s="93"/>
      <c r="Y85" s="92">
        <f ca="1">MAX(0,Q85*$H$89-H85)</f>
        <v>95.999999999999972</v>
      </c>
      <c r="Z85" s="93"/>
      <c r="AA85" s="93"/>
      <c r="AB85" s="93"/>
      <c r="AC85" s="93"/>
      <c r="AD85" s="93"/>
      <c r="AE85" s="93"/>
      <c r="AF85" s="7"/>
    </row>
    <row r="86" spans="1:32" ht="20.100000000000001" customHeight="1" x14ac:dyDescent="0.25">
      <c r="A86" s="7"/>
      <c r="B86" s="7"/>
      <c r="C86" s="103" t="str">
        <f>Premissas!A11</f>
        <v>Renda fixa (CDB Nubank)</v>
      </c>
      <c r="D86" s="87"/>
      <c r="E86" s="87"/>
      <c r="F86" s="87"/>
      <c r="G86" s="87"/>
      <c r="H86" s="107">
        <f>Premissas!B11</f>
        <v>1000</v>
      </c>
      <c r="I86" s="87"/>
      <c r="J86" s="87"/>
      <c r="K86" s="87"/>
      <c r="L86" s="87"/>
      <c r="M86" s="99">
        <f ca="1">IF($H$89&gt;0,H86/$H$89,0)</f>
        <v>1</v>
      </c>
      <c r="N86" s="87"/>
      <c r="O86" s="87"/>
      <c r="P86" s="87"/>
      <c r="Q86" s="119">
        <f>Premissas!C11</f>
        <v>0.5</v>
      </c>
      <c r="R86" s="87"/>
      <c r="S86" s="87"/>
      <c r="T86" s="87"/>
      <c r="U86" s="86">
        <f ca="1">M86-Q86</f>
        <v>0.5</v>
      </c>
      <c r="V86" s="87"/>
      <c r="W86" s="87"/>
      <c r="X86" s="87"/>
      <c r="Y86" s="121">
        <f ca="1">MAX(0,Q86*$H$89-H86)</f>
        <v>0</v>
      </c>
      <c r="Z86" s="87"/>
      <c r="AA86" s="87"/>
      <c r="AB86" s="87"/>
      <c r="AC86" s="87"/>
      <c r="AD86" s="87"/>
      <c r="AE86" s="87"/>
      <c r="AF86" s="7"/>
    </row>
    <row r="87" spans="1:32" ht="20.100000000000001" customHeight="1" x14ac:dyDescent="0.25">
      <c r="A87" s="7"/>
      <c r="B87" s="7"/>
      <c r="C87" s="116" t="str">
        <f>Premissas!A12</f>
        <v>Internacional</v>
      </c>
      <c r="D87" s="93"/>
      <c r="E87" s="93"/>
      <c r="F87" s="93"/>
      <c r="G87" s="93"/>
      <c r="H87" s="117">
        <f>Premissas!B12</f>
        <v>0</v>
      </c>
      <c r="I87" s="93"/>
      <c r="J87" s="93"/>
      <c r="K87" s="93"/>
      <c r="L87" s="93"/>
      <c r="M87" s="113">
        <f ca="1">IF($H$89&gt;0,H87/$H$89,0)</f>
        <v>0</v>
      </c>
      <c r="N87" s="93"/>
      <c r="O87" s="93"/>
      <c r="P87" s="93"/>
      <c r="Q87" s="110">
        <f>Premissas!C12</f>
        <v>0.15</v>
      </c>
      <c r="R87" s="93"/>
      <c r="S87" s="93"/>
      <c r="T87" s="93"/>
      <c r="U87" s="115">
        <f ca="1">M87-Q87</f>
        <v>-0.15</v>
      </c>
      <c r="V87" s="93"/>
      <c r="W87" s="93"/>
      <c r="X87" s="93"/>
      <c r="Y87" s="92">
        <f ca="1">MAX(0,Q87*$H$89-H87)</f>
        <v>150</v>
      </c>
      <c r="Z87" s="93"/>
      <c r="AA87" s="93"/>
      <c r="AB87" s="93"/>
      <c r="AC87" s="93"/>
      <c r="AD87" s="93"/>
      <c r="AE87" s="93"/>
      <c r="AF87" s="7"/>
    </row>
    <row r="88" spans="1:32" ht="20.100000000000001" customHeight="1" x14ac:dyDescent="0.25">
      <c r="A88" s="7"/>
      <c r="B88" s="7"/>
      <c r="C88" s="103" t="str">
        <f>Premissas!A13</f>
        <v>Cripto</v>
      </c>
      <c r="D88" s="87"/>
      <c r="E88" s="87"/>
      <c r="F88" s="87"/>
      <c r="G88" s="87"/>
      <c r="H88" s="107">
        <f>Premissas!B13</f>
        <v>0</v>
      </c>
      <c r="I88" s="87"/>
      <c r="J88" s="87"/>
      <c r="K88" s="87"/>
      <c r="L88" s="87"/>
      <c r="M88" s="99">
        <f ca="1">IF($H$89&gt;0,H88/$H$89,0)</f>
        <v>0</v>
      </c>
      <c r="N88" s="87"/>
      <c r="O88" s="87"/>
      <c r="P88" s="87"/>
      <c r="Q88" s="119">
        <f>Premissas!C13</f>
        <v>0.03</v>
      </c>
      <c r="R88" s="87"/>
      <c r="S88" s="87"/>
      <c r="T88" s="87"/>
      <c r="U88" s="86">
        <f ca="1">M88-Q88</f>
        <v>-0.03</v>
      </c>
      <c r="V88" s="87"/>
      <c r="W88" s="87"/>
      <c r="X88" s="87"/>
      <c r="Y88" s="121">
        <f ca="1">MAX(0,Q88*$H$89-H88)</f>
        <v>30</v>
      </c>
      <c r="Z88" s="87"/>
      <c r="AA88" s="87"/>
      <c r="AB88" s="87"/>
      <c r="AC88" s="87"/>
      <c r="AD88" s="87"/>
      <c r="AE88" s="87"/>
      <c r="AF88" s="7"/>
    </row>
    <row r="89" spans="1:32" ht="20.100000000000001" customHeight="1" x14ac:dyDescent="0.25">
      <c r="A89" s="7"/>
      <c r="B89" s="7"/>
      <c r="C89" s="102" t="s">
        <v>44</v>
      </c>
      <c r="D89" s="73"/>
      <c r="E89" s="73"/>
      <c r="F89" s="73"/>
      <c r="G89" s="73"/>
      <c r="H89" s="96">
        <f ca="1">SUM(H84:H88)</f>
        <v>1000</v>
      </c>
      <c r="I89" s="73"/>
      <c r="J89" s="73"/>
      <c r="K89" s="73"/>
      <c r="L89" s="73"/>
      <c r="M89" s="72">
        <f ca="1">SUM(M84:M88)</f>
        <v>1</v>
      </c>
      <c r="N89" s="73"/>
      <c r="O89" s="73"/>
      <c r="P89" s="73"/>
      <c r="Q89" s="72">
        <f>SUM(Q84:Q88)</f>
        <v>0.99999999999999989</v>
      </c>
      <c r="R89" s="73"/>
      <c r="S89" s="73"/>
      <c r="T89" s="73"/>
      <c r="U89" s="100"/>
      <c r="V89" s="73"/>
      <c r="W89" s="73"/>
      <c r="X89" s="73"/>
      <c r="Y89" s="96">
        <f ca="1">SUM(Y84:Y88)</f>
        <v>499.99999999999989</v>
      </c>
      <c r="Z89" s="73"/>
      <c r="AA89" s="73"/>
      <c r="AB89" s="73"/>
      <c r="AC89" s="73"/>
      <c r="AD89" s="73"/>
      <c r="AE89" s="73"/>
      <c r="AF89" s="7"/>
    </row>
    <row r="90" spans="1:32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</row>
    <row r="91" spans="1:32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</row>
    <row r="92" spans="1:32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</row>
    <row r="93" spans="1:32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</row>
    <row r="94" spans="1:32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</row>
    <row r="95" spans="1:32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</row>
    <row r="96" spans="1:32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</row>
    <row r="97" spans="1:32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</row>
    <row r="98" spans="1:32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</row>
    <row r="99" spans="1:32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</row>
    <row r="100" spans="1:32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</row>
    <row r="101" spans="1:32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</row>
    <row r="102" spans="1:32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</row>
    <row r="103" spans="1:32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</row>
    <row r="104" spans="1:32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</row>
  </sheetData>
  <mergeCells count="155">
    <mergeCell ref="AB8:AE8"/>
    <mergeCell ref="Y84:AE84"/>
    <mergeCell ref="N20:O20"/>
    <mergeCell ref="W9:Z9"/>
    <mergeCell ref="S23:U23"/>
    <mergeCell ref="AC23:AE23"/>
    <mergeCell ref="M24"/>
    <mergeCell ref="H9:K9"/>
    <mergeCell ref="R13:U13"/>
    <mergeCell ref="C19:K19"/>
    <mergeCell ref="X20:Y20"/>
    <mergeCell ref="Q86:T86"/>
    <mergeCell ref="D22:E22"/>
    <mergeCell ref="Y86:AE86"/>
    <mergeCell ref="M14:P14"/>
    <mergeCell ref="N22:O22"/>
    <mergeCell ref="C13:F13"/>
    <mergeCell ref="I24:K24"/>
    <mergeCell ref="W13:Z13"/>
    <mergeCell ref="F22:H22"/>
    <mergeCell ref="H83:L83"/>
    <mergeCell ref="S24:U24"/>
    <mergeCell ref="C15:F15"/>
    <mergeCell ref="D20:E20"/>
    <mergeCell ref="C23"/>
    <mergeCell ref="C83:G83"/>
    <mergeCell ref="Q88:T88"/>
    <mergeCell ref="M22"/>
    <mergeCell ref="D24:E24"/>
    <mergeCell ref="W22"/>
    <mergeCell ref="Q87:T87"/>
    <mergeCell ref="Z20:AB20"/>
    <mergeCell ref="W15:Z15"/>
    <mergeCell ref="H85:L85"/>
    <mergeCell ref="AB14:AE14"/>
    <mergeCell ref="M23"/>
    <mergeCell ref="AC20:AE20"/>
    <mergeCell ref="U85:X85"/>
    <mergeCell ref="W14:Z14"/>
    <mergeCell ref="H8:K8"/>
    <mergeCell ref="R8:U8"/>
    <mergeCell ref="I23:K23"/>
    <mergeCell ref="Y88:AE88"/>
    <mergeCell ref="N24:O24"/>
    <mergeCell ref="F21:H21"/>
    <mergeCell ref="M85:P85"/>
    <mergeCell ref="H13:K13"/>
    <mergeCell ref="M8:P8"/>
    <mergeCell ref="I22:K22"/>
    <mergeCell ref="C86:G86"/>
    <mergeCell ref="AB13:AE13"/>
    <mergeCell ref="U83:X83"/>
    <mergeCell ref="C85:G85"/>
    <mergeCell ref="M88:P88"/>
    <mergeCell ref="M19:U19"/>
    <mergeCell ref="M20"/>
    <mergeCell ref="C25"/>
    <mergeCell ref="W20"/>
    <mergeCell ref="S25:U25"/>
    <mergeCell ref="C4:AE4"/>
    <mergeCell ref="AC22:AE22"/>
    <mergeCell ref="M87:P87"/>
    <mergeCell ref="C24"/>
    <mergeCell ref="C84:G84"/>
    <mergeCell ref="W24"/>
    <mergeCell ref="C14:F14"/>
    <mergeCell ref="AC21:AE21"/>
    <mergeCell ref="W19:AE19"/>
    <mergeCell ref="H84:L84"/>
    <mergeCell ref="U87:X87"/>
    <mergeCell ref="C87:G87"/>
    <mergeCell ref="H87:L87"/>
    <mergeCell ref="C21"/>
    <mergeCell ref="W21"/>
    <mergeCell ref="H7:K7"/>
    <mergeCell ref="M15:P15"/>
    <mergeCell ref="M86:P86"/>
    <mergeCell ref="Q84:T84"/>
    <mergeCell ref="Z25:AB25"/>
    <mergeCell ref="AB7:AE7"/>
    <mergeCell ref="N25:O25"/>
    <mergeCell ref="H15:K15"/>
    <mergeCell ref="I21:K21"/>
    <mergeCell ref="Y2:AE2"/>
    <mergeCell ref="P20:R20"/>
    <mergeCell ref="F25:H25"/>
    <mergeCell ref="M13:P13"/>
    <mergeCell ref="M25"/>
    <mergeCell ref="M7:P7"/>
    <mergeCell ref="H86:L86"/>
    <mergeCell ref="D23:E23"/>
    <mergeCell ref="P22:R22"/>
    <mergeCell ref="I25:K25"/>
    <mergeCell ref="F24:H24"/>
    <mergeCell ref="AC25:AE25"/>
    <mergeCell ref="R7:U7"/>
    <mergeCell ref="U86:X86"/>
    <mergeCell ref="Q85:T85"/>
    <mergeCell ref="D25:E25"/>
    <mergeCell ref="S21:U21"/>
    <mergeCell ref="Y85:AE85"/>
    <mergeCell ref="AB9:AE9"/>
    <mergeCell ref="P25:R25"/>
    <mergeCell ref="W7:Z7"/>
    <mergeCell ref="X22:Y22"/>
    <mergeCell ref="X25:Y25"/>
    <mergeCell ref="M21"/>
    <mergeCell ref="Q89:T89"/>
    <mergeCell ref="P21:R21"/>
    <mergeCell ref="X21:Y21"/>
    <mergeCell ref="U89:X89"/>
    <mergeCell ref="C8:F8"/>
    <mergeCell ref="W8:Z8"/>
    <mergeCell ref="C89:G89"/>
    <mergeCell ref="P23:R23"/>
    <mergeCell ref="X23:Y23"/>
    <mergeCell ref="C88:G88"/>
    <mergeCell ref="F23:H23"/>
    <mergeCell ref="W23"/>
    <mergeCell ref="H14:K14"/>
    <mergeCell ref="H89:L89"/>
    <mergeCell ref="M83:P83"/>
    <mergeCell ref="I20:K20"/>
    <mergeCell ref="M9:P9"/>
    <mergeCell ref="S20:U20"/>
    <mergeCell ref="U84:X84"/>
    <mergeCell ref="H88:L88"/>
    <mergeCell ref="Z24:AB24"/>
    <mergeCell ref="Q83:T83"/>
    <mergeCell ref="Y83:AE83"/>
    <mergeCell ref="S22:U22"/>
    <mergeCell ref="M89:P89"/>
    <mergeCell ref="F20:H20"/>
    <mergeCell ref="AC24:AE24"/>
    <mergeCell ref="Z22:AB22"/>
    <mergeCell ref="C7:F7"/>
    <mergeCell ref="Z21:AB21"/>
    <mergeCell ref="D21:E21"/>
    <mergeCell ref="R9:U9"/>
    <mergeCell ref="U88:X88"/>
    <mergeCell ref="N21:O21"/>
    <mergeCell ref="R14:U14"/>
    <mergeCell ref="Z23:AB23"/>
    <mergeCell ref="W25"/>
    <mergeCell ref="Y87:AE87"/>
    <mergeCell ref="AB15:AE15"/>
    <mergeCell ref="N23:O23"/>
    <mergeCell ref="C20"/>
    <mergeCell ref="P24:R24"/>
    <mergeCell ref="X24:Y24"/>
    <mergeCell ref="Y89:AE89"/>
    <mergeCell ref="R15:U15"/>
    <mergeCell ref="C22"/>
    <mergeCell ref="C9:F9"/>
    <mergeCell ref="M84:P84"/>
  </mergeCells>
  <conditionalFormatting sqref="P21:U25">
    <cfRule type="cellIs" dxfId="14" priority="3" operator="lessThan">
      <formula>0</formula>
    </cfRule>
    <cfRule type="cellIs" dxfId="13" priority="4" operator="greaterThan">
      <formula>0</formula>
    </cfRule>
  </conditionalFormatting>
  <conditionalFormatting sqref="U84:U88">
    <cfRule type="cellIs" dxfId="12" priority="7" operator="lessThan">
      <formula>0</formula>
    </cfRule>
    <cfRule type="cellIs" dxfId="11" priority="8" operator="greaterThan">
      <formula>0</formula>
    </cfRule>
  </conditionalFormatting>
  <conditionalFormatting sqref="W8">
    <cfRule type="cellIs" dxfId="10" priority="1" operator="lessThan">
      <formula>0</formula>
    </cfRule>
    <cfRule type="cellIs" dxfId="9" priority="2" operator="greaterThan">
      <formula>0</formula>
    </cfRule>
  </conditionalFormatting>
  <conditionalFormatting sqref="Z21:AE25">
    <cfRule type="cellIs" dxfId="8" priority="5" operator="lessThan">
      <formula>0</formula>
    </cfRule>
    <cfRule type="cellIs" dxfId="7" priority="6" operator="greaterThan">
      <formula>0</formula>
    </cfRule>
  </conditionalFormatting>
  <hyperlinks>
    <hyperlink ref="C4" location="Cadastro!A1" display="Cadastro!A1" xr:uid="{00000000-0004-0000-0000-000000000000}"/>
  </hyperlinks>
  <pageMargins left="0.75" right="0.75" top="1" bottom="1" header="0.5" footer="0.5"/>
  <pageSetup fitToHeight="0" orientation="landscape"/>
  <rowBreaks count="2" manualBreakCount="2">
    <brk id="26" max="16383" man="1"/>
    <brk id="6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2563EB"/>
    <pageSetUpPr fitToPage="1"/>
  </sheetPr>
  <dimension ref="A1:AN29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10" customWidth="1"/>
    <col min="2" max="2" width="7" customWidth="1"/>
    <col min="3" max="3" width="10" customWidth="1"/>
    <col min="4" max="4" width="12" customWidth="1"/>
    <col min="5" max="5" width="15" customWidth="1"/>
    <col min="6" max="6" width="11" customWidth="1"/>
    <col min="7" max="8" width="15" customWidth="1"/>
    <col min="9" max="9" width="11" customWidth="1"/>
    <col min="10" max="10" width="14" customWidth="1"/>
    <col min="11" max="11" width="13" customWidth="1"/>
    <col min="12" max="12" width="14" customWidth="1"/>
    <col min="13" max="13" width="11" customWidth="1"/>
    <col min="14" max="14" width="10" customWidth="1"/>
    <col min="15" max="17" width="9" customWidth="1"/>
    <col min="18" max="18" width="10" customWidth="1"/>
    <col min="19" max="19" width="15" customWidth="1"/>
    <col min="20" max="22" width="13" customWidth="1"/>
    <col min="23" max="23" width="10" customWidth="1"/>
    <col min="24" max="25" width="11" customWidth="1"/>
    <col min="26" max="26" width="14" customWidth="1"/>
    <col min="27" max="27" width="12" customWidth="1"/>
    <col min="28" max="28" width="22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45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</row>
    <row r="3" spans="1:40" ht="15.95" customHeight="1" x14ac:dyDescent="0.25">
      <c r="A3" s="12" t="s">
        <v>46</v>
      </c>
    </row>
    <row r="4" spans="1:40" ht="32.1" customHeight="1" x14ac:dyDescent="0.25">
      <c r="A4" s="13" t="s">
        <v>47</v>
      </c>
      <c r="B4" s="13" t="s">
        <v>48</v>
      </c>
      <c r="C4" s="13" t="s">
        <v>49</v>
      </c>
      <c r="D4" s="13" t="s">
        <v>50</v>
      </c>
      <c r="E4" s="13" t="s">
        <v>51</v>
      </c>
      <c r="F4" s="13" t="s">
        <v>52</v>
      </c>
      <c r="G4" s="13" t="s">
        <v>53</v>
      </c>
      <c r="H4" s="13" t="s">
        <v>54</v>
      </c>
      <c r="I4" s="13" t="s">
        <v>55</v>
      </c>
      <c r="J4" s="13" t="s">
        <v>56</v>
      </c>
      <c r="K4" s="13" t="s">
        <v>57</v>
      </c>
      <c r="L4" s="13" t="s">
        <v>58</v>
      </c>
      <c r="M4" s="13" t="s">
        <v>59</v>
      </c>
      <c r="N4" s="13" t="s">
        <v>60</v>
      </c>
      <c r="O4" s="13" t="s">
        <v>61</v>
      </c>
      <c r="P4" s="13" t="s">
        <v>38</v>
      </c>
      <c r="Q4" s="13" t="s">
        <v>39</v>
      </c>
      <c r="R4" s="13" t="s">
        <v>62</v>
      </c>
      <c r="S4" s="13" t="s">
        <v>63</v>
      </c>
      <c r="T4" s="13" t="s">
        <v>64</v>
      </c>
      <c r="U4" s="13" t="s">
        <v>65</v>
      </c>
      <c r="V4" s="13" t="s">
        <v>66</v>
      </c>
      <c r="W4" s="13" t="s">
        <v>67</v>
      </c>
      <c r="X4" s="13" t="s">
        <v>68</v>
      </c>
      <c r="Y4" s="13" t="s">
        <v>69</v>
      </c>
      <c r="Z4" s="13" t="s">
        <v>70</v>
      </c>
      <c r="AA4" s="13" t="s">
        <v>71</v>
      </c>
      <c r="AB4" s="13" t="s">
        <v>72</v>
      </c>
    </row>
    <row r="5" spans="1:40" x14ac:dyDescent="0.25">
      <c r="A5" s="14" t="str">
        <f>IF(Ativos!A5="","",Ativos!A5)</f>
        <v>VALE3</v>
      </c>
      <c r="B5" s="14" t="str">
        <f>IF(Ativos!B5="","",Ativos!B5)</f>
        <v>AÇÃO</v>
      </c>
      <c r="C5" s="15">
        <f ca="1">SUMIFS(Lançamentos!$D$5:$D$5000,Lançamentos!$B$5:$B$5000,A5,Lançamentos!$C$5:$C$5000,"COMPRA")-SUMIFS(Lançamentos!$D$5:$D$5000,Lançamentos!$B$5:$B$5000,A5,Lançamentos!$C$5:$C$5000,"VENDA")</f>
        <v>0</v>
      </c>
      <c r="D5" s="16">
        <f ca="1">IFERROR(SUMIFS(Lançamentos!$G$5:$G$5000,Lançamentos!$B$5:$B$5000,A5,Lançamentos!$C$5:$C$5000,"COMPRA")/SUMIFS(Lançamentos!$D$5:$D$5000,Lançamentos!$B$5:$B$5000,A5,Lançamentos!$C$5:$C$5000,"COMPRA"),0)</f>
        <v>0</v>
      </c>
      <c r="E5" s="16">
        <f t="shared" ref="E5:E20" ca="1" si="0">C5*D5</f>
        <v>0</v>
      </c>
      <c r="F5" s="17">
        <f>N(Ativos!D5)</f>
        <v>70.77</v>
      </c>
      <c r="G5" s="16">
        <f t="shared" ref="G5:G20" ca="1" si="1">C5*F5</f>
        <v>0</v>
      </c>
      <c r="H5" s="16">
        <f t="shared" ref="H5:H20" ca="1" si="2">G5-E5</f>
        <v>0</v>
      </c>
      <c r="I5" s="18">
        <f t="shared" ref="I5:I21" ca="1" si="3">IF(E5&gt;0,H5/E5,0)</f>
        <v>0</v>
      </c>
      <c r="J5" s="16">
        <f>SUMIFS(Proventos!$F$5:$F$5000,Proventos!$B$5:$B$5000,A5)</f>
        <v>0</v>
      </c>
      <c r="K5" s="16">
        <f ca="1">SUMIFS(Proventos!$F$5:$F$5000,Proventos!$B$5:$B$5000,A5,Proventos!$A$5:$A$5000,"&gt;="&amp;(TODAY()-365))</f>
        <v>0</v>
      </c>
      <c r="L5" s="16">
        <f t="shared" ref="L5:L20" ca="1" si="4">H5+J5</f>
        <v>0</v>
      </c>
      <c r="M5" s="18">
        <f t="shared" ref="M5:M21" ca="1" si="5">IF(E5&gt;0,L5/E5,0)</f>
        <v>0</v>
      </c>
      <c r="N5" s="18">
        <f t="shared" ref="N5:N20" ca="1" si="6">IF(D5&gt;0,T5/D5,0)</f>
        <v>0</v>
      </c>
      <c r="O5" s="18">
        <f t="shared" ref="O5:O20" si="7">IF(F5&gt;0,T5/F5,0)</f>
        <v>7.9306203193443545E-2</v>
      </c>
      <c r="P5" s="18">
        <f t="shared" ref="P5:P20" ca="1" si="8">IF($G$21&gt;0,G5/$G$21,0)</f>
        <v>0</v>
      </c>
      <c r="Q5" s="19">
        <f>N(Ativos!F5)</f>
        <v>0.1</v>
      </c>
      <c r="R5" s="18">
        <f t="shared" ref="R5:R20" ca="1" si="9">P5-Q5</f>
        <v>-0.1</v>
      </c>
      <c r="S5" s="16">
        <f t="shared" ref="S5:S20" ca="1" si="10">MAX(0,Q5*$G$21-G5)</f>
        <v>0</v>
      </c>
      <c r="T5" s="17">
        <f>N(Ativos!E5)</f>
        <v>5.6124999999999998</v>
      </c>
      <c r="U5" s="20">
        <f t="shared" ref="U5:U20" si="11">T5/12</f>
        <v>0.46770833333333334</v>
      </c>
      <c r="V5" s="16">
        <f t="shared" ref="V5:V20" ca="1" si="12">C5*U5</f>
        <v>0</v>
      </c>
      <c r="W5" s="18">
        <f t="shared" ref="W5:W20" ca="1" si="13">IF(META_MENSAL&gt;0,MIN(1,V5/META_MENSAL),0)</f>
        <v>0</v>
      </c>
      <c r="X5" s="15">
        <f t="shared" ref="X5:X20" si="14">IF(U5&gt;0,ROUNDUP(META_MENSAL/U5,0),0)</f>
        <v>2139</v>
      </c>
      <c r="Y5" s="15">
        <f t="shared" ref="Y5:Y20" ca="1" si="15">MAX(0,X5-C5)</f>
        <v>2139</v>
      </c>
      <c r="Z5" s="21">
        <f t="shared" ref="Z5:Z20" ca="1" si="16">Y5*F5</f>
        <v>151377.03</v>
      </c>
      <c r="AA5" s="22">
        <f t="shared" ref="AA5:AA21" ca="1" si="17">IF(APORTE_MENSAL&gt;0,ROUNDUP(Z5/APORTE_MENSAL,0),0)</f>
        <v>51</v>
      </c>
      <c r="AB5" s="14" t="str">
        <f>IF(Ativos!C5="","",Ativos!C5)</f>
        <v>Mineração</v>
      </c>
    </row>
    <row r="6" spans="1:40" x14ac:dyDescent="0.25">
      <c r="A6" s="23" t="str">
        <f>IF(Ativos!A6="","",Ativos!A6)</f>
        <v>TAEE11</v>
      </c>
      <c r="B6" s="23" t="str">
        <f>IF(Ativos!B6="","",Ativos!B6)</f>
        <v>AÇÃO</v>
      </c>
      <c r="C6" s="24">
        <f ca="1">SUMIFS(Lançamentos!$D$5:$D$5000,Lançamentos!$B$5:$B$5000,A6,Lançamentos!$C$5:$C$5000,"COMPRA")-SUMIFS(Lançamentos!$D$5:$D$5000,Lançamentos!$B$5:$B$5000,A6,Lançamentos!$C$5:$C$5000,"VENDA")</f>
        <v>0</v>
      </c>
      <c r="D6" s="25">
        <f ca="1">IFERROR(SUMIFS(Lançamentos!$G$5:$G$5000,Lançamentos!$B$5:$B$5000,A6,Lançamentos!$C$5:$C$5000,"COMPRA")/SUMIFS(Lançamentos!$D$5:$D$5000,Lançamentos!$B$5:$B$5000,A6,Lançamentos!$C$5:$C$5000,"COMPRA"),0)</f>
        <v>0</v>
      </c>
      <c r="E6" s="25">
        <f t="shared" ca="1" si="0"/>
        <v>0</v>
      </c>
      <c r="F6" s="26">
        <f>N(Ativos!D6)</f>
        <v>40.79</v>
      </c>
      <c r="G6" s="25">
        <f t="shared" ca="1" si="1"/>
        <v>0</v>
      </c>
      <c r="H6" s="25">
        <f t="shared" ca="1" si="2"/>
        <v>0</v>
      </c>
      <c r="I6" s="27">
        <f t="shared" ca="1" si="3"/>
        <v>0</v>
      </c>
      <c r="J6" s="25">
        <f>SUMIFS(Proventos!$F$5:$F$5000,Proventos!$B$5:$B$5000,A6)</f>
        <v>0</v>
      </c>
      <c r="K6" s="25">
        <f ca="1">SUMIFS(Proventos!$F$5:$F$5000,Proventos!$B$5:$B$5000,A6,Proventos!$A$5:$A$5000,"&gt;="&amp;(TODAY()-365))</f>
        <v>0</v>
      </c>
      <c r="L6" s="25">
        <f t="shared" ca="1" si="4"/>
        <v>0</v>
      </c>
      <c r="M6" s="27">
        <f t="shared" ca="1" si="5"/>
        <v>0</v>
      </c>
      <c r="N6" s="27">
        <f t="shared" ca="1" si="6"/>
        <v>0</v>
      </c>
      <c r="O6" s="27">
        <f t="shared" si="7"/>
        <v>7.3706790880117681E-2</v>
      </c>
      <c r="P6" s="27">
        <f t="shared" ca="1" si="8"/>
        <v>0</v>
      </c>
      <c r="Q6" s="28">
        <f>N(Ativos!F6)</f>
        <v>0.05</v>
      </c>
      <c r="R6" s="27">
        <f t="shared" ca="1" si="9"/>
        <v>-0.05</v>
      </c>
      <c r="S6" s="25">
        <f t="shared" ca="1" si="10"/>
        <v>0</v>
      </c>
      <c r="T6" s="26">
        <f>N(Ativos!E6)</f>
        <v>3.0065</v>
      </c>
      <c r="U6" s="29">
        <f t="shared" si="11"/>
        <v>0.25054166666666666</v>
      </c>
      <c r="V6" s="25">
        <f t="shared" ca="1" si="12"/>
        <v>0</v>
      </c>
      <c r="W6" s="27">
        <f t="shared" ca="1" si="13"/>
        <v>0</v>
      </c>
      <c r="X6" s="24">
        <f t="shared" si="14"/>
        <v>3992</v>
      </c>
      <c r="Y6" s="24">
        <f t="shared" ca="1" si="15"/>
        <v>3992</v>
      </c>
      <c r="Z6" s="30">
        <f t="shared" ca="1" si="16"/>
        <v>162833.68</v>
      </c>
      <c r="AA6" s="31">
        <f t="shared" ca="1" si="17"/>
        <v>55</v>
      </c>
      <c r="AB6" s="23" t="str">
        <f>IF(Ativos!C6="","",Ativos!C6)</f>
        <v>Energia – Transmissão</v>
      </c>
    </row>
    <row r="7" spans="1:40" x14ac:dyDescent="0.25">
      <c r="A7" s="14" t="str">
        <f>IF(Ativos!A7="","",Ativos!A7)</f>
        <v>PETR4</v>
      </c>
      <c r="B7" s="14" t="str">
        <f>IF(Ativos!B7="","",Ativos!B7)</f>
        <v>AÇÃO</v>
      </c>
      <c r="C7" s="15">
        <f ca="1">SUMIFS(Lançamentos!$D$5:$D$5000,Lançamentos!$B$5:$B$5000,A7,Lançamentos!$C$5:$C$5000,"COMPRA")-SUMIFS(Lançamentos!$D$5:$D$5000,Lançamentos!$B$5:$B$5000,A7,Lançamentos!$C$5:$C$5000,"VENDA")</f>
        <v>0</v>
      </c>
      <c r="D7" s="16">
        <f ca="1">IFERROR(SUMIFS(Lançamentos!$G$5:$G$5000,Lançamentos!$B$5:$B$5000,A7,Lançamentos!$C$5:$C$5000,"COMPRA")/SUMIFS(Lançamentos!$D$5:$D$5000,Lançamentos!$B$5:$B$5000,A7,Lançamentos!$C$5:$C$5000,"COMPRA"),0)</f>
        <v>0</v>
      </c>
      <c r="E7" s="16">
        <f t="shared" ca="1" si="0"/>
        <v>0</v>
      </c>
      <c r="F7" s="17">
        <f>N(Ativos!D7)</f>
        <v>48.07</v>
      </c>
      <c r="G7" s="16">
        <f t="shared" ca="1" si="1"/>
        <v>0</v>
      </c>
      <c r="H7" s="16">
        <f t="shared" ca="1" si="2"/>
        <v>0</v>
      </c>
      <c r="I7" s="18">
        <f t="shared" ca="1" si="3"/>
        <v>0</v>
      </c>
      <c r="J7" s="16">
        <f>SUMIFS(Proventos!$F$5:$F$5000,Proventos!$B$5:$B$5000,A7)</f>
        <v>0</v>
      </c>
      <c r="K7" s="16">
        <f ca="1">SUMIFS(Proventos!$F$5:$F$5000,Proventos!$B$5:$B$5000,A7,Proventos!$A$5:$A$5000,"&gt;="&amp;(TODAY()-365))</f>
        <v>0</v>
      </c>
      <c r="L7" s="16">
        <f t="shared" ca="1" si="4"/>
        <v>0</v>
      </c>
      <c r="M7" s="18">
        <f t="shared" ca="1" si="5"/>
        <v>0</v>
      </c>
      <c r="N7" s="18">
        <f t="shared" ca="1" si="6"/>
        <v>0</v>
      </c>
      <c r="O7" s="18">
        <f t="shared" si="7"/>
        <v>7.6228416892032455E-2</v>
      </c>
      <c r="P7" s="18">
        <f t="shared" ca="1" si="8"/>
        <v>0</v>
      </c>
      <c r="Q7" s="19">
        <f>N(Ativos!F7)</f>
        <v>7.0000000000000007E-2</v>
      </c>
      <c r="R7" s="18">
        <f t="shared" ca="1" si="9"/>
        <v>-7.0000000000000007E-2</v>
      </c>
      <c r="S7" s="16">
        <f t="shared" ca="1" si="10"/>
        <v>0</v>
      </c>
      <c r="T7" s="17">
        <f>N(Ativos!E7)</f>
        <v>3.6642999999999999</v>
      </c>
      <c r="U7" s="20">
        <f t="shared" si="11"/>
        <v>0.30535833333333334</v>
      </c>
      <c r="V7" s="16">
        <f t="shared" ca="1" si="12"/>
        <v>0</v>
      </c>
      <c r="W7" s="18">
        <f t="shared" ca="1" si="13"/>
        <v>0</v>
      </c>
      <c r="X7" s="15">
        <f t="shared" si="14"/>
        <v>3275</v>
      </c>
      <c r="Y7" s="15">
        <f t="shared" ca="1" si="15"/>
        <v>3275</v>
      </c>
      <c r="Z7" s="21">
        <f t="shared" ca="1" si="16"/>
        <v>157429.25</v>
      </c>
      <c r="AA7" s="22">
        <f t="shared" ca="1" si="17"/>
        <v>53</v>
      </c>
      <c r="AB7" s="14" t="str">
        <f>IF(Ativos!C7="","",Ativos!C7)</f>
        <v>Petróleo &amp; Gás</v>
      </c>
    </row>
    <row r="8" spans="1:40" x14ac:dyDescent="0.25">
      <c r="A8" s="23" t="str">
        <f>IF(Ativos!A8="","",Ativos!A8)</f>
        <v>BBAS3</v>
      </c>
      <c r="B8" s="23" t="str">
        <f>IF(Ativos!B8="","",Ativos!B8)</f>
        <v>AÇÃO</v>
      </c>
      <c r="C8" s="24">
        <f ca="1">SUMIFS(Lançamentos!$D$5:$D$5000,Lançamentos!$B$5:$B$5000,A8,Lançamentos!$C$5:$C$5000,"COMPRA")-SUMIFS(Lançamentos!$D$5:$D$5000,Lançamentos!$B$5:$B$5000,A8,Lançamentos!$C$5:$C$5000,"VENDA")</f>
        <v>0</v>
      </c>
      <c r="D8" s="25">
        <f ca="1">IFERROR(SUMIFS(Lançamentos!$G$5:$G$5000,Lançamentos!$B$5:$B$5000,A8,Lançamentos!$C$5:$C$5000,"COMPRA")/SUMIFS(Lançamentos!$D$5:$D$5000,Lançamentos!$B$5:$B$5000,A8,Lançamentos!$C$5:$C$5000,"COMPRA"),0)</f>
        <v>0</v>
      </c>
      <c r="E8" s="25">
        <f t="shared" ca="1" si="0"/>
        <v>0</v>
      </c>
      <c r="F8" s="26">
        <f>N(Ativos!D8)</f>
        <v>21.59</v>
      </c>
      <c r="G8" s="25">
        <f t="shared" ca="1" si="1"/>
        <v>0</v>
      </c>
      <c r="H8" s="25">
        <f t="shared" ca="1" si="2"/>
        <v>0</v>
      </c>
      <c r="I8" s="27">
        <f t="shared" ca="1" si="3"/>
        <v>0</v>
      </c>
      <c r="J8" s="25">
        <f>SUMIFS(Proventos!$F$5:$F$5000,Proventos!$B$5:$B$5000,A8)</f>
        <v>0</v>
      </c>
      <c r="K8" s="25">
        <f ca="1">SUMIFS(Proventos!$F$5:$F$5000,Proventos!$B$5:$B$5000,A8,Proventos!$A$5:$A$5000,"&gt;="&amp;(TODAY()-365))</f>
        <v>0</v>
      </c>
      <c r="L8" s="25">
        <f t="shared" ca="1" si="4"/>
        <v>0</v>
      </c>
      <c r="M8" s="27">
        <f t="shared" ca="1" si="5"/>
        <v>0</v>
      </c>
      <c r="N8" s="27">
        <f t="shared" ca="1" si="6"/>
        <v>0</v>
      </c>
      <c r="O8" s="27">
        <f t="shared" si="7"/>
        <v>3.0338119499768414E-2</v>
      </c>
      <c r="P8" s="27">
        <f t="shared" ca="1" si="8"/>
        <v>0</v>
      </c>
      <c r="Q8" s="28">
        <f>N(Ativos!F8)</f>
        <v>0.06</v>
      </c>
      <c r="R8" s="27">
        <f t="shared" ca="1" si="9"/>
        <v>-0.06</v>
      </c>
      <c r="S8" s="25">
        <f t="shared" ca="1" si="10"/>
        <v>0</v>
      </c>
      <c r="T8" s="26">
        <f>N(Ativos!E8)</f>
        <v>0.65500000000000003</v>
      </c>
      <c r="U8" s="29">
        <f t="shared" si="11"/>
        <v>5.4583333333333338E-2</v>
      </c>
      <c r="V8" s="25">
        <f t="shared" ca="1" si="12"/>
        <v>0</v>
      </c>
      <c r="W8" s="27">
        <f t="shared" ca="1" si="13"/>
        <v>0</v>
      </c>
      <c r="X8" s="24">
        <f t="shared" si="14"/>
        <v>18321</v>
      </c>
      <c r="Y8" s="24">
        <f t="shared" ca="1" si="15"/>
        <v>18321</v>
      </c>
      <c r="Z8" s="30">
        <f t="shared" ca="1" si="16"/>
        <v>395550.39</v>
      </c>
      <c r="AA8" s="31">
        <f t="shared" ca="1" si="17"/>
        <v>132</v>
      </c>
      <c r="AB8" s="23" t="str">
        <f>IF(Ativos!C8="","",Ativos!C8)</f>
        <v>Bancos</v>
      </c>
    </row>
    <row r="9" spans="1:40" x14ac:dyDescent="0.25">
      <c r="A9" s="14" t="str">
        <f>IF(Ativos!A9="","",Ativos!A9)</f>
        <v>BRBI11</v>
      </c>
      <c r="B9" s="14" t="str">
        <f>IF(Ativos!B9="","",Ativos!B9)</f>
        <v>AÇÃO</v>
      </c>
      <c r="C9" s="15">
        <f ca="1">SUMIFS(Lançamentos!$D$5:$D$5000,Lançamentos!$B$5:$B$5000,A9,Lançamentos!$C$5:$C$5000,"COMPRA")-SUMIFS(Lançamentos!$D$5:$D$5000,Lançamentos!$B$5:$B$5000,A9,Lançamentos!$C$5:$C$5000,"VENDA")</f>
        <v>0</v>
      </c>
      <c r="D9" s="16">
        <f ca="1">IFERROR(SUMIFS(Lançamentos!$G$5:$G$5000,Lançamentos!$B$5:$B$5000,A9,Lançamentos!$C$5:$C$5000,"COMPRA")/SUMIFS(Lançamentos!$D$5:$D$5000,Lançamentos!$B$5:$B$5000,A9,Lançamentos!$C$5:$C$5000,"COMPRA"),0)</f>
        <v>0</v>
      </c>
      <c r="E9" s="16">
        <f t="shared" ca="1" si="0"/>
        <v>0</v>
      </c>
      <c r="F9" s="17">
        <f>N(Ativos!D9)</f>
        <v>14.83</v>
      </c>
      <c r="G9" s="16">
        <f t="shared" ca="1" si="1"/>
        <v>0</v>
      </c>
      <c r="H9" s="16">
        <f t="shared" ca="1" si="2"/>
        <v>0</v>
      </c>
      <c r="I9" s="18">
        <f t="shared" ca="1" si="3"/>
        <v>0</v>
      </c>
      <c r="J9" s="16">
        <f>SUMIFS(Proventos!$F$5:$F$5000,Proventos!$B$5:$B$5000,A9)</f>
        <v>0</v>
      </c>
      <c r="K9" s="16">
        <f ca="1">SUMIFS(Proventos!$F$5:$F$5000,Proventos!$B$5:$B$5000,A9,Proventos!$A$5:$A$5000,"&gt;="&amp;(TODAY()-365))</f>
        <v>0</v>
      </c>
      <c r="L9" s="16">
        <f t="shared" ca="1" si="4"/>
        <v>0</v>
      </c>
      <c r="M9" s="18">
        <f t="shared" ca="1" si="5"/>
        <v>0</v>
      </c>
      <c r="N9" s="18">
        <f t="shared" ca="1" si="6"/>
        <v>0</v>
      </c>
      <c r="O9" s="18">
        <f t="shared" si="7"/>
        <v>9.3054619015509099E-2</v>
      </c>
      <c r="P9" s="18">
        <f t="shared" ca="1" si="8"/>
        <v>0</v>
      </c>
      <c r="Q9" s="19">
        <f>N(Ativos!F9)</f>
        <v>0.05</v>
      </c>
      <c r="R9" s="18">
        <f t="shared" ca="1" si="9"/>
        <v>-0.05</v>
      </c>
      <c r="S9" s="16">
        <f t="shared" ca="1" si="10"/>
        <v>0</v>
      </c>
      <c r="T9" s="17">
        <f>N(Ativos!E9)</f>
        <v>1.38</v>
      </c>
      <c r="U9" s="20">
        <f t="shared" si="11"/>
        <v>0.11499999999999999</v>
      </c>
      <c r="V9" s="16">
        <f t="shared" ca="1" si="12"/>
        <v>0</v>
      </c>
      <c r="W9" s="18">
        <f t="shared" ca="1" si="13"/>
        <v>0</v>
      </c>
      <c r="X9" s="15">
        <f t="shared" si="14"/>
        <v>8696</v>
      </c>
      <c r="Y9" s="15">
        <f t="shared" ca="1" si="15"/>
        <v>8696</v>
      </c>
      <c r="Z9" s="21">
        <f t="shared" ca="1" si="16"/>
        <v>128961.68000000001</v>
      </c>
      <c r="AA9" s="22">
        <f t="shared" ca="1" si="17"/>
        <v>43</v>
      </c>
      <c r="AB9" s="14" t="str">
        <f>IF(Ativos!C9="","",Ativos!C9)</f>
        <v>Banco de investimento</v>
      </c>
    </row>
    <row r="10" spans="1:40" x14ac:dyDescent="0.25">
      <c r="A10" s="23" t="str">
        <f>IF(Ativos!A10="","",Ativos!A10)</f>
        <v>BBDC4</v>
      </c>
      <c r="B10" s="23" t="str">
        <f>IF(Ativos!B10="","",Ativos!B10)</f>
        <v>AÇÃO</v>
      </c>
      <c r="C10" s="24">
        <f ca="1">SUMIFS(Lançamentos!$D$5:$D$5000,Lançamentos!$B$5:$B$5000,A10,Lançamentos!$C$5:$C$5000,"COMPRA")-SUMIFS(Lançamentos!$D$5:$D$5000,Lançamentos!$B$5:$B$5000,A10,Lançamentos!$C$5:$C$5000,"VENDA")</f>
        <v>0</v>
      </c>
      <c r="D10" s="25">
        <f ca="1">IFERROR(SUMIFS(Lançamentos!$G$5:$G$5000,Lançamentos!$B$5:$B$5000,A10,Lançamentos!$C$5:$C$5000,"COMPRA")/SUMIFS(Lançamentos!$D$5:$D$5000,Lançamentos!$B$5:$B$5000,A10,Lançamentos!$C$5:$C$5000,"COMPRA"),0)</f>
        <v>0</v>
      </c>
      <c r="E10" s="25">
        <f t="shared" ca="1" si="0"/>
        <v>0</v>
      </c>
      <c r="F10" s="26">
        <f>N(Ativos!D10)</f>
        <v>17.88</v>
      </c>
      <c r="G10" s="25">
        <f t="shared" ca="1" si="1"/>
        <v>0</v>
      </c>
      <c r="H10" s="25">
        <f t="shared" ca="1" si="2"/>
        <v>0</v>
      </c>
      <c r="I10" s="27">
        <f t="shared" ca="1" si="3"/>
        <v>0</v>
      </c>
      <c r="J10" s="25">
        <f>SUMIFS(Proventos!$F$5:$F$5000,Proventos!$B$5:$B$5000,A10)</f>
        <v>0</v>
      </c>
      <c r="K10" s="25">
        <f ca="1">SUMIFS(Proventos!$F$5:$F$5000,Proventos!$B$5:$B$5000,A10,Proventos!$A$5:$A$5000,"&gt;="&amp;(TODAY()-365))</f>
        <v>0</v>
      </c>
      <c r="L10" s="25">
        <f t="shared" ca="1" si="4"/>
        <v>0</v>
      </c>
      <c r="M10" s="27">
        <f t="shared" ca="1" si="5"/>
        <v>0</v>
      </c>
      <c r="N10" s="27">
        <f t="shared" ca="1" si="6"/>
        <v>0</v>
      </c>
      <c r="O10" s="27">
        <f t="shared" si="7"/>
        <v>8.6845637583892618E-2</v>
      </c>
      <c r="P10" s="27">
        <f t="shared" ca="1" si="8"/>
        <v>0</v>
      </c>
      <c r="Q10" s="28">
        <f>N(Ativos!F10)</f>
        <v>0.05</v>
      </c>
      <c r="R10" s="27">
        <f t="shared" ca="1" si="9"/>
        <v>-0.05</v>
      </c>
      <c r="S10" s="25">
        <f t="shared" ca="1" si="10"/>
        <v>0</v>
      </c>
      <c r="T10" s="26">
        <f>N(Ativos!E10)</f>
        <v>1.5528</v>
      </c>
      <c r="U10" s="29">
        <f t="shared" si="11"/>
        <v>0.12939999999999999</v>
      </c>
      <c r="V10" s="25">
        <f t="shared" ca="1" si="12"/>
        <v>0</v>
      </c>
      <c r="W10" s="27">
        <f t="shared" ca="1" si="13"/>
        <v>0</v>
      </c>
      <c r="X10" s="24">
        <f t="shared" si="14"/>
        <v>7728</v>
      </c>
      <c r="Y10" s="24">
        <f t="shared" ca="1" si="15"/>
        <v>7728</v>
      </c>
      <c r="Z10" s="30">
        <f t="shared" ca="1" si="16"/>
        <v>138176.63999999998</v>
      </c>
      <c r="AA10" s="31">
        <f t="shared" ca="1" si="17"/>
        <v>47</v>
      </c>
      <c r="AB10" s="23" t="str">
        <f>IF(Ativos!C10="","",Ativos!C10)</f>
        <v>Bancos</v>
      </c>
    </row>
    <row r="11" spans="1:40" x14ac:dyDescent="0.25">
      <c r="A11" s="14" t="str">
        <f>IF(Ativos!A11="","",Ativos!A11)</f>
        <v>ITSA4</v>
      </c>
      <c r="B11" s="14" t="str">
        <f>IF(Ativos!B11="","",Ativos!B11)</f>
        <v>AÇÃO</v>
      </c>
      <c r="C11" s="15">
        <f ca="1">SUMIFS(Lançamentos!$D$5:$D$5000,Lançamentos!$B$5:$B$5000,A11,Lançamentos!$C$5:$C$5000,"COMPRA")-SUMIFS(Lançamentos!$D$5:$D$5000,Lançamentos!$B$5:$B$5000,A11,Lançamentos!$C$5:$C$5000,"VENDA")</f>
        <v>0</v>
      </c>
      <c r="D11" s="16">
        <f ca="1">IFERROR(SUMIFS(Lançamentos!$G$5:$G$5000,Lançamentos!$B$5:$B$5000,A11,Lançamentos!$C$5:$C$5000,"COMPRA")/SUMIFS(Lançamentos!$D$5:$D$5000,Lançamentos!$B$5:$B$5000,A11,Lançamentos!$C$5:$C$5000,"COMPRA"),0)</f>
        <v>0</v>
      </c>
      <c r="E11" s="16">
        <f t="shared" ca="1" si="0"/>
        <v>0</v>
      </c>
      <c r="F11" s="17">
        <f>N(Ativos!D11)</f>
        <v>13.99</v>
      </c>
      <c r="G11" s="16">
        <f t="shared" ca="1" si="1"/>
        <v>0</v>
      </c>
      <c r="H11" s="16">
        <f t="shared" ca="1" si="2"/>
        <v>0</v>
      </c>
      <c r="I11" s="18">
        <f t="shared" ca="1" si="3"/>
        <v>0</v>
      </c>
      <c r="J11" s="16">
        <f>SUMIFS(Proventos!$F$5:$F$5000,Proventos!$B$5:$B$5000,A11)</f>
        <v>0</v>
      </c>
      <c r="K11" s="16">
        <f ca="1">SUMIFS(Proventos!$F$5:$F$5000,Proventos!$B$5:$B$5000,A11,Proventos!$A$5:$A$5000,"&gt;="&amp;(TODAY()-365))</f>
        <v>0</v>
      </c>
      <c r="L11" s="16">
        <f t="shared" ca="1" si="4"/>
        <v>0</v>
      </c>
      <c r="M11" s="18">
        <f t="shared" ca="1" si="5"/>
        <v>0</v>
      </c>
      <c r="N11" s="18">
        <f t="shared" ca="1" si="6"/>
        <v>0</v>
      </c>
      <c r="O11" s="18">
        <f t="shared" si="7"/>
        <v>8.0614724803431015E-2</v>
      </c>
      <c r="P11" s="18">
        <f t="shared" ca="1" si="8"/>
        <v>0</v>
      </c>
      <c r="Q11" s="19">
        <f>N(Ativos!F11)</f>
        <v>0.1</v>
      </c>
      <c r="R11" s="18">
        <f t="shared" ca="1" si="9"/>
        <v>-0.1</v>
      </c>
      <c r="S11" s="16">
        <f t="shared" ca="1" si="10"/>
        <v>0</v>
      </c>
      <c r="T11" s="17">
        <f>N(Ativos!E11)</f>
        <v>1.1277999999999999</v>
      </c>
      <c r="U11" s="20">
        <f t="shared" si="11"/>
        <v>9.3983333333333322E-2</v>
      </c>
      <c r="V11" s="16">
        <f t="shared" ca="1" si="12"/>
        <v>0</v>
      </c>
      <c r="W11" s="18">
        <f t="shared" ca="1" si="13"/>
        <v>0</v>
      </c>
      <c r="X11" s="15">
        <f t="shared" si="14"/>
        <v>10641</v>
      </c>
      <c r="Y11" s="15">
        <f t="shared" ca="1" si="15"/>
        <v>10641</v>
      </c>
      <c r="Z11" s="21">
        <f t="shared" ca="1" si="16"/>
        <v>148867.59</v>
      </c>
      <c r="AA11" s="22">
        <f t="shared" ca="1" si="17"/>
        <v>50</v>
      </c>
      <c r="AB11" s="14" t="str">
        <f>IF(Ativos!C11="","",Ativos!C11)</f>
        <v>Holding – Bancos</v>
      </c>
    </row>
    <row r="12" spans="1:40" x14ac:dyDescent="0.25">
      <c r="A12" s="23" t="str">
        <f>IF(Ativos!A12="","",Ativos!A12)</f>
        <v>CMIG4</v>
      </c>
      <c r="B12" s="23" t="str">
        <f>IF(Ativos!B12="","",Ativos!B12)</f>
        <v>AÇÃO</v>
      </c>
      <c r="C12" s="24">
        <f ca="1">SUMIFS(Lançamentos!$D$5:$D$5000,Lançamentos!$B$5:$B$5000,A12,Lançamentos!$C$5:$C$5000,"COMPRA")-SUMIFS(Lançamentos!$D$5:$D$5000,Lançamentos!$B$5:$B$5000,A12,Lançamentos!$C$5:$C$5000,"VENDA")</f>
        <v>0</v>
      </c>
      <c r="D12" s="25">
        <f ca="1">IFERROR(SUMIFS(Lançamentos!$G$5:$G$5000,Lançamentos!$B$5:$B$5000,A12,Lançamentos!$C$5:$C$5000,"COMPRA")/SUMIFS(Lançamentos!$D$5:$D$5000,Lançamentos!$B$5:$B$5000,A12,Lançamentos!$C$5:$C$5000,"COMPRA"),0)</f>
        <v>0</v>
      </c>
      <c r="E12" s="25">
        <f t="shared" ca="1" si="0"/>
        <v>0</v>
      </c>
      <c r="F12" s="26">
        <f>N(Ativos!D12)</f>
        <v>10.89</v>
      </c>
      <c r="G12" s="25">
        <f t="shared" ca="1" si="1"/>
        <v>0</v>
      </c>
      <c r="H12" s="25">
        <f t="shared" ca="1" si="2"/>
        <v>0</v>
      </c>
      <c r="I12" s="27">
        <f t="shared" ca="1" si="3"/>
        <v>0</v>
      </c>
      <c r="J12" s="25">
        <f>SUMIFS(Proventos!$F$5:$F$5000,Proventos!$B$5:$B$5000,A12)</f>
        <v>0</v>
      </c>
      <c r="K12" s="25">
        <f ca="1">SUMIFS(Proventos!$F$5:$F$5000,Proventos!$B$5:$B$5000,A12,Proventos!$A$5:$A$5000,"&gt;="&amp;(TODAY()-365))</f>
        <v>0</v>
      </c>
      <c r="L12" s="25">
        <f t="shared" ca="1" si="4"/>
        <v>0</v>
      </c>
      <c r="M12" s="27">
        <f t="shared" ca="1" si="5"/>
        <v>0</v>
      </c>
      <c r="N12" s="27">
        <f t="shared" ca="1" si="6"/>
        <v>0</v>
      </c>
      <c r="O12" s="27">
        <f t="shared" si="7"/>
        <v>0.12403122130394857</v>
      </c>
      <c r="P12" s="27">
        <f t="shared" ca="1" si="8"/>
        <v>0</v>
      </c>
      <c r="Q12" s="28">
        <f>N(Ativos!F12)</f>
        <v>0.1</v>
      </c>
      <c r="R12" s="27">
        <f t="shared" ca="1" si="9"/>
        <v>-0.1</v>
      </c>
      <c r="S12" s="25">
        <f t="shared" ca="1" si="10"/>
        <v>0</v>
      </c>
      <c r="T12" s="26">
        <f>N(Ativos!E12)</f>
        <v>1.3507</v>
      </c>
      <c r="U12" s="29">
        <f t="shared" si="11"/>
        <v>0.11255833333333333</v>
      </c>
      <c r="V12" s="25">
        <f t="shared" ca="1" si="12"/>
        <v>0</v>
      </c>
      <c r="W12" s="27">
        <f t="shared" ca="1" si="13"/>
        <v>0</v>
      </c>
      <c r="X12" s="24">
        <f t="shared" si="14"/>
        <v>8885</v>
      </c>
      <c r="Y12" s="24">
        <f t="shared" ca="1" si="15"/>
        <v>8885</v>
      </c>
      <c r="Z12" s="30">
        <f t="shared" ca="1" si="16"/>
        <v>96757.650000000009</v>
      </c>
      <c r="AA12" s="31">
        <f t="shared" ca="1" si="17"/>
        <v>33</v>
      </c>
      <c r="AB12" s="23" t="str">
        <f>IF(Ativos!C12="","",Ativos!C12)</f>
        <v>Energia – Utilities</v>
      </c>
    </row>
    <row r="13" spans="1:40" x14ac:dyDescent="0.25">
      <c r="A13" s="14" t="str">
        <f>IF(Ativos!A13="","",Ativos!A13)</f>
        <v>FIQE3</v>
      </c>
      <c r="B13" s="14" t="str">
        <f>IF(Ativos!B13="","",Ativos!B13)</f>
        <v>AÇÃO</v>
      </c>
      <c r="C13" s="15">
        <f ca="1">SUMIFS(Lançamentos!$D$5:$D$5000,Lançamentos!$B$5:$B$5000,A13,Lançamentos!$C$5:$C$5000,"COMPRA")-SUMIFS(Lançamentos!$D$5:$D$5000,Lançamentos!$B$5:$B$5000,A13,Lançamentos!$C$5:$C$5000,"VENDA")</f>
        <v>0</v>
      </c>
      <c r="D13" s="16">
        <f ca="1">IFERROR(SUMIFS(Lançamentos!$G$5:$G$5000,Lançamentos!$B$5:$B$5000,A13,Lançamentos!$C$5:$C$5000,"COMPRA")/SUMIFS(Lançamentos!$D$5:$D$5000,Lançamentos!$B$5:$B$5000,A13,Lançamentos!$C$5:$C$5000,"COMPRA"),0)</f>
        <v>0</v>
      </c>
      <c r="E13" s="16">
        <f t="shared" ca="1" si="0"/>
        <v>0</v>
      </c>
      <c r="F13" s="17">
        <f>N(Ativos!D13)</f>
        <v>5.07</v>
      </c>
      <c r="G13" s="16">
        <f t="shared" ca="1" si="1"/>
        <v>0</v>
      </c>
      <c r="H13" s="16">
        <f t="shared" ca="1" si="2"/>
        <v>0</v>
      </c>
      <c r="I13" s="18">
        <f t="shared" ca="1" si="3"/>
        <v>0</v>
      </c>
      <c r="J13" s="16">
        <f>SUMIFS(Proventos!$F$5:$F$5000,Proventos!$B$5:$B$5000,A13)</f>
        <v>0</v>
      </c>
      <c r="K13" s="16">
        <f ca="1">SUMIFS(Proventos!$F$5:$F$5000,Proventos!$B$5:$B$5000,A13,Proventos!$A$5:$A$5000,"&gt;="&amp;(TODAY()-365))</f>
        <v>0</v>
      </c>
      <c r="L13" s="16">
        <f t="shared" ca="1" si="4"/>
        <v>0</v>
      </c>
      <c r="M13" s="18">
        <f t="shared" ca="1" si="5"/>
        <v>0</v>
      </c>
      <c r="N13" s="18">
        <f t="shared" ca="1" si="6"/>
        <v>0</v>
      </c>
      <c r="O13" s="18">
        <f t="shared" si="7"/>
        <v>0.13451676528599607</v>
      </c>
      <c r="P13" s="18">
        <f t="shared" ca="1" si="8"/>
        <v>0</v>
      </c>
      <c r="Q13" s="19">
        <f>N(Ativos!F13)</f>
        <v>0.05</v>
      </c>
      <c r="R13" s="18">
        <f t="shared" ca="1" si="9"/>
        <v>-0.05</v>
      </c>
      <c r="S13" s="16">
        <f t="shared" ca="1" si="10"/>
        <v>0</v>
      </c>
      <c r="T13" s="17">
        <f>N(Ativos!E13)</f>
        <v>0.68200000000000005</v>
      </c>
      <c r="U13" s="20">
        <f t="shared" si="11"/>
        <v>5.683333333333334E-2</v>
      </c>
      <c r="V13" s="16">
        <f t="shared" ca="1" si="12"/>
        <v>0</v>
      </c>
      <c r="W13" s="18">
        <f t="shared" ca="1" si="13"/>
        <v>0</v>
      </c>
      <c r="X13" s="15">
        <f t="shared" si="14"/>
        <v>17596</v>
      </c>
      <c r="Y13" s="15">
        <f t="shared" ca="1" si="15"/>
        <v>17596</v>
      </c>
      <c r="Z13" s="21">
        <f t="shared" ca="1" si="16"/>
        <v>89211.72</v>
      </c>
      <c r="AA13" s="22">
        <f t="shared" ca="1" si="17"/>
        <v>30</v>
      </c>
      <c r="AB13" s="14" t="str">
        <f>IF(Ativos!C13="","",Ativos!C13)</f>
        <v>Telecom / Tecnologia</v>
      </c>
    </row>
    <row r="14" spans="1:40" x14ac:dyDescent="0.25">
      <c r="A14" s="23" t="str">
        <f>IF(Ativos!A14="","",Ativos!A14)</f>
        <v>KLBN11</v>
      </c>
      <c r="B14" s="23" t="str">
        <f>IF(Ativos!B14="","",Ativos!B14)</f>
        <v>AÇÃO</v>
      </c>
      <c r="C14" s="24">
        <f ca="1">SUMIFS(Lançamentos!$D$5:$D$5000,Lançamentos!$B$5:$B$5000,A14,Lançamentos!$C$5:$C$5000,"COMPRA")-SUMIFS(Lançamentos!$D$5:$D$5000,Lançamentos!$B$5:$B$5000,A14,Lançamentos!$C$5:$C$5000,"VENDA")</f>
        <v>0</v>
      </c>
      <c r="D14" s="25">
        <f ca="1">IFERROR(SUMIFS(Lançamentos!$G$5:$G$5000,Lançamentos!$B$5:$B$5000,A14,Lançamentos!$C$5:$C$5000,"COMPRA")/SUMIFS(Lançamentos!$D$5:$D$5000,Lançamentos!$B$5:$B$5000,A14,Lançamentos!$C$5:$C$5000,"COMPRA"),0)</f>
        <v>0</v>
      </c>
      <c r="E14" s="25">
        <f t="shared" ca="1" si="0"/>
        <v>0</v>
      </c>
      <c r="F14" s="26">
        <f>N(Ativos!D14)</f>
        <v>18.149999999999999</v>
      </c>
      <c r="G14" s="25">
        <f t="shared" ca="1" si="1"/>
        <v>0</v>
      </c>
      <c r="H14" s="25">
        <f t="shared" ca="1" si="2"/>
        <v>0</v>
      </c>
      <c r="I14" s="27">
        <f t="shared" ca="1" si="3"/>
        <v>0</v>
      </c>
      <c r="J14" s="25">
        <f>SUMIFS(Proventos!$F$5:$F$5000,Proventos!$B$5:$B$5000,A14)</f>
        <v>0</v>
      </c>
      <c r="K14" s="25">
        <f ca="1">SUMIFS(Proventos!$F$5:$F$5000,Proventos!$B$5:$B$5000,A14,Proventos!$A$5:$A$5000,"&gt;="&amp;(TODAY()-365))</f>
        <v>0</v>
      </c>
      <c r="L14" s="25">
        <f t="shared" ca="1" si="4"/>
        <v>0</v>
      </c>
      <c r="M14" s="27">
        <f t="shared" ca="1" si="5"/>
        <v>0</v>
      </c>
      <c r="N14" s="27">
        <f t="shared" ca="1" si="6"/>
        <v>0</v>
      </c>
      <c r="O14" s="27">
        <f t="shared" si="7"/>
        <v>6.3972451790633614E-2</v>
      </c>
      <c r="P14" s="27">
        <f t="shared" ca="1" si="8"/>
        <v>0</v>
      </c>
      <c r="Q14" s="28">
        <f>N(Ativos!F14)</f>
        <v>7.0000000000000007E-2</v>
      </c>
      <c r="R14" s="27">
        <f t="shared" ca="1" si="9"/>
        <v>-7.0000000000000007E-2</v>
      </c>
      <c r="S14" s="25">
        <f t="shared" ca="1" si="10"/>
        <v>0</v>
      </c>
      <c r="T14" s="26">
        <f>N(Ativos!E14)</f>
        <v>1.1611</v>
      </c>
      <c r="U14" s="29">
        <f t="shared" si="11"/>
        <v>9.6758333333333335E-2</v>
      </c>
      <c r="V14" s="25">
        <f t="shared" ca="1" si="12"/>
        <v>0</v>
      </c>
      <c r="W14" s="27">
        <f t="shared" ca="1" si="13"/>
        <v>0</v>
      </c>
      <c r="X14" s="24">
        <f t="shared" si="14"/>
        <v>10336</v>
      </c>
      <c r="Y14" s="24">
        <f t="shared" ca="1" si="15"/>
        <v>10336</v>
      </c>
      <c r="Z14" s="30">
        <f t="shared" ca="1" si="16"/>
        <v>187598.4</v>
      </c>
      <c r="AA14" s="31">
        <f t="shared" ca="1" si="17"/>
        <v>63</v>
      </c>
      <c r="AB14" s="23" t="str">
        <f>IF(Ativos!C14="","",Ativos!C14)</f>
        <v>Papel &amp; Celulose</v>
      </c>
    </row>
    <row r="15" spans="1:40" x14ac:dyDescent="0.25">
      <c r="A15" s="14" t="str">
        <f>IF(Ativos!A15="","",Ativos!A15)</f>
        <v>MXRF11</v>
      </c>
      <c r="B15" s="14" t="str">
        <f>IF(Ativos!B15="","",Ativos!B15)</f>
        <v>FII</v>
      </c>
      <c r="C15" s="15">
        <f ca="1">SUMIFS(Lançamentos!$D$5:$D$5000,Lançamentos!$B$5:$B$5000,A15,Lançamentos!$C$5:$C$5000,"COMPRA")-SUMIFS(Lançamentos!$D$5:$D$5000,Lançamentos!$B$5:$B$5000,A15,Lançamentos!$C$5:$C$5000,"VENDA")</f>
        <v>0</v>
      </c>
      <c r="D15" s="16">
        <f ca="1">IFERROR(SUMIFS(Lançamentos!$G$5:$G$5000,Lançamentos!$B$5:$B$5000,A15,Lançamentos!$C$5:$C$5000,"COMPRA")/SUMIFS(Lançamentos!$D$5:$D$5000,Lançamentos!$B$5:$B$5000,A15,Lançamentos!$C$5:$C$5000,"COMPRA"),0)</f>
        <v>0</v>
      </c>
      <c r="E15" s="16">
        <f t="shared" ca="1" si="0"/>
        <v>0</v>
      </c>
      <c r="F15" s="17">
        <f>N(Ativos!D15)</f>
        <v>9.1</v>
      </c>
      <c r="G15" s="16">
        <f t="shared" ca="1" si="1"/>
        <v>0</v>
      </c>
      <c r="H15" s="16">
        <f t="shared" ca="1" si="2"/>
        <v>0</v>
      </c>
      <c r="I15" s="18">
        <f t="shared" ca="1" si="3"/>
        <v>0</v>
      </c>
      <c r="J15" s="16">
        <f>SUMIFS(Proventos!$F$5:$F$5000,Proventos!$B$5:$B$5000,A15)</f>
        <v>0</v>
      </c>
      <c r="K15" s="16">
        <f ca="1">SUMIFS(Proventos!$F$5:$F$5000,Proventos!$B$5:$B$5000,A15,Proventos!$A$5:$A$5000,"&gt;="&amp;(TODAY()-365))</f>
        <v>0</v>
      </c>
      <c r="L15" s="16">
        <f t="shared" ca="1" si="4"/>
        <v>0</v>
      </c>
      <c r="M15" s="18">
        <f t="shared" ca="1" si="5"/>
        <v>0</v>
      </c>
      <c r="N15" s="18">
        <f t="shared" ca="1" si="6"/>
        <v>0</v>
      </c>
      <c r="O15" s="18">
        <f t="shared" si="7"/>
        <v>0.13124175824175824</v>
      </c>
      <c r="P15" s="18">
        <f t="shared" ca="1" si="8"/>
        <v>0</v>
      </c>
      <c r="Q15" s="19">
        <f>N(Ativos!F15)</f>
        <v>0.05</v>
      </c>
      <c r="R15" s="18">
        <f t="shared" ca="1" si="9"/>
        <v>-0.05</v>
      </c>
      <c r="S15" s="16">
        <f t="shared" ca="1" si="10"/>
        <v>0</v>
      </c>
      <c r="T15" s="17">
        <f>N(Ativos!E15)</f>
        <v>1.1942999999999999</v>
      </c>
      <c r="U15" s="20">
        <f t="shared" si="11"/>
        <v>9.9524999999999988E-2</v>
      </c>
      <c r="V15" s="16">
        <f t="shared" ca="1" si="12"/>
        <v>0</v>
      </c>
      <c r="W15" s="18">
        <f t="shared" ca="1" si="13"/>
        <v>0</v>
      </c>
      <c r="X15" s="15">
        <f t="shared" si="14"/>
        <v>10048</v>
      </c>
      <c r="Y15" s="15">
        <f t="shared" ca="1" si="15"/>
        <v>10048</v>
      </c>
      <c r="Z15" s="21">
        <f t="shared" ca="1" si="16"/>
        <v>91436.800000000003</v>
      </c>
      <c r="AA15" s="22">
        <f t="shared" ca="1" si="17"/>
        <v>31</v>
      </c>
      <c r="AB15" s="14" t="str">
        <f>IF(Ativos!C15="","",Ativos!C15)</f>
        <v>Papel (recebíveis)</v>
      </c>
    </row>
    <row r="16" spans="1:40" x14ac:dyDescent="0.25">
      <c r="A16" s="23" t="str">
        <f>IF(Ativos!A16="","",Ativos!A16)</f>
        <v>BRCR11</v>
      </c>
      <c r="B16" s="23" t="str">
        <f>IF(Ativos!B16="","",Ativos!B16)</f>
        <v>FII</v>
      </c>
      <c r="C16" s="24">
        <f ca="1">SUMIFS(Lançamentos!$D$5:$D$5000,Lançamentos!$B$5:$B$5000,A16,Lançamentos!$C$5:$C$5000,"COMPRA")-SUMIFS(Lançamentos!$D$5:$D$5000,Lançamentos!$B$5:$B$5000,A16,Lançamentos!$C$5:$C$5000,"VENDA")</f>
        <v>0</v>
      </c>
      <c r="D16" s="25">
        <f ca="1">IFERROR(SUMIFS(Lançamentos!$G$5:$G$5000,Lançamentos!$B$5:$B$5000,A16,Lançamentos!$C$5:$C$5000,"COMPRA")/SUMIFS(Lançamentos!$D$5:$D$5000,Lançamentos!$B$5:$B$5000,A16,Lançamentos!$C$5:$C$5000,"COMPRA"),0)</f>
        <v>0</v>
      </c>
      <c r="E16" s="25">
        <f t="shared" ca="1" si="0"/>
        <v>0</v>
      </c>
      <c r="F16" s="26">
        <f>N(Ativos!D16)</f>
        <v>41.16</v>
      </c>
      <c r="G16" s="25">
        <f t="shared" ca="1" si="1"/>
        <v>0</v>
      </c>
      <c r="H16" s="25">
        <f t="shared" ca="1" si="2"/>
        <v>0</v>
      </c>
      <c r="I16" s="27">
        <f t="shared" ca="1" si="3"/>
        <v>0</v>
      </c>
      <c r="J16" s="25">
        <f>SUMIFS(Proventos!$F$5:$F$5000,Proventos!$B$5:$B$5000,A16)</f>
        <v>0</v>
      </c>
      <c r="K16" s="25">
        <f ca="1">SUMIFS(Proventos!$F$5:$F$5000,Proventos!$B$5:$B$5000,A16,Proventos!$A$5:$A$5000,"&gt;="&amp;(TODAY()-365))</f>
        <v>0</v>
      </c>
      <c r="L16" s="25">
        <f t="shared" ca="1" si="4"/>
        <v>0</v>
      </c>
      <c r="M16" s="27">
        <f t="shared" ca="1" si="5"/>
        <v>0</v>
      </c>
      <c r="N16" s="27">
        <f t="shared" ca="1" si="6"/>
        <v>0</v>
      </c>
      <c r="O16" s="27">
        <f t="shared" si="7"/>
        <v>0.11953352769679301</v>
      </c>
      <c r="P16" s="27">
        <f t="shared" ca="1" si="8"/>
        <v>0</v>
      </c>
      <c r="Q16" s="28">
        <f>N(Ativos!F16)</f>
        <v>0.04</v>
      </c>
      <c r="R16" s="27">
        <f t="shared" ca="1" si="9"/>
        <v>-0.04</v>
      </c>
      <c r="S16" s="25">
        <f t="shared" ca="1" si="10"/>
        <v>0</v>
      </c>
      <c r="T16" s="26">
        <f>N(Ativos!E16)</f>
        <v>4.92</v>
      </c>
      <c r="U16" s="29">
        <f t="shared" si="11"/>
        <v>0.41</v>
      </c>
      <c r="V16" s="25">
        <f t="shared" ca="1" si="12"/>
        <v>0</v>
      </c>
      <c r="W16" s="27">
        <f t="shared" ca="1" si="13"/>
        <v>0</v>
      </c>
      <c r="X16" s="24">
        <f t="shared" si="14"/>
        <v>2440</v>
      </c>
      <c r="Y16" s="24">
        <f t="shared" ca="1" si="15"/>
        <v>2440</v>
      </c>
      <c r="Z16" s="30">
        <f t="shared" ca="1" si="16"/>
        <v>100430.39999999999</v>
      </c>
      <c r="AA16" s="31">
        <f t="shared" ca="1" si="17"/>
        <v>34</v>
      </c>
      <c r="AB16" s="23" t="str">
        <f>IF(Ativos!C16="","",Ativos!C16)</f>
        <v>Lajes corporativas</v>
      </c>
    </row>
    <row r="17" spans="1:28" x14ac:dyDescent="0.25">
      <c r="A17" s="14" t="str">
        <f>IF(Ativos!A17="","",Ativos!A17)</f>
        <v>XPLG11</v>
      </c>
      <c r="B17" s="14" t="str">
        <f>IF(Ativos!B17="","",Ativos!B17)</f>
        <v>FII</v>
      </c>
      <c r="C17" s="15">
        <f ca="1">SUMIFS(Lançamentos!$D$5:$D$5000,Lançamentos!$B$5:$B$5000,A17,Lançamentos!$C$5:$C$5000,"COMPRA")-SUMIFS(Lançamentos!$D$5:$D$5000,Lançamentos!$B$5:$B$5000,A17,Lançamentos!$C$5:$C$5000,"VENDA")</f>
        <v>0</v>
      </c>
      <c r="D17" s="16">
        <f ca="1">IFERROR(SUMIFS(Lançamentos!$G$5:$G$5000,Lançamentos!$B$5:$B$5000,A17,Lançamentos!$C$5:$C$5000,"COMPRA")/SUMIFS(Lançamentos!$D$5:$D$5000,Lançamentos!$B$5:$B$5000,A17,Lançamentos!$C$5:$C$5000,"COMPRA"),0)</f>
        <v>0</v>
      </c>
      <c r="E17" s="16">
        <f t="shared" ca="1" si="0"/>
        <v>0</v>
      </c>
      <c r="F17" s="17">
        <f>N(Ativos!D17)</f>
        <v>92.39</v>
      </c>
      <c r="G17" s="16">
        <f t="shared" ca="1" si="1"/>
        <v>0</v>
      </c>
      <c r="H17" s="16">
        <f t="shared" ca="1" si="2"/>
        <v>0</v>
      </c>
      <c r="I17" s="18">
        <f t="shared" ca="1" si="3"/>
        <v>0</v>
      </c>
      <c r="J17" s="16">
        <f>SUMIFS(Proventos!$F$5:$F$5000,Proventos!$B$5:$B$5000,A17)</f>
        <v>0</v>
      </c>
      <c r="K17" s="16">
        <f ca="1">SUMIFS(Proventos!$F$5:$F$5000,Proventos!$B$5:$B$5000,A17,Proventos!$A$5:$A$5000,"&gt;="&amp;(TODAY()-365))</f>
        <v>0</v>
      </c>
      <c r="L17" s="16">
        <f t="shared" ca="1" si="4"/>
        <v>0</v>
      </c>
      <c r="M17" s="18">
        <f t="shared" ca="1" si="5"/>
        <v>0</v>
      </c>
      <c r="N17" s="18">
        <f t="shared" ca="1" si="6"/>
        <v>0</v>
      </c>
      <c r="O17" s="18">
        <f t="shared" si="7"/>
        <v>0.10650503301223076</v>
      </c>
      <c r="P17" s="18">
        <f t="shared" ca="1" si="8"/>
        <v>0</v>
      </c>
      <c r="Q17" s="19">
        <f>N(Ativos!F17)</f>
        <v>0.06</v>
      </c>
      <c r="R17" s="18">
        <f t="shared" ca="1" si="9"/>
        <v>-0.06</v>
      </c>
      <c r="S17" s="16">
        <f t="shared" ca="1" si="10"/>
        <v>0</v>
      </c>
      <c r="T17" s="17">
        <f>N(Ativos!E17)</f>
        <v>9.84</v>
      </c>
      <c r="U17" s="20">
        <f t="shared" si="11"/>
        <v>0.82</v>
      </c>
      <c r="V17" s="16">
        <f t="shared" ca="1" si="12"/>
        <v>0</v>
      </c>
      <c r="W17" s="18">
        <f t="shared" ca="1" si="13"/>
        <v>0</v>
      </c>
      <c r="X17" s="15">
        <f t="shared" si="14"/>
        <v>1220</v>
      </c>
      <c r="Y17" s="15">
        <f t="shared" ca="1" si="15"/>
        <v>1220</v>
      </c>
      <c r="Z17" s="21">
        <f t="shared" ca="1" si="16"/>
        <v>112715.8</v>
      </c>
      <c r="AA17" s="22">
        <f t="shared" ca="1" si="17"/>
        <v>38</v>
      </c>
      <c r="AB17" s="14" t="str">
        <f>IF(Ativos!C17="","",Ativos!C17)</f>
        <v>Logística</v>
      </c>
    </row>
    <row r="18" spans="1:28" x14ac:dyDescent="0.25">
      <c r="A18" s="23" t="str">
        <f>IF(Ativos!A18="","",Ativos!A18)</f>
        <v>XPML11</v>
      </c>
      <c r="B18" s="23" t="str">
        <f>IF(Ativos!B18="","",Ativos!B18)</f>
        <v>FII</v>
      </c>
      <c r="C18" s="24">
        <f ca="1">SUMIFS(Lançamentos!$D$5:$D$5000,Lançamentos!$B$5:$B$5000,A18,Lançamentos!$C$5:$C$5000,"COMPRA")-SUMIFS(Lançamentos!$D$5:$D$5000,Lançamentos!$B$5:$B$5000,A18,Lançamentos!$C$5:$C$5000,"VENDA")</f>
        <v>0</v>
      </c>
      <c r="D18" s="25">
        <f ca="1">IFERROR(SUMIFS(Lançamentos!$G$5:$G$5000,Lançamentos!$B$5:$B$5000,A18,Lançamentos!$C$5:$C$5000,"COMPRA")/SUMIFS(Lançamentos!$D$5:$D$5000,Lançamentos!$B$5:$B$5000,A18,Lançamentos!$C$5:$C$5000,"COMPRA"),0)</f>
        <v>0</v>
      </c>
      <c r="E18" s="25">
        <f t="shared" ca="1" si="0"/>
        <v>0</v>
      </c>
      <c r="F18" s="26">
        <f>N(Ativos!D18)</f>
        <v>98.68</v>
      </c>
      <c r="G18" s="25">
        <f t="shared" ca="1" si="1"/>
        <v>0</v>
      </c>
      <c r="H18" s="25">
        <f t="shared" ca="1" si="2"/>
        <v>0</v>
      </c>
      <c r="I18" s="27">
        <f t="shared" ca="1" si="3"/>
        <v>0</v>
      </c>
      <c r="J18" s="25">
        <f>SUMIFS(Proventos!$F$5:$F$5000,Proventos!$B$5:$B$5000,A18)</f>
        <v>0</v>
      </c>
      <c r="K18" s="25">
        <f ca="1">SUMIFS(Proventos!$F$5:$F$5000,Proventos!$B$5:$B$5000,A18,Proventos!$A$5:$A$5000,"&gt;="&amp;(TODAY()-365))</f>
        <v>0</v>
      </c>
      <c r="L18" s="25">
        <f t="shared" ca="1" si="4"/>
        <v>0</v>
      </c>
      <c r="M18" s="27">
        <f t="shared" ca="1" si="5"/>
        <v>0</v>
      </c>
      <c r="N18" s="27">
        <f t="shared" ca="1" si="6"/>
        <v>0</v>
      </c>
      <c r="O18" s="27">
        <f t="shared" si="7"/>
        <v>0.11217470612079448</v>
      </c>
      <c r="P18" s="27">
        <f t="shared" ca="1" si="8"/>
        <v>0</v>
      </c>
      <c r="Q18" s="28">
        <f>N(Ativos!F18)</f>
        <v>0.05</v>
      </c>
      <c r="R18" s="27">
        <f t="shared" ca="1" si="9"/>
        <v>-0.05</v>
      </c>
      <c r="S18" s="25">
        <f t="shared" ca="1" si="10"/>
        <v>0</v>
      </c>
      <c r="T18" s="26">
        <f>N(Ativos!E18)</f>
        <v>11.0694</v>
      </c>
      <c r="U18" s="29">
        <f t="shared" si="11"/>
        <v>0.92244999999999999</v>
      </c>
      <c r="V18" s="25">
        <f t="shared" ca="1" si="12"/>
        <v>0</v>
      </c>
      <c r="W18" s="27">
        <f t="shared" ca="1" si="13"/>
        <v>0</v>
      </c>
      <c r="X18" s="24">
        <f t="shared" si="14"/>
        <v>1085</v>
      </c>
      <c r="Y18" s="24">
        <f t="shared" ca="1" si="15"/>
        <v>1085</v>
      </c>
      <c r="Z18" s="30">
        <f t="shared" ca="1" si="16"/>
        <v>107067.8</v>
      </c>
      <c r="AA18" s="31">
        <f t="shared" ca="1" si="17"/>
        <v>36</v>
      </c>
      <c r="AB18" s="23" t="str">
        <f>IF(Ativos!C18="","",Ativos!C18)</f>
        <v>Shopping</v>
      </c>
    </row>
    <row r="19" spans="1:28" x14ac:dyDescent="0.25">
      <c r="A19" s="14" t="str">
        <f>IF(Ativos!A19="","",Ativos!A19)</f>
        <v>SNAG11</v>
      </c>
      <c r="B19" s="14" t="str">
        <f>IF(Ativos!B19="","",Ativos!B19)</f>
        <v>FII</v>
      </c>
      <c r="C19" s="15">
        <f ca="1">SUMIFS(Lançamentos!$D$5:$D$5000,Lançamentos!$B$5:$B$5000,A19,Lançamentos!$C$5:$C$5000,"COMPRA")-SUMIFS(Lançamentos!$D$5:$D$5000,Lançamentos!$B$5:$B$5000,A19,Lançamentos!$C$5:$C$5000,"VENDA")</f>
        <v>0</v>
      </c>
      <c r="D19" s="16">
        <f ca="1">IFERROR(SUMIFS(Lançamentos!$G$5:$G$5000,Lançamentos!$B$5:$B$5000,A19,Lançamentos!$C$5:$C$5000,"COMPRA")/SUMIFS(Lançamentos!$D$5:$D$5000,Lançamentos!$B$5:$B$5000,A19,Lançamentos!$C$5:$C$5000,"COMPRA"),0)</f>
        <v>0</v>
      </c>
      <c r="E19" s="16">
        <f t="shared" ca="1" si="0"/>
        <v>0</v>
      </c>
      <c r="F19" s="17">
        <f>N(Ativos!D19)</f>
        <v>9.82</v>
      </c>
      <c r="G19" s="16">
        <f t="shared" ca="1" si="1"/>
        <v>0</v>
      </c>
      <c r="H19" s="16">
        <f t="shared" ca="1" si="2"/>
        <v>0</v>
      </c>
      <c r="I19" s="18">
        <f t="shared" ca="1" si="3"/>
        <v>0</v>
      </c>
      <c r="J19" s="16">
        <f>SUMIFS(Proventos!$F$5:$F$5000,Proventos!$B$5:$B$5000,A19)</f>
        <v>0</v>
      </c>
      <c r="K19" s="16">
        <f ca="1">SUMIFS(Proventos!$F$5:$F$5000,Proventos!$B$5:$B$5000,A19,Proventos!$A$5:$A$5000,"&gt;="&amp;(TODAY()-365))</f>
        <v>0</v>
      </c>
      <c r="L19" s="16">
        <f t="shared" ca="1" si="4"/>
        <v>0</v>
      </c>
      <c r="M19" s="18">
        <f t="shared" ca="1" si="5"/>
        <v>0</v>
      </c>
      <c r="N19" s="18">
        <f t="shared" ca="1" si="6"/>
        <v>0</v>
      </c>
      <c r="O19" s="18">
        <f t="shared" si="7"/>
        <v>0.16089613034623218</v>
      </c>
      <c r="P19" s="18">
        <f t="shared" ca="1" si="8"/>
        <v>0</v>
      </c>
      <c r="Q19" s="19">
        <f>N(Ativos!F19)</f>
        <v>0.06</v>
      </c>
      <c r="R19" s="18">
        <f t="shared" ca="1" si="9"/>
        <v>-0.06</v>
      </c>
      <c r="S19" s="16">
        <f t="shared" ca="1" si="10"/>
        <v>0</v>
      </c>
      <c r="T19" s="17">
        <f>N(Ativos!E19)</f>
        <v>1.58</v>
      </c>
      <c r="U19" s="20">
        <f t="shared" si="11"/>
        <v>0.13166666666666668</v>
      </c>
      <c r="V19" s="16">
        <f t="shared" ca="1" si="12"/>
        <v>0</v>
      </c>
      <c r="W19" s="18">
        <f t="shared" ca="1" si="13"/>
        <v>0</v>
      </c>
      <c r="X19" s="15">
        <f t="shared" si="14"/>
        <v>7595</v>
      </c>
      <c r="Y19" s="15">
        <f t="shared" ca="1" si="15"/>
        <v>7595</v>
      </c>
      <c r="Z19" s="21">
        <f t="shared" ca="1" si="16"/>
        <v>74582.900000000009</v>
      </c>
      <c r="AA19" s="22">
        <f t="shared" ca="1" si="17"/>
        <v>25</v>
      </c>
      <c r="AB19" s="14" t="str">
        <f>IF(Ativos!C19="","",Ativos!C19)</f>
        <v>Fiagro</v>
      </c>
    </row>
    <row r="20" spans="1:28" x14ac:dyDescent="0.25">
      <c r="A20" s="23" t="str">
        <f>IF(Ativos!A20="","",Ativos!A20)</f>
        <v>CPTS11</v>
      </c>
      <c r="B20" s="23" t="str">
        <f>IF(Ativos!B20="","",Ativos!B20)</f>
        <v>FII</v>
      </c>
      <c r="C20" s="24">
        <f ca="1">SUMIFS(Lançamentos!$D$5:$D$5000,Lançamentos!$B$5:$B$5000,A20,Lançamentos!$C$5:$C$5000,"COMPRA")-SUMIFS(Lançamentos!$D$5:$D$5000,Lançamentos!$B$5:$B$5000,A20,Lançamentos!$C$5:$C$5000,"VENDA")</f>
        <v>0</v>
      </c>
      <c r="D20" s="25">
        <f ca="1">IFERROR(SUMIFS(Lançamentos!$G$5:$G$5000,Lançamentos!$B$5:$B$5000,A20,Lançamentos!$C$5:$C$5000,"COMPRA")/SUMIFS(Lançamentos!$D$5:$D$5000,Lançamentos!$B$5:$B$5000,A20,Lançamentos!$C$5:$C$5000,"COMPRA"),0)</f>
        <v>0</v>
      </c>
      <c r="E20" s="25">
        <f t="shared" ca="1" si="0"/>
        <v>0</v>
      </c>
      <c r="F20" s="26">
        <f>N(Ativos!D20)</f>
        <v>7.45</v>
      </c>
      <c r="G20" s="25">
        <f t="shared" ca="1" si="1"/>
        <v>0</v>
      </c>
      <c r="H20" s="25">
        <f t="shared" ca="1" si="2"/>
        <v>0</v>
      </c>
      <c r="I20" s="27">
        <f t="shared" ca="1" si="3"/>
        <v>0</v>
      </c>
      <c r="J20" s="25">
        <f>SUMIFS(Proventos!$F$5:$F$5000,Proventos!$B$5:$B$5000,A20)</f>
        <v>0</v>
      </c>
      <c r="K20" s="25">
        <f ca="1">SUMIFS(Proventos!$F$5:$F$5000,Proventos!$B$5:$B$5000,A20,Proventos!$A$5:$A$5000,"&gt;="&amp;(TODAY()-365))</f>
        <v>0</v>
      </c>
      <c r="L20" s="25">
        <f t="shared" ca="1" si="4"/>
        <v>0</v>
      </c>
      <c r="M20" s="27">
        <f t="shared" ca="1" si="5"/>
        <v>0</v>
      </c>
      <c r="N20" s="27">
        <f t="shared" ca="1" si="6"/>
        <v>0</v>
      </c>
      <c r="O20" s="27">
        <f t="shared" si="7"/>
        <v>0.14496644295302014</v>
      </c>
      <c r="P20" s="27">
        <f t="shared" ca="1" si="8"/>
        <v>0</v>
      </c>
      <c r="Q20" s="28">
        <f>N(Ativos!F20)</f>
        <v>0.04</v>
      </c>
      <c r="R20" s="27">
        <f t="shared" ca="1" si="9"/>
        <v>-0.04</v>
      </c>
      <c r="S20" s="25">
        <f t="shared" ca="1" si="10"/>
        <v>0</v>
      </c>
      <c r="T20" s="26">
        <f>N(Ativos!E20)</f>
        <v>1.08</v>
      </c>
      <c r="U20" s="29">
        <f t="shared" si="11"/>
        <v>9.0000000000000011E-2</v>
      </c>
      <c r="V20" s="25">
        <f t="shared" ca="1" si="12"/>
        <v>0</v>
      </c>
      <c r="W20" s="27">
        <f t="shared" ca="1" si="13"/>
        <v>0</v>
      </c>
      <c r="X20" s="24">
        <f t="shared" si="14"/>
        <v>11112</v>
      </c>
      <c r="Y20" s="24">
        <f t="shared" ca="1" si="15"/>
        <v>11112</v>
      </c>
      <c r="Z20" s="30">
        <f t="shared" ca="1" si="16"/>
        <v>82784.400000000009</v>
      </c>
      <c r="AA20" s="31">
        <f t="shared" ca="1" si="17"/>
        <v>28</v>
      </c>
      <c r="AB20" s="23" t="str">
        <f>IF(Ativos!C20="","",Ativos!C20)</f>
        <v>Híbrido (papel)</v>
      </c>
    </row>
    <row r="21" spans="1:28" x14ac:dyDescent="0.25">
      <c r="A21" s="32" t="s">
        <v>44</v>
      </c>
      <c r="B21" s="32"/>
      <c r="C21" s="32"/>
      <c r="D21" s="32"/>
      <c r="E21" s="33">
        <f ca="1">SUM(E5:E20)</f>
        <v>0</v>
      </c>
      <c r="F21" s="32"/>
      <c r="G21" s="33">
        <f ca="1">SUM(G5:G20)</f>
        <v>0</v>
      </c>
      <c r="H21" s="33">
        <f ca="1">SUM(H5:H20)</f>
        <v>0</v>
      </c>
      <c r="I21" s="34">
        <f t="shared" ca="1" si="3"/>
        <v>0</v>
      </c>
      <c r="J21" s="33">
        <f>SUM(J5:J20)</f>
        <v>0</v>
      </c>
      <c r="K21" s="33">
        <f ca="1">SUM(K5:K20)</f>
        <v>0</v>
      </c>
      <c r="L21" s="33">
        <f ca="1">SUM(L5:L20)</f>
        <v>0</v>
      </c>
      <c r="M21" s="34">
        <f t="shared" ca="1" si="5"/>
        <v>0</v>
      </c>
      <c r="N21" s="34">
        <f ca="1">IF(E21&gt;0,SUMPRODUCT(C5:C20,T5:T20)/E21,0)</f>
        <v>0</v>
      </c>
      <c r="O21" s="34">
        <f ca="1">IF(G21&gt;0,SUMPRODUCT(C5:C20,T5:T20)/G21,0)</f>
        <v>0</v>
      </c>
      <c r="P21" s="34">
        <f ca="1">SUM(P5:P20)</f>
        <v>0</v>
      </c>
      <c r="Q21" s="34">
        <f>SUM(Q5:Q20)</f>
        <v>1.0000000000000002</v>
      </c>
      <c r="R21" s="32"/>
      <c r="S21" s="33">
        <f ca="1">SUM(S5:S20)</f>
        <v>0</v>
      </c>
      <c r="T21" s="32"/>
      <c r="U21" s="32"/>
      <c r="V21" s="33">
        <f ca="1">SUM(V5:V20)</f>
        <v>0</v>
      </c>
      <c r="W21" s="34">
        <f ca="1">IFERROR(AVERAGEIF(A5:A20,"?*",W5:W20),0)</f>
        <v>0</v>
      </c>
      <c r="X21" s="32" t="str">
        <f ca="1">COUNTIF(W5:W20,"&gt;=1")&amp;" de "&amp;COUNTIF(A5:A20,"?*")&amp;" na meta"</f>
        <v>0 de 16 na meta</v>
      </c>
      <c r="Y21" s="35">
        <f ca="1">SUM(Y5:Y20)</f>
        <v>125109</v>
      </c>
      <c r="Z21" s="33">
        <f ca="1">SUM(Z5:Z20)</f>
        <v>2225782.13</v>
      </c>
      <c r="AA21" s="36">
        <f t="shared" ca="1" si="17"/>
        <v>742</v>
      </c>
      <c r="AB21" s="32"/>
    </row>
    <row r="23" spans="1:28" x14ac:dyDescent="0.25">
      <c r="A23" s="37" t="s">
        <v>73</v>
      </c>
      <c r="E23" s="33">
        <f ca="1">SUMIFS(E5:E20,$B$5:$B$20,"AÇÃO")</f>
        <v>0</v>
      </c>
      <c r="G23" s="33">
        <f ca="1">SUMIFS(G5:G20,$B$5:$B$20,"AÇÃO")</f>
        <v>0</v>
      </c>
      <c r="H23" s="33">
        <f ca="1">SUMIFS(H5:H20,$B$5:$B$20,"AÇÃO")</f>
        <v>0</v>
      </c>
      <c r="I23" s="34">
        <f ca="1">IF(E23&gt;0,H23/E23,0)</f>
        <v>0</v>
      </c>
      <c r="J23" s="33">
        <f>SUMIFS(J5:J20,$B$5:$B$20,"AÇÃO")</f>
        <v>0</v>
      </c>
      <c r="L23" s="33">
        <f ca="1">SUMIFS(L5:L20,$B$5:$B$20,"AÇÃO")</f>
        <v>0</v>
      </c>
      <c r="P23" s="34">
        <f ca="1">SUMIFS(P5:P20,$B$5:$B$20,"AÇÃO")</f>
        <v>0</v>
      </c>
      <c r="V23" s="33">
        <f ca="1">SUMIFS(V5:V20,$B$5:$B$20,"AÇÃO")</f>
        <v>0</v>
      </c>
    </row>
    <row r="24" spans="1:28" x14ac:dyDescent="0.25">
      <c r="A24" s="37" t="s">
        <v>74</v>
      </c>
      <c r="E24" s="33">
        <f ca="1">SUMIFS(E5:E20,$B$5:$B$20,"FII")</f>
        <v>0</v>
      </c>
      <c r="G24" s="33">
        <f ca="1">SUMIFS(G5:G20,$B$5:$B$20,"FII")</f>
        <v>0</v>
      </c>
      <c r="H24" s="33">
        <f ca="1">SUMIFS(H5:H20,$B$5:$B$20,"FII")</f>
        <v>0</v>
      </c>
      <c r="I24" s="34">
        <f ca="1">IF(E24&gt;0,H24/E24,0)</f>
        <v>0</v>
      </c>
      <c r="J24" s="33">
        <f>SUMIFS(J5:J20,$B$5:$B$20,"FII")</f>
        <v>0</v>
      </c>
      <c r="L24" s="33">
        <f ca="1">SUMIFS(L5:L20,$B$5:$B$20,"FII")</f>
        <v>0</v>
      </c>
      <c r="P24" s="34">
        <f ca="1">SUMIFS(P5:P20,$B$5:$B$20,"FII")</f>
        <v>0</v>
      </c>
      <c r="V24" s="33">
        <f ca="1">SUMIFS(V5:V20,$B$5:$B$20,"FII")</f>
        <v>0</v>
      </c>
    </row>
    <row r="26" spans="1:28" x14ac:dyDescent="0.25">
      <c r="A26" s="37" t="s">
        <v>75</v>
      </c>
    </row>
    <row r="27" spans="1:28" x14ac:dyDescent="0.25">
      <c r="A27" s="38" t="s">
        <v>76</v>
      </c>
    </row>
    <row r="28" spans="1:28" x14ac:dyDescent="0.25">
      <c r="A28" s="38" t="s">
        <v>77</v>
      </c>
    </row>
    <row r="29" spans="1:28" x14ac:dyDescent="0.25">
      <c r="A29" s="38" t="s">
        <v>78</v>
      </c>
    </row>
  </sheetData>
  <conditionalFormatting sqref="A5:AB20">
    <cfRule type="expression" dxfId="6" priority="9">
      <formula>$C5=0</formula>
    </cfRule>
  </conditionalFormatting>
  <conditionalFormatting sqref="H5:I20">
    <cfRule type="cellIs" dxfId="5" priority="1" operator="lessThan">
      <formula>0</formula>
    </cfRule>
    <cfRule type="cellIs" dxfId="4" priority="2" operator="greaterThan">
      <formula>0</formula>
    </cfRule>
  </conditionalFormatting>
  <conditionalFormatting sqref="L5:M20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P5:P20">
    <cfRule type="dataBar" priority="7">
      <dataBar>
        <cfvo type="num" val="0"/>
        <cfvo type="max"/>
        <color rgb="FF5B8DB8"/>
      </dataBar>
    </cfRule>
  </conditionalFormatting>
  <conditionalFormatting sqref="R5:R20">
    <cfRule type="cellIs" dxfId="1" priority="5" operator="lessThan">
      <formula>0</formula>
    </cfRule>
    <cfRule type="cellIs" dxfId="0" priority="6" operator="greaterThan">
      <formula>0</formula>
    </cfRule>
  </conditionalFormatting>
  <conditionalFormatting sqref="W5:W20">
    <cfRule type="dataBar" priority="8">
      <dataBar>
        <cfvo type="num" val="0"/>
        <cfvo type="num" val="1"/>
        <color rgb="FF0D9488"/>
      </dataBar>
    </cfRule>
  </conditionalFormatting>
  <pageMargins left="0.75" right="0.75" top="1" bottom="1" header="0.5" footer="0.5"/>
  <pageSetup scale="35" fitToHeight="0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2563EB"/>
    <pageSetUpPr fitToPage="1"/>
  </sheetPr>
  <dimension ref="A1:AN34"/>
  <sheetViews>
    <sheetView showGridLines="0" workbookViewId="0"/>
  </sheetViews>
  <sheetFormatPr defaultRowHeight="15" x14ac:dyDescent="0.25"/>
  <cols>
    <col min="1" max="1" width="10.7109375" bestFit="1" customWidth="1"/>
    <col min="2" max="2" width="14.28515625" bestFit="1" customWidth="1"/>
    <col min="3" max="3" width="7.7109375" bestFit="1" customWidth="1"/>
    <col min="4" max="4" width="14.85546875" bestFit="1" customWidth="1"/>
    <col min="5" max="5" width="10" bestFit="1" customWidth="1"/>
    <col min="6" max="6" width="3" customWidth="1"/>
    <col min="7" max="7" width="18.85546875" bestFit="1" customWidth="1"/>
    <col min="8" max="8" width="11.7109375" bestFit="1" customWidth="1"/>
    <col min="9" max="9" width="10.7109375" bestFit="1" customWidth="1"/>
    <col min="10" max="10" width="14" customWidth="1"/>
    <col min="11" max="11" width="3" customWidth="1"/>
    <col min="12" max="16" width="14" customWidth="1"/>
    <col min="18" max="18" width="10.7109375" hidden="1" customWidth="1"/>
    <col min="19" max="19" width="12.5703125" hidden="1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79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40" ht="15.95" customHeight="1" x14ac:dyDescent="0.25">
      <c r="A3" s="12" t="s">
        <v>199</v>
      </c>
    </row>
    <row r="5" spans="1:40" ht="16.5" x14ac:dyDescent="0.3">
      <c r="A5" s="68" t="s">
        <v>189</v>
      </c>
    </row>
    <row r="7" spans="1:40" x14ac:dyDescent="0.25">
      <c r="A7" s="69" t="s">
        <v>48</v>
      </c>
      <c r="B7" t="s">
        <v>191</v>
      </c>
      <c r="C7" t="s">
        <v>184</v>
      </c>
      <c r="D7" t="s">
        <v>186</v>
      </c>
      <c r="E7" t="s">
        <v>183</v>
      </c>
      <c r="R7" s="69" t="s">
        <v>47</v>
      </c>
      <c r="S7" t="s">
        <v>192</v>
      </c>
    </row>
    <row r="8" spans="1:40" x14ac:dyDescent="0.25">
      <c r="A8" t="s">
        <v>116</v>
      </c>
      <c r="B8" s="70">
        <v>0</v>
      </c>
      <c r="C8" s="70">
        <v>0</v>
      </c>
      <c r="D8" s="70">
        <v>0</v>
      </c>
      <c r="E8" s="70">
        <v>0</v>
      </c>
      <c r="R8" t="s">
        <v>143</v>
      </c>
      <c r="S8" s="70">
        <v>0</v>
      </c>
    </row>
    <row r="9" spans="1:40" x14ac:dyDescent="0.25">
      <c r="A9" t="s">
        <v>137</v>
      </c>
      <c r="B9" s="70">
        <v>0</v>
      </c>
      <c r="C9" s="70">
        <v>0</v>
      </c>
      <c r="D9" s="70">
        <v>0</v>
      </c>
      <c r="E9" s="70">
        <v>0</v>
      </c>
      <c r="R9" t="s">
        <v>145</v>
      </c>
      <c r="S9" s="70">
        <v>0</v>
      </c>
    </row>
    <row r="10" spans="1:40" x14ac:dyDescent="0.25">
      <c r="A10" t="s">
        <v>190</v>
      </c>
      <c r="B10" s="70">
        <v>0</v>
      </c>
      <c r="C10" s="70">
        <v>0</v>
      </c>
      <c r="D10" s="70">
        <v>0</v>
      </c>
      <c r="E10" s="70">
        <v>0</v>
      </c>
      <c r="R10" t="s">
        <v>136</v>
      </c>
      <c r="S10" s="70">
        <v>0</v>
      </c>
    </row>
    <row r="11" spans="1:40" x14ac:dyDescent="0.25">
      <c r="R11" t="s">
        <v>127</v>
      </c>
      <c r="S11" s="70">
        <v>0</v>
      </c>
    </row>
    <row r="12" spans="1:40" x14ac:dyDescent="0.25">
      <c r="R12" t="s">
        <v>115</v>
      </c>
      <c r="S12" s="70">
        <v>0</v>
      </c>
    </row>
    <row r="13" spans="1:40" x14ac:dyDescent="0.25">
      <c r="R13" t="s">
        <v>125</v>
      </c>
      <c r="S13" s="70">
        <v>0</v>
      </c>
    </row>
    <row r="14" spans="1:40" x14ac:dyDescent="0.25">
      <c r="R14" t="s">
        <v>134</v>
      </c>
      <c r="S14" s="70">
        <v>0</v>
      </c>
    </row>
    <row r="15" spans="1:40" x14ac:dyDescent="0.25">
      <c r="R15" t="s">
        <v>139</v>
      </c>
      <c r="S15" s="70">
        <v>0</v>
      </c>
    </row>
    <row r="16" spans="1:40" x14ac:dyDescent="0.25">
      <c r="R16" t="s">
        <v>121</v>
      </c>
      <c r="S16" s="70">
        <v>0</v>
      </c>
    </row>
    <row r="17" spans="1:19" x14ac:dyDescent="0.25">
      <c r="R17" t="s">
        <v>130</v>
      </c>
      <c r="S17" s="70">
        <v>0</v>
      </c>
    </row>
    <row r="18" spans="1:19" x14ac:dyDescent="0.25">
      <c r="R18" t="s">
        <v>119</v>
      </c>
      <c r="S18" s="70">
        <v>0</v>
      </c>
    </row>
    <row r="19" spans="1:19" x14ac:dyDescent="0.25">
      <c r="R19" t="s">
        <v>147</v>
      </c>
      <c r="S19" s="70">
        <v>0</v>
      </c>
    </row>
    <row r="20" spans="1:19" x14ac:dyDescent="0.25">
      <c r="R20" t="s">
        <v>141</v>
      </c>
      <c r="S20" s="70">
        <v>0</v>
      </c>
    </row>
    <row r="21" spans="1:19" x14ac:dyDescent="0.25">
      <c r="R21" t="s">
        <v>132</v>
      </c>
      <c r="S21" s="70">
        <v>0</v>
      </c>
    </row>
    <row r="22" spans="1:19" x14ac:dyDescent="0.25">
      <c r="R22" t="s">
        <v>123</v>
      </c>
      <c r="S22" s="70">
        <v>0</v>
      </c>
    </row>
    <row r="23" spans="1:19" x14ac:dyDescent="0.25">
      <c r="R23" t="s">
        <v>128</v>
      </c>
      <c r="S23" s="70">
        <v>0</v>
      </c>
    </row>
    <row r="24" spans="1:19" x14ac:dyDescent="0.25">
      <c r="R24" t="s">
        <v>190</v>
      </c>
      <c r="S24" s="70">
        <v>0</v>
      </c>
    </row>
    <row r="27" spans="1:19" ht="16.5" x14ac:dyDescent="0.3">
      <c r="A27" s="71" t="s">
        <v>193</v>
      </c>
      <c r="G27" s="71" t="s">
        <v>197</v>
      </c>
    </row>
    <row r="29" spans="1:19" x14ac:dyDescent="0.25">
      <c r="A29" s="69" t="s">
        <v>48</v>
      </c>
      <c r="B29" t="s">
        <v>194</v>
      </c>
    </row>
    <row r="31" spans="1:19" x14ac:dyDescent="0.25">
      <c r="A31" s="69" t="s">
        <v>47</v>
      </c>
      <c r="B31" t="s">
        <v>196</v>
      </c>
      <c r="G31" s="69" t="s">
        <v>198</v>
      </c>
      <c r="H31" s="69" t="s">
        <v>90</v>
      </c>
    </row>
    <row r="32" spans="1:19" x14ac:dyDescent="0.25">
      <c r="A32" t="s">
        <v>195</v>
      </c>
      <c r="B32" s="70"/>
      <c r="G32" s="69" t="s">
        <v>47</v>
      </c>
      <c r="H32" t="s">
        <v>195</v>
      </c>
      <c r="I32" t="s">
        <v>190</v>
      </c>
    </row>
    <row r="33" spans="1:9" x14ac:dyDescent="0.25">
      <c r="A33" t="s">
        <v>190</v>
      </c>
      <c r="B33" s="70"/>
      <c r="G33" t="s">
        <v>195</v>
      </c>
      <c r="H33" s="70"/>
      <c r="I33" s="70"/>
    </row>
    <row r="34" spans="1:9" x14ac:dyDescent="0.25">
      <c r="G34" t="s">
        <v>190</v>
      </c>
      <c r="H34" s="70"/>
      <c r="I34" s="70"/>
    </row>
  </sheetData>
  <pageMargins left="0.75" right="0.75" top="1" bottom="1" header="0.5" footer="0.5"/>
  <pageSetup fitToHeight="0" orientation="landscape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16A34A"/>
    <pageSetUpPr fitToPage="1"/>
  </sheetPr>
  <dimension ref="A1:AN28"/>
  <sheetViews>
    <sheetView showGridLines="0" showRowColHeader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" customWidth="1"/>
    <col min="2" max="2" width="30" customWidth="1"/>
    <col min="3" max="3" width="22" customWidth="1"/>
    <col min="4" max="4" width="3" customWidth="1"/>
    <col min="5" max="5" width="30" customWidth="1"/>
    <col min="6" max="6" width="20" customWidth="1"/>
    <col min="7" max="7" width="3" customWidth="1"/>
    <col min="8" max="8" width="11" customWidth="1"/>
    <col min="9" max="10" width="10" customWidth="1"/>
    <col min="11" max="11" width="9" customWidth="1"/>
    <col min="12" max="12" width="12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80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40" ht="15.95" customHeight="1" x14ac:dyDescent="0.25">
      <c r="A3" s="12" t="s">
        <v>81</v>
      </c>
      <c r="L3" s="39" t="s">
        <v>82</v>
      </c>
    </row>
    <row r="4" spans="1:4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40" x14ac:dyDescent="0.25">
      <c r="A5" s="7"/>
      <c r="B5" s="40" t="s">
        <v>83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40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40" ht="30" customHeight="1" x14ac:dyDescent="0.25">
      <c r="A7" s="7"/>
      <c r="B7" s="130" t="s">
        <v>84</v>
      </c>
      <c r="C7" s="131"/>
      <c r="D7" s="7"/>
      <c r="E7" s="132" t="s">
        <v>85</v>
      </c>
      <c r="F7" s="133"/>
      <c r="G7" s="7"/>
      <c r="H7" s="132" t="s">
        <v>86</v>
      </c>
      <c r="I7" s="133"/>
      <c r="J7" s="133"/>
      <c r="K7" s="133"/>
      <c r="L7" s="133"/>
      <c r="M7" s="7"/>
    </row>
    <row r="8" spans="1:40" ht="24" customHeight="1" x14ac:dyDescent="0.25">
      <c r="A8" s="7"/>
      <c r="B8" s="41" t="s">
        <v>87</v>
      </c>
      <c r="C8" s="42"/>
      <c r="D8" s="7"/>
      <c r="E8" s="41" t="s">
        <v>88</v>
      </c>
      <c r="F8" s="42"/>
      <c r="G8" s="7"/>
      <c r="H8" s="43" t="s">
        <v>89</v>
      </c>
      <c r="I8" s="43" t="s">
        <v>47</v>
      </c>
      <c r="J8" s="43" t="s">
        <v>90</v>
      </c>
      <c r="K8" s="43" t="s">
        <v>91</v>
      </c>
      <c r="L8" s="43" t="s">
        <v>92</v>
      </c>
      <c r="M8" s="7"/>
    </row>
    <row r="9" spans="1:40" ht="24" customHeight="1" x14ac:dyDescent="0.25">
      <c r="A9" s="7"/>
      <c r="B9" s="41" t="s">
        <v>47</v>
      </c>
      <c r="C9" s="44"/>
      <c r="D9" s="7"/>
      <c r="E9" s="41" t="s">
        <v>47</v>
      </c>
      <c r="F9" s="44"/>
      <c r="G9" s="7"/>
      <c r="H9" s="45" t="str">
        <f>IF((COUNTA(Lançamentos!$B:$B)+3-0)&lt;5,"",INDEX(Lançamentos!$A:$A,(COUNTA(Lançamentos!$B:$B)+3-0)))</f>
        <v/>
      </c>
      <c r="I9" s="46" t="str">
        <f>IF((COUNTA(Lançamentos!$B:$B)+3-0)&lt;5,"",INDEX(Lançamentos!$B:$B,(COUNTA(Lançamentos!$B:$B)+3-0)))</f>
        <v/>
      </c>
      <c r="J9" s="47" t="str">
        <f>IF((COUNTA(Lançamentos!$B:$B)+3-0)&lt;5,"",INDEX(Lançamentos!$C:$C,(COUNTA(Lançamentos!$B:$B)+3-0)))</f>
        <v/>
      </c>
      <c r="K9" s="48" t="str">
        <f>IF((COUNTA(Lançamentos!$B:$B)+3-0)&lt;5,"",INDEX(Lançamentos!$D:$D,(COUNTA(Lançamentos!$B:$B)+3-0)))</f>
        <v/>
      </c>
      <c r="L9" s="49" t="str">
        <f>IF((COUNTA(Lançamentos!$B:$B)+3-0)&lt;5,"",INDEX(Lançamentos!$E:$E,(COUNTA(Lançamentos!$B:$B)+3-0)))</f>
        <v/>
      </c>
      <c r="M9" s="7"/>
    </row>
    <row r="10" spans="1:40" ht="24" customHeight="1" x14ac:dyDescent="0.25">
      <c r="A10" s="7"/>
      <c r="B10" s="41" t="s">
        <v>93</v>
      </c>
      <c r="C10" s="44"/>
      <c r="D10" s="7"/>
      <c r="E10" s="41" t="s">
        <v>94</v>
      </c>
      <c r="F10" s="44"/>
      <c r="G10" s="7"/>
      <c r="H10" s="45" t="str">
        <f>IF((COUNTA(Lançamentos!$B:$B)+3-1)&lt;5,"",INDEX(Lançamentos!$A:$A,(COUNTA(Lançamentos!$B:$B)+3-1)))</f>
        <v/>
      </c>
      <c r="I10" s="46" t="str">
        <f>IF((COUNTA(Lançamentos!$B:$B)+3-1)&lt;5,"",INDEX(Lançamentos!$B:$B,(COUNTA(Lançamentos!$B:$B)+3-1)))</f>
        <v/>
      </c>
      <c r="J10" s="47" t="str">
        <f>IF((COUNTA(Lançamentos!$B:$B)+3-1)&lt;5,"",INDEX(Lançamentos!$C:$C,(COUNTA(Lançamentos!$B:$B)+3-1)))</f>
        <v/>
      </c>
      <c r="K10" s="48" t="str">
        <f>IF((COUNTA(Lançamentos!$B:$B)+3-1)&lt;5,"",INDEX(Lançamentos!$D:$D,(COUNTA(Lançamentos!$B:$B)+3-1)))</f>
        <v/>
      </c>
      <c r="L10" s="49" t="str">
        <f>IF((COUNTA(Lançamentos!$B:$B)+3-1)&lt;5,"",INDEX(Lançamentos!$E:$E,(COUNTA(Lançamentos!$B:$B)+3-1)))</f>
        <v/>
      </c>
      <c r="M10" s="7"/>
    </row>
    <row r="11" spans="1:40" ht="24" customHeight="1" x14ac:dyDescent="0.25">
      <c r="A11" s="7"/>
      <c r="B11" s="41" t="s">
        <v>95</v>
      </c>
      <c r="C11" s="50"/>
      <c r="D11" s="7"/>
      <c r="E11" s="41" t="s">
        <v>96</v>
      </c>
      <c r="F11" s="51"/>
      <c r="G11" s="7"/>
      <c r="H11" s="45" t="str">
        <f>IF((COUNTA(Lançamentos!$B:$B)+3-2)&lt;5,"",INDEX(Lançamentos!$A:$A,(COUNTA(Lançamentos!$B:$B)+3-2)))</f>
        <v/>
      </c>
      <c r="I11" s="46" t="str">
        <f>IF((COUNTA(Lançamentos!$B:$B)+3-2)&lt;5,"",INDEX(Lançamentos!$B:$B,(COUNTA(Lançamentos!$B:$B)+3-2)))</f>
        <v/>
      </c>
      <c r="J11" s="47" t="str">
        <f>IF((COUNTA(Lançamentos!$B:$B)+3-2)&lt;5,"",INDEX(Lançamentos!$C:$C,(COUNTA(Lançamentos!$B:$B)+3-2)))</f>
        <v/>
      </c>
      <c r="K11" s="48" t="str">
        <f>IF((COUNTA(Lançamentos!$B:$B)+3-2)&lt;5,"",INDEX(Lançamentos!$D:$D,(COUNTA(Lançamentos!$B:$B)+3-2)))</f>
        <v/>
      </c>
      <c r="L11" s="49" t="str">
        <f>IF((COUNTA(Lançamentos!$B:$B)+3-2)&lt;5,"",INDEX(Lançamentos!$E:$E,(COUNTA(Lançamentos!$B:$B)+3-2)))</f>
        <v/>
      </c>
      <c r="M11" s="7"/>
    </row>
    <row r="12" spans="1:40" ht="24" customHeight="1" x14ac:dyDescent="0.25">
      <c r="A12" s="7"/>
      <c r="B12" s="41" t="s">
        <v>97</v>
      </c>
      <c r="C12" s="52"/>
      <c r="D12" s="7"/>
      <c r="E12" s="41" t="s">
        <v>98</v>
      </c>
      <c r="F12" s="50"/>
      <c r="G12" s="7"/>
      <c r="H12" s="45" t="str">
        <f>IF((COUNTA(Lançamentos!$B:$B)+3-3)&lt;5,"",INDEX(Lançamentos!$A:$A,(COUNTA(Lançamentos!$B:$B)+3-3)))</f>
        <v/>
      </c>
      <c r="I12" s="46" t="str">
        <f>IF((COUNTA(Lançamentos!$B:$B)+3-3)&lt;5,"",INDEX(Lançamentos!$B:$B,(COUNTA(Lançamentos!$B:$B)+3-3)))</f>
        <v/>
      </c>
      <c r="J12" s="47" t="str">
        <f>IF((COUNTA(Lançamentos!$B:$B)+3-3)&lt;5,"",INDEX(Lançamentos!$C:$C,(COUNTA(Lançamentos!$B:$B)+3-3)))</f>
        <v/>
      </c>
      <c r="K12" s="48" t="str">
        <f>IF((COUNTA(Lançamentos!$B:$B)+3-3)&lt;5,"",INDEX(Lançamentos!$D:$D,(COUNTA(Lançamentos!$B:$B)+3-3)))</f>
        <v/>
      </c>
      <c r="L12" s="49" t="str">
        <f>IF((COUNTA(Lançamentos!$B:$B)+3-3)&lt;5,"",INDEX(Lançamentos!$E:$E,(COUNTA(Lançamentos!$B:$B)+3-3)))</f>
        <v/>
      </c>
      <c r="M12" s="7"/>
    </row>
    <row r="13" spans="1:40" ht="18" customHeight="1" x14ac:dyDescent="0.25">
      <c r="A13" s="7"/>
      <c r="B13" s="41" t="s">
        <v>99</v>
      </c>
      <c r="C13" s="52"/>
      <c r="D13" s="7"/>
      <c r="E13" s="128" t="s">
        <v>100</v>
      </c>
      <c r="F13" s="90"/>
      <c r="G13" s="7"/>
      <c r="H13" s="45" t="str">
        <f>IF((COUNTA(Lançamentos!$B:$B)+3-4)&lt;5,"",INDEX(Lançamentos!$A:$A,(COUNTA(Lançamentos!$B:$B)+3-4)))</f>
        <v/>
      </c>
      <c r="I13" s="46" t="str">
        <f>IF((COUNTA(Lançamentos!$B:$B)+3-4)&lt;5,"",INDEX(Lançamentos!$B:$B,(COUNTA(Lançamentos!$B:$B)+3-4)))</f>
        <v/>
      </c>
      <c r="J13" s="47" t="str">
        <f>IF((COUNTA(Lançamentos!$B:$B)+3-4)&lt;5,"",INDEX(Lançamentos!$C:$C,(COUNTA(Lançamentos!$B:$B)+3-4)))</f>
        <v/>
      </c>
      <c r="K13" s="48" t="str">
        <f>IF((COUNTA(Lançamentos!$B:$B)+3-4)&lt;5,"",INDEX(Lançamentos!$D:$D,(COUNTA(Lançamentos!$B:$B)+3-4)))</f>
        <v/>
      </c>
      <c r="L13" s="49" t="str">
        <f>IF((COUNTA(Lançamentos!$B:$B)+3-4)&lt;5,"",INDEX(Lançamentos!$E:$E,(COUNTA(Lançamentos!$B:$B)+3-4)))</f>
        <v/>
      </c>
      <c r="M13" s="7"/>
    </row>
    <row r="14" spans="1:40" ht="21" customHeight="1" x14ac:dyDescent="0.25">
      <c r="A14" s="7"/>
      <c r="B14" s="128" t="s">
        <v>101</v>
      </c>
      <c r="C14" s="90"/>
      <c r="D14" s="7"/>
      <c r="E14" s="41" t="s">
        <v>102</v>
      </c>
      <c r="F14" s="53" t="str">
        <f>IF(pv_ticker="","",IFERROR(INDEX(Carteira!$C$5:$C$20,MATCH(pv_ticker,Carteira!$A$5:$A$20,0)),0))</f>
        <v/>
      </c>
      <c r="G14" s="7"/>
      <c r="H14" s="45" t="str">
        <f>IF((COUNTA(Lançamentos!$B:$B)+3-5)&lt;5,"",INDEX(Lançamentos!$A:$A,(COUNTA(Lançamentos!$B:$B)+3-5)))</f>
        <v/>
      </c>
      <c r="I14" s="46" t="str">
        <f>IF((COUNTA(Lançamentos!$B:$B)+3-5)&lt;5,"",INDEX(Lançamentos!$B:$B,(COUNTA(Lançamentos!$B:$B)+3-5)))</f>
        <v/>
      </c>
      <c r="J14" s="47" t="str">
        <f>IF((COUNTA(Lançamentos!$B:$B)+3-5)&lt;5,"",INDEX(Lançamentos!$C:$C,(COUNTA(Lançamentos!$B:$B)+3-5)))</f>
        <v/>
      </c>
      <c r="K14" s="48" t="str">
        <f>IF((COUNTA(Lançamentos!$B:$B)+3-5)&lt;5,"",INDEX(Lançamentos!$D:$D,(COUNTA(Lançamentos!$B:$B)+3-5)))</f>
        <v/>
      </c>
      <c r="L14" s="49" t="str">
        <f>IF((COUNTA(Lançamentos!$B:$B)+3-5)&lt;5,"",INDEX(Lançamentos!$E:$E,(COUNTA(Lançamentos!$B:$B)+3-5)))</f>
        <v/>
      </c>
      <c r="M14" s="7"/>
    </row>
    <row r="15" spans="1:40" ht="21" customHeight="1" x14ac:dyDescent="0.25">
      <c r="A15" s="7"/>
      <c r="B15" s="41" t="s">
        <v>103</v>
      </c>
      <c r="C15" s="54" t="str">
        <f>IF(lc_ticker="","",IFERROR(INDEX(Ativos!$B$5:$B$20,MATCH(lc_ticker,Ativos!$A$5:$A$20,0))&amp;"  •  "&amp;INDEX(Ativos!$C$5:$C$20,MATCH(lc_ticker,Ativos!$A$5:$A$20,0)),"Ticker novo — preencha Tipo e Segmento abaixo"))</f>
        <v/>
      </c>
      <c r="D15" s="7"/>
      <c r="E15" s="41" t="s">
        <v>104</v>
      </c>
      <c r="F15" s="55" t="str">
        <f>IF(pv_valor="","",pv_valor*IF(pv_qtd="",N(pv_tem),pv_qtd))</f>
        <v/>
      </c>
      <c r="G15" s="7"/>
      <c r="H15" s="45" t="str">
        <f>IF((COUNTA(Lançamentos!$B:$B)+3-6)&lt;5,"",INDEX(Lançamentos!$A:$A,(COUNTA(Lançamentos!$B:$B)+3-6)))</f>
        <v/>
      </c>
      <c r="I15" s="46" t="str">
        <f>IF((COUNTA(Lançamentos!$B:$B)+3-6)&lt;5,"",INDEX(Lançamentos!$B:$B,(COUNTA(Lançamentos!$B:$B)+3-6)))</f>
        <v/>
      </c>
      <c r="J15" s="47" t="str">
        <f>IF((COUNTA(Lançamentos!$B:$B)+3-6)&lt;5,"",INDEX(Lançamentos!$C:$C,(COUNTA(Lançamentos!$B:$B)+3-6)))</f>
        <v/>
      </c>
      <c r="K15" s="48" t="str">
        <f>IF((COUNTA(Lançamentos!$B:$B)+3-6)&lt;5,"",INDEX(Lançamentos!$D:$D,(COUNTA(Lançamentos!$B:$B)+3-6)))</f>
        <v/>
      </c>
      <c r="L15" s="49" t="str">
        <f>IF((COUNTA(Lançamentos!$B:$B)+3-6)&lt;5,"",INDEX(Lançamentos!$E:$E,(COUNTA(Lançamentos!$B:$B)+3-6)))</f>
        <v/>
      </c>
      <c r="M15" s="7"/>
    </row>
    <row r="16" spans="1:40" ht="30" customHeight="1" x14ac:dyDescent="0.25">
      <c r="A16" s="7"/>
      <c r="B16" s="41" t="s">
        <v>105</v>
      </c>
      <c r="C16" s="56" t="str">
        <f>IF(lc_ticker="","",IFERROR(INDEX(Ativos!$D$5:$D$20,MATCH(lc_ticker,Ativos!$A$5:$A$20,0)),""))</f>
        <v/>
      </c>
      <c r="D16" s="7"/>
      <c r="E16" s="129"/>
      <c r="F16" s="85"/>
      <c r="G16" s="7"/>
      <c r="H16" s="45" t="str">
        <f>IF((COUNTA(Lançamentos!$B:$B)+3-7)&lt;5,"",INDEX(Lançamentos!$A:$A,(COUNTA(Lançamentos!$B:$B)+3-7)))</f>
        <v/>
      </c>
      <c r="I16" s="46" t="str">
        <f>IF((COUNTA(Lançamentos!$B:$B)+3-7)&lt;5,"",INDEX(Lançamentos!$B:$B,(COUNTA(Lançamentos!$B:$B)+3-7)))</f>
        <v/>
      </c>
      <c r="J16" s="47" t="str">
        <f>IF((COUNTA(Lançamentos!$B:$B)+3-7)&lt;5,"",INDEX(Lançamentos!$C:$C,(COUNTA(Lançamentos!$B:$B)+3-7)))</f>
        <v/>
      </c>
      <c r="K16" s="48" t="str">
        <f>IF((COUNTA(Lançamentos!$B:$B)+3-7)&lt;5,"",INDEX(Lançamentos!$D:$D,(COUNTA(Lançamentos!$B:$B)+3-7)))</f>
        <v/>
      </c>
      <c r="L16" s="49" t="str">
        <f>IF((COUNTA(Lançamentos!$B:$B)+3-7)&lt;5,"",INDEX(Lançamentos!$E:$E,(COUNTA(Lançamentos!$B:$B)+3-7)))</f>
        <v/>
      </c>
      <c r="M16" s="7"/>
    </row>
    <row r="17" spans="1:13" ht="15" customHeight="1" x14ac:dyDescent="0.25">
      <c r="A17" s="7"/>
      <c r="B17" s="41" t="s">
        <v>102</v>
      </c>
      <c r="C17" s="53" t="str">
        <f>IF(lc_ticker="","",IFERROR(INDEX(Carteira!$C$5:$C$20,MATCH(lc_ticker,Carteira!$A$5:$A$20,0)),0))</f>
        <v/>
      </c>
      <c r="D17" s="7"/>
      <c r="E17" s="7"/>
      <c r="F17" s="7"/>
      <c r="G17" s="7"/>
      <c r="H17" s="45" t="str">
        <f>IF((COUNTA(Lançamentos!$B:$B)+3-8)&lt;5,"",INDEX(Lançamentos!$A:$A,(COUNTA(Lançamentos!$B:$B)+3-8)))</f>
        <v/>
      </c>
      <c r="I17" s="46" t="str">
        <f>IF((COUNTA(Lançamentos!$B:$B)+3-8)&lt;5,"",INDEX(Lançamentos!$B:$B,(COUNTA(Lançamentos!$B:$B)+3-8)))</f>
        <v/>
      </c>
      <c r="J17" s="47" t="str">
        <f>IF((COUNTA(Lançamentos!$B:$B)+3-8)&lt;5,"",INDEX(Lançamentos!$C:$C,(COUNTA(Lançamentos!$B:$B)+3-8)))</f>
        <v/>
      </c>
      <c r="K17" s="48" t="str">
        <f>IF((COUNTA(Lançamentos!$B:$B)+3-8)&lt;5,"",INDEX(Lançamentos!$D:$D,(COUNTA(Lançamentos!$B:$B)+3-8)))</f>
        <v/>
      </c>
      <c r="L17" s="49" t="str">
        <f>IF((COUNTA(Lançamentos!$B:$B)+3-8)&lt;5,"",INDEX(Lançamentos!$E:$E,(COUNTA(Lançamentos!$B:$B)+3-8)))</f>
        <v/>
      </c>
      <c r="M17" s="7"/>
    </row>
    <row r="18" spans="1:13" ht="32.1" customHeight="1" x14ac:dyDescent="0.25">
      <c r="A18" s="7"/>
      <c r="B18" s="128" t="s">
        <v>106</v>
      </c>
      <c r="C18" s="90"/>
      <c r="D18" s="7"/>
      <c r="E18" s="7"/>
      <c r="F18" s="7"/>
      <c r="G18" s="7"/>
      <c r="H18" s="45" t="str">
        <f>IF((COUNTA(Lançamentos!$B:$B)+3-9)&lt;5,"",INDEX(Lançamentos!$A:$A,(COUNTA(Lançamentos!$B:$B)+3-9)))</f>
        <v/>
      </c>
      <c r="I18" s="46" t="str">
        <f>IF((COUNTA(Lançamentos!$B:$B)+3-9)&lt;5,"",INDEX(Lançamentos!$B:$B,(COUNTA(Lançamentos!$B:$B)+3-9)))</f>
        <v/>
      </c>
      <c r="J18" s="47" t="str">
        <f>IF((COUNTA(Lançamentos!$B:$B)+3-9)&lt;5,"",INDEX(Lançamentos!$C:$C,(COUNTA(Lançamentos!$B:$B)+3-9)))</f>
        <v/>
      </c>
      <c r="K18" s="48" t="str">
        <f>IF((COUNTA(Lançamentos!$B:$B)+3-9)&lt;5,"",INDEX(Lançamentos!$D:$D,(COUNTA(Lançamentos!$B:$B)+3-9)))</f>
        <v/>
      </c>
      <c r="L18" s="49" t="str">
        <f>IF((COUNTA(Lançamentos!$B:$B)+3-9)&lt;5,"",INDEX(Lançamentos!$E:$E,(COUNTA(Lançamentos!$B:$B)+3-9)))</f>
        <v/>
      </c>
      <c r="M18" s="7"/>
    </row>
    <row r="19" spans="1:13" ht="24" customHeight="1" x14ac:dyDescent="0.25">
      <c r="A19" s="7"/>
      <c r="B19" s="41" t="s">
        <v>107</v>
      </c>
      <c r="C19" s="44"/>
      <c r="D19" s="7"/>
      <c r="E19" s="7"/>
      <c r="F19" s="7"/>
      <c r="G19" s="7"/>
      <c r="H19" s="45" t="str">
        <f>IF((COUNTA(Lançamentos!$B:$B)+3-10)&lt;5,"",INDEX(Lançamentos!$A:$A,(COUNTA(Lançamentos!$B:$B)+3-10)))</f>
        <v/>
      </c>
      <c r="I19" s="46" t="str">
        <f>IF((COUNTA(Lançamentos!$B:$B)+3-10)&lt;5,"",INDEX(Lançamentos!$B:$B,(COUNTA(Lançamentos!$B:$B)+3-10)))</f>
        <v/>
      </c>
      <c r="J19" s="47" t="str">
        <f>IF((COUNTA(Lançamentos!$B:$B)+3-10)&lt;5,"",INDEX(Lançamentos!$C:$C,(COUNTA(Lançamentos!$B:$B)+3-10)))</f>
        <v/>
      </c>
      <c r="K19" s="48" t="str">
        <f>IF((COUNTA(Lançamentos!$B:$B)+3-10)&lt;5,"",INDEX(Lançamentos!$D:$D,(COUNTA(Lançamentos!$B:$B)+3-10)))</f>
        <v/>
      </c>
      <c r="L19" s="49" t="str">
        <f>IF((COUNTA(Lançamentos!$B:$B)+3-10)&lt;5,"",INDEX(Lançamentos!$E:$E,(COUNTA(Lançamentos!$B:$B)+3-10)))</f>
        <v/>
      </c>
      <c r="M19" s="7"/>
    </row>
    <row r="20" spans="1:13" ht="24" customHeight="1" x14ac:dyDescent="0.25">
      <c r="A20" s="7"/>
      <c r="B20" s="41" t="s">
        <v>72</v>
      </c>
      <c r="C20" s="44"/>
      <c r="D20" s="7"/>
      <c r="E20" s="7"/>
      <c r="F20" s="7"/>
      <c r="G20" s="7"/>
      <c r="H20" s="45" t="str">
        <f>IF((COUNTA(Lançamentos!$B:$B)+3-11)&lt;5,"",INDEX(Lançamentos!$A:$A,(COUNTA(Lançamentos!$B:$B)+3-11)))</f>
        <v/>
      </c>
      <c r="I20" s="46" t="str">
        <f>IF((COUNTA(Lançamentos!$B:$B)+3-11)&lt;5,"",INDEX(Lançamentos!$B:$B,(COUNTA(Lançamentos!$B:$B)+3-11)))</f>
        <v/>
      </c>
      <c r="J20" s="47" t="str">
        <f>IF((COUNTA(Lançamentos!$B:$B)+3-11)&lt;5,"",INDEX(Lançamentos!$C:$C,(COUNTA(Lançamentos!$B:$B)+3-11)))</f>
        <v/>
      </c>
      <c r="K20" s="48" t="str">
        <f>IF((COUNTA(Lançamentos!$B:$B)+3-11)&lt;5,"",INDEX(Lançamentos!$D:$D,(COUNTA(Lançamentos!$B:$B)+3-11)))</f>
        <v/>
      </c>
      <c r="L20" s="49" t="str">
        <f>IF((COUNTA(Lançamentos!$B:$B)+3-11)&lt;5,"",INDEX(Lançamentos!$E:$E,(COUNTA(Lançamentos!$B:$B)+3-11)))</f>
        <v/>
      </c>
      <c r="M20" s="7"/>
    </row>
    <row r="21" spans="1:13" ht="18" customHeight="1" x14ac:dyDescent="0.25">
      <c r="A21" s="7"/>
      <c r="B21" s="128" t="s">
        <v>108</v>
      </c>
      <c r="C21" s="90"/>
      <c r="D21" s="7"/>
      <c r="E21" s="7"/>
      <c r="F21" s="7"/>
      <c r="G21" s="7"/>
      <c r="H21" s="45" t="str">
        <f>IF((COUNTA(Lançamentos!$B:$B)+3-12)&lt;5,"",INDEX(Lançamentos!$A:$A,(COUNTA(Lançamentos!$B:$B)+3-12)))</f>
        <v/>
      </c>
      <c r="I21" s="46" t="str">
        <f>IF((COUNTA(Lançamentos!$B:$B)+3-12)&lt;5,"",INDEX(Lançamentos!$B:$B,(COUNTA(Lançamentos!$B:$B)+3-12)))</f>
        <v/>
      </c>
      <c r="J21" s="47" t="str">
        <f>IF((COUNTA(Lançamentos!$B:$B)+3-12)&lt;5,"",INDEX(Lançamentos!$C:$C,(COUNTA(Lançamentos!$B:$B)+3-12)))</f>
        <v/>
      </c>
      <c r="K21" s="48" t="str">
        <f>IF((COUNTA(Lançamentos!$B:$B)+3-12)&lt;5,"",INDEX(Lançamentos!$D:$D,(COUNTA(Lançamentos!$B:$B)+3-12)))</f>
        <v/>
      </c>
      <c r="L21" s="49" t="str">
        <f>IF((COUNTA(Lançamentos!$B:$B)+3-12)&lt;5,"",INDEX(Lançamentos!$E:$E,(COUNTA(Lançamentos!$B:$B)+3-12)))</f>
        <v/>
      </c>
      <c r="M21" s="7"/>
    </row>
    <row r="22" spans="1:13" ht="21" customHeight="1" x14ac:dyDescent="0.25">
      <c r="A22" s="7"/>
      <c r="B22" s="41" t="s">
        <v>109</v>
      </c>
      <c r="C22" s="55" t="str">
        <f>IF(lc_qtd="","",lc_qtd*IF(lc_preco="",N(lc_cot),lc_preco)+N(lc_custos))</f>
        <v/>
      </c>
      <c r="D22" s="7"/>
      <c r="E22" s="7"/>
      <c r="F22" s="7"/>
      <c r="G22" s="7"/>
      <c r="H22" s="45" t="str">
        <f>IF((COUNTA(Lançamentos!$B:$B)+3-13)&lt;5,"",INDEX(Lançamentos!$A:$A,(COUNTA(Lançamentos!$B:$B)+3-13)))</f>
        <v/>
      </c>
      <c r="I22" s="46" t="str">
        <f>IF((COUNTA(Lançamentos!$B:$B)+3-13)&lt;5,"",INDEX(Lançamentos!$B:$B,(COUNTA(Lançamentos!$B:$B)+3-13)))</f>
        <v/>
      </c>
      <c r="J22" s="47" t="str">
        <f>IF((COUNTA(Lançamentos!$B:$B)+3-13)&lt;5,"",INDEX(Lançamentos!$C:$C,(COUNTA(Lançamentos!$B:$B)+3-13)))</f>
        <v/>
      </c>
      <c r="K22" s="48" t="str">
        <f>IF((COUNTA(Lançamentos!$B:$B)+3-13)&lt;5,"",INDEX(Lançamentos!$D:$D,(COUNTA(Lançamentos!$B:$B)+3-13)))</f>
        <v/>
      </c>
      <c r="L22" s="49" t="str">
        <f>IF((COUNTA(Lançamentos!$B:$B)+3-13)&lt;5,"",INDEX(Lançamentos!$E:$E,(COUNTA(Lançamentos!$B:$B)+3-13)))</f>
        <v/>
      </c>
      <c r="M22" s="7"/>
    </row>
    <row r="23" spans="1:13" ht="21" customHeight="1" x14ac:dyDescent="0.25">
      <c r="A23" s="7"/>
      <c r="B23" s="41" t="s">
        <v>110</v>
      </c>
      <c r="C23" s="53" t="str">
        <f>IF(lc_qtd="","",N(lc_tem)+IF(UPPER(lc_op)="VENDA",-1,1)*lc_qtd)</f>
        <v/>
      </c>
      <c r="D23" s="7"/>
      <c r="E23" s="7"/>
      <c r="F23" s="7"/>
      <c r="G23" s="7"/>
      <c r="H23" s="45" t="str">
        <f>IF((COUNTA(Lançamentos!$B:$B)+3-14)&lt;5,"",INDEX(Lançamentos!$A:$A,(COUNTA(Lançamentos!$B:$B)+3-14)))</f>
        <v/>
      </c>
      <c r="I23" s="46" t="str">
        <f>IF((COUNTA(Lançamentos!$B:$B)+3-14)&lt;5,"",INDEX(Lançamentos!$B:$B,(COUNTA(Lançamentos!$B:$B)+3-14)))</f>
        <v/>
      </c>
      <c r="J23" s="47" t="str">
        <f>IF((COUNTA(Lançamentos!$B:$B)+3-14)&lt;5,"",INDEX(Lançamentos!$C:$C,(COUNTA(Lançamentos!$B:$B)+3-14)))</f>
        <v/>
      </c>
      <c r="K23" s="48" t="str">
        <f>IF((COUNTA(Lançamentos!$B:$B)+3-14)&lt;5,"",INDEX(Lançamentos!$D:$D,(COUNTA(Lançamentos!$B:$B)+3-14)))</f>
        <v/>
      </c>
      <c r="L23" s="49" t="str">
        <f>IF((COUNTA(Lançamentos!$B:$B)+3-14)&lt;5,"",INDEX(Lançamentos!$E:$E,(COUNTA(Lançamentos!$B:$B)+3-14)))</f>
        <v/>
      </c>
      <c r="M23" s="7"/>
    </row>
    <row r="24" spans="1:13" ht="30" customHeight="1" x14ac:dyDescent="0.25">
      <c r="A24" s="7"/>
      <c r="B24" s="129"/>
      <c r="C24" s="85"/>
      <c r="D24" s="7"/>
      <c r="E24" s="7"/>
      <c r="F24" s="7"/>
      <c r="G24" s="7"/>
      <c r="H24" s="40" t="s">
        <v>111</v>
      </c>
      <c r="I24" s="7"/>
      <c r="J24" s="7"/>
      <c r="K24" s="7"/>
      <c r="L24" s="7"/>
      <c r="M24" s="7"/>
    </row>
    <row r="25" spans="1:13" ht="1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32.1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</sheetData>
  <mergeCells count="9">
    <mergeCell ref="B21:C21"/>
    <mergeCell ref="B24:C24"/>
    <mergeCell ref="E16:F16"/>
    <mergeCell ref="B7:C7"/>
    <mergeCell ref="H7:L7"/>
    <mergeCell ref="E7:F7"/>
    <mergeCell ref="B14:C14"/>
    <mergeCell ref="E13:F13"/>
    <mergeCell ref="B18:C18"/>
  </mergeCells>
  <dataValidations count="3">
    <dataValidation type="list" allowBlank="1" sqref="C10" xr:uid="{00000000-0002-0000-0300-000001000000}">
      <formula1>"COMPRA,VENDA"</formula1>
    </dataValidation>
    <dataValidation type="list" allowBlank="1" sqref="C19" xr:uid="{00000000-0002-0000-0300-000002000000}">
      <formula1>"AÇÃO,FII"</formula1>
    </dataValidation>
    <dataValidation type="list" allowBlank="1" sqref="F10" xr:uid="{00000000-0002-0000-0300-000004000000}">
      <formula1>"DIVIDENDO,JCP,RENDIMENTO,AMORTIZAÇÃO"</formula1>
    </dataValidation>
  </dataValidation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300-000000000000}">
          <x14:formula1>
            <xm:f>Ativos!$A$5:$A$20</xm:f>
          </x14:formula1>
          <xm:sqref>C9 F9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64748B"/>
    <pageSetUpPr fitToPage="1"/>
  </sheetPr>
  <dimension ref="A1:AN25"/>
  <sheetViews>
    <sheetView showGridLines="0" workbookViewId="0">
      <pane xSplit="1" ySplit="4" topLeftCell="B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11" customWidth="1"/>
    <col min="2" max="2" width="8" customWidth="1"/>
    <col min="3" max="3" width="26" customWidth="1"/>
    <col min="4" max="4" width="14" customWidth="1"/>
    <col min="5" max="5" width="16" customWidth="1"/>
    <col min="6" max="6" width="11" customWidth="1"/>
    <col min="7" max="8" width="14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112</v>
      </c>
      <c r="B2" s="11"/>
      <c r="C2" s="11"/>
      <c r="D2" s="11"/>
      <c r="E2" s="11"/>
      <c r="F2" s="11"/>
      <c r="G2" s="11"/>
    </row>
    <row r="3" spans="1:40" ht="15.95" customHeight="1" x14ac:dyDescent="0.25">
      <c r="A3" s="12" t="s">
        <v>113</v>
      </c>
    </row>
    <row r="4" spans="1:40" ht="32.1" customHeight="1" x14ac:dyDescent="0.25">
      <c r="A4" s="13" t="s">
        <v>47</v>
      </c>
      <c r="B4" s="13" t="s">
        <v>48</v>
      </c>
      <c r="C4" s="13" t="s">
        <v>72</v>
      </c>
      <c r="D4" s="13" t="s">
        <v>52</v>
      </c>
      <c r="E4" s="13" t="s">
        <v>64</v>
      </c>
      <c r="F4" s="13" t="s">
        <v>39</v>
      </c>
      <c r="G4" s="13" t="s">
        <v>114</v>
      </c>
    </row>
    <row r="5" spans="1:40" x14ac:dyDescent="0.25">
      <c r="A5" s="57" t="s">
        <v>115</v>
      </c>
      <c r="B5" s="57" t="s">
        <v>116</v>
      </c>
      <c r="C5" s="57" t="s">
        <v>117</v>
      </c>
      <c r="D5" s="58">
        <v>70.77</v>
      </c>
      <c r="E5" s="58">
        <v>5.6124999999999998</v>
      </c>
      <c r="F5" s="59">
        <v>0.1</v>
      </c>
      <c r="G5" s="60" t="s">
        <v>118</v>
      </c>
    </row>
    <row r="6" spans="1:40" x14ac:dyDescent="0.25">
      <c r="A6" s="57" t="s">
        <v>119</v>
      </c>
      <c r="B6" s="57" t="s">
        <v>116</v>
      </c>
      <c r="C6" s="57" t="s">
        <v>120</v>
      </c>
      <c r="D6" s="58">
        <v>40.79</v>
      </c>
      <c r="E6" s="58">
        <v>3.0065</v>
      </c>
      <c r="F6" s="59">
        <v>0.05</v>
      </c>
      <c r="G6" s="60" t="s">
        <v>118</v>
      </c>
    </row>
    <row r="7" spans="1:40" x14ac:dyDescent="0.25">
      <c r="A7" s="57" t="s">
        <v>121</v>
      </c>
      <c r="B7" s="57" t="s">
        <v>116</v>
      </c>
      <c r="C7" s="57" t="s">
        <v>122</v>
      </c>
      <c r="D7" s="58">
        <v>48.07</v>
      </c>
      <c r="E7" s="58">
        <v>3.6642999999999999</v>
      </c>
      <c r="F7" s="59">
        <v>7.0000000000000007E-2</v>
      </c>
      <c r="G7" s="60" t="s">
        <v>118</v>
      </c>
    </row>
    <row r="8" spans="1:40" x14ac:dyDescent="0.25">
      <c r="A8" s="57" t="s">
        <v>123</v>
      </c>
      <c r="B8" s="57" t="s">
        <v>116</v>
      </c>
      <c r="C8" s="57" t="s">
        <v>124</v>
      </c>
      <c r="D8" s="58">
        <v>21.59</v>
      </c>
      <c r="E8" s="58">
        <v>0.65500000000000003</v>
      </c>
      <c r="F8" s="59">
        <v>0.06</v>
      </c>
      <c r="G8" s="60" t="s">
        <v>118</v>
      </c>
    </row>
    <row r="9" spans="1:40" x14ac:dyDescent="0.25">
      <c r="A9" s="57" t="s">
        <v>125</v>
      </c>
      <c r="B9" s="57" t="s">
        <v>116</v>
      </c>
      <c r="C9" s="57" t="s">
        <v>126</v>
      </c>
      <c r="D9" s="58">
        <v>14.83</v>
      </c>
      <c r="E9" s="58">
        <v>1.38</v>
      </c>
      <c r="F9" s="59">
        <v>0.05</v>
      </c>
      <c r="G9" s="60" t="s">
        <v>118</v>
      </c>
    </row>
    <row r="10" spans="1:40" x14ac:dyDescent="0.25">
      <c r="A10" s="57" t="s">
        <v>127</v>
      </c>
      <c r="B10" s="57" t="s">
        <v>116</v>
      </c>
      <c r="C10" s="57" t="s">
        <v>124</v>
      </c>
      <c r="D10" s="58">
        <v>17.88</v>
      </c>
      <c r="E10" s="58">
        <v>1.5528</v>
      </c>
      <c r="F10" s="59">
        <v>0.05</v>
      </c>
      <c r="G10" s="60" t="s">
        <v>118</v>
      </c>
    </row>
    <row r="11" spans="1:40" x14ac:dyDescent="0.25">
      <c r="A11" s="57" t="s">
        <v>128</v>
      </c>
      <c r="B11" s="57" t="s">
        <v>116</v>
      </c>
      <c r="C11" s="57" t="s">
        <v>129</v>
      </c>
      <c r="D11" s="58">
        <v>13.99</v>
      </c>
      <c r="E11" s="58">
        <v>1.1277999999999999</v>
      </c>
      <c r="F11" s="59">
        <v>0.1</v>
      </c>
      <c r="G11" s="60" t="s">
        <v>118</v>
      </c>
    </row>
    <row r="12" spans="1:40" x14ac:dyDescent="0.25">
      <c r="A12" s="57" t="s">
        <v>130</v>
      </c>
      <c r="B12" s="57" t="s">
        <v>116</v>
      </c>
      <c r="C12" s="57" t="s">
        <v>131</v>
      </c>
      <c r="D12" s="58">
        <v>10.89</v>
      </c>
      <c r="E12" s="58">
        <v>1.3507</v>
      </c>
      <c r="F12" s="59">
        <v>0.1</v>
      </c>
      <c r="G12" s="60" t="s">
        <v>118</v>
      </c>
    </row>
    <row r="13" spans="1:40" x14ac:dyDescent="0.25">
      <c r="A13" s="57" t="s">
        <v>132</v>
      </c>
      <c r="B13" s="57" t="s">
        <v>116</v>
      </c>
      <c r="C13" s="57" t="s">
        <v>133</v>
      </c>
      <c r="D13" s="58">
        <v>5.07</v>
      </c>
      <c r="E13" s="58">
        <v>0.68200000000000005</v>
      </c>
      <c r="F13" s="59">
        <v>0.05</v>
      </c>
      <c r="G13" s="60" t="s">
        <v>118</v>
      </c>
    </row>
    <row r="14" spans="1:40" x14ac:dyDescent="0.25">
      <c r="A14" s="57" t="s">
        <v>134</v>
      </c>
      <c r="B14" s="57" t="s">
        <v>116</v>
      </c>
      <c r="C14" s="57" t="s">
        <v>135</v>
      </c>
      <c r="D14" s="58">
        <v>18.149999999999999</v>
      </c>
      <c r="E14" s="58">
        <v>1.1611</v>
      </c>
      <c r="F14" s="59">
        <v>7.0000000000000007E-2</v>
      </c>
      <c r="G14" s="60" t="s">
        <v>118</v>
      </c>
    </row>
    <row r="15" spans="1:40" x14ac:dyDescent="0.25">
      <c r="A15" s="57" t="s">
        <v>136</v>
      </c>
      <c r="B15" s="57" t="s">
        <v>137</v>
      </c>
      <c r="C15" s="57" t="s">
        <v>138</v>
      </c>
      <c r="D15" s="58">
        <v>9.1</v>
      </c>
      <c r="E15" s="58">
        <v>1.1942999999999999</v>
      </c>
      <c r="F15" s="59">
        <v>0.05</v>
      </c>
      <c r="G15" s="60" t="s">
        <v>118</v>
      </c>
    </row>
    <row r="16" spans="1:40" x14ac:dyDescent="0.25">
      <c r="A16" s="57" t="s">
        <v>139</v>
      </c>
      <c r="B16" s="57" t="s">
        <v>137</v>
      </c>
      <c r="C16" s="57" t="s">
        <v>140</v>
      </c>
      <c r="D16" s="58">
        <v>41.16</v>
      </c>
      <c r="E16" s="58">
        <v>4.92</v>
      </c>
      <c r="F16" s="59">
        <v>0.04</v>
      </c>
      <c r="G16" s="60" t="s">
        <v>118</v>
      </c>
    </row>
    <row r="17" spans="1:7" x14ac:dyDescent="0.25">
      <c r="A17" s="57" t="s">
        <v>141</v>
      </c>
      <c r="B17" s="57" t="s">
        <v>137</v>
      </c>
      <c r="C17" s="57" t="s">
        <v>142</v>
      </c>
      <c r="D17" s="58">
        <v>92.39</v>
      </c>
      <c r="E17" s="58">
        <v>9.84</v>
      </c>
      <c r="F17" s="59">
        <v>0.06</v>
      </c>
      <c r="G17" s="60" t="s">
        <v>118</v>
      </c>
    </row>
    <row r="18" spans="1:7" x14ac:dyDescent="0.25">
      <c r="A18" s="57" t="s">
        <v>143</v>
      </c>
      <c r="B18" s="57" t="s">
        <v>137</v>
      </c>
      <c r="C18" s="57" t="s">
        <v>144</v>
      </c>
      <c r="D18" s="58">
        <v>98.68</v>
      </c>
      <c r="E18" s="58">
        <v>11.0694</v>
      </c>
      <c r="F18" s="59">
        <v>0.05</v>
      </c>
      <c r="G18" s="60" t="s">
        <v>118</v>
      </c>
    </row>
    <row r="19" spans="1:7" x14ac:dyDescent="0.25">
      <c r="A19" s="57" t="s">
        <v>145</v>
      </c>
      <c r="B19" s="57" t="s">
        <v>137</v>
      </c>
      <c r="C19" s="57" t="s">
        <v>146</v>
      </c>
      <c r="D19" s="58">
        <v>9.82</v>
      </c>
      <c r="E19" s="58">
        <v>1.58</v>
      </c>
      <c r="F19" s="59">
        <v>0.06</v>
      </c>
      <c r="G19" s="60" t="s">
        <v>118</v>
      </c>
    </row>
    <row r="20" spans="1:7" x14ac:dyDescent="0.25">
      <c r="A20" s="57" t="s">
        <v>147</v>
      </c>
      <c r="B20" s="57" t="s">
        <v>137</v>
      </c>
      <c r="C20" s="57" t="s">
        <v>148</v>
      </c>
      <c r="D20" s="58">
        <v>7.45</v>
      </c>
      <c r="E20" s="58">
        <v>1.08</v>
      </c>
      <c r="F20" s="59">
        <v>0.04</v>
      </c>
      <c r="G20" s="60" t="s">
        <v>118</v>
      </c>
    </row>
    <row r="21" spans="1:7" x14ac:dyDescent="0.25">
      <c r="A21" s="32" t="s">
        <v>44</v>
      </c>
      <c r="B21" s="32"/>
      <c r="C21" s="32"/>
      <c r="D21" s="32"/>
      <c r="E21" s="32"/>
      <c r="F21" s="34">
        <f>SUM(F5:F20)</f>
        <v>1.0000000000000002</v>
      </c>
      <c r="G21" s="32"/>
    </row>
    <row r="23" spans="1:7" x14ac:dyDescent="0.25">
      <c r="A23" s="37" t="s">
        <v>149</v>
      </c>
    </row>
    <row r="24" spans="1:7" x14ac:dyDescent="0.25">
      <c r="A24" s="38" t="s">
        <v>150</v>
      </c>
    </row>
    <row r="25" spans="1:7" x14ac:dyDescent="0.25">
      <c r="A25" s="38" t="s">
        <v>151</v>
      </c>
    </row>
  </sheetData>
  <pageMargins left="0.75" right="0.75" top="1" bottom="1" header="0.5" footer="0.5"/>
  <pageSetup fitToHeight="0" orientation="landscape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2" customWidth="1"/>
    <col min="2" max="2" width="10" customWidth="1"/>
    <col min="3" max="3" width="11" customWidth="1"/>
    <col min="4" max="5" width="12" customWidth="1"/>
    <col min="6" max="6" width="11" customWidth="1"/>
    <col min="7" max="7" width="15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152</v>
      </c>
      <c r="B2" s="11"/>
      <c r="C2" s="11"/>
      <c r="D2" s="11"/>
      <c r="E2" s="11"/>
      <c r="F2" s="11"/>
      <c r="G2" s="11"/>
    </row>
    <row r="3" spans="1:40" ht="15.95" customHeight="1" x14ac:dyDescent="0.25">
      <c r="A3" s="12" t="s">
        <v>153</v>
      </c>
    </row>
    <row r="4" spans="1:40" ht="32.1" customHeight="1" x14ac:dyDescent="0.25">
      <c r="A4" s="13" t="s">
        <v>89</v>
      </c>
      <c r="B4" s="13" t="s">
        <v>47</v>
      </c>
      <c r="C4" s="13" t="s">
        <v>90</v>
      </c>
      <c r="D4" s="13" t="s">
        <v>154</v>
      </c>
      <c r="E4" s="13" t="s">
        <v>92</v>
      </c>
      <c r="F4" s="13" t="s">
        <v>155</v>
      </c>
      <c r="G4" s="13" t="s">
        <v>156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64748B"/>
    <pageSetUpPr fitToPage="1"/>
  </sheetPr>
  <dimension ref="A1:AN4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5" customWidth="1"/>
    <col min="2" max="2" width="10" customWidth="1"/>
    <col min="3" max="3" width="14" customWidth="1"/>
    <col min="4" max="4" width="16" customWidth="1"/>
    <col min="5" max="5" width="13" customWidth="1"/>
    <col min="6" max="6" width="15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157</v>
      </c>
      <c r="B2" s="11"/>
      <c r="C2" s="11"/>
      <c r="D2" s="11"/>
      <c r="E2" s="11"/>
      <c r="F2" s="11"/>
    </row>
    <row r="3" spans="1:40" ht="15.95" customHeight="1" x14ac:dyDescent="0.25">
      <c r="A3" s="12" t="s">
        <v>158</v>
      </c>
    </row>
    <row r="4" spans="1:40" ht="32.1" customHeight="1" x14ac:dyDescent="0.25">
      <c r="A4" s="13" t="s">
        <v>159</v>
      </c>
      <c r="B4" s="13" t="s">
        <v>47</v>
      </c>
      <c r="C4" s="13" t="s">
        <v>48</v>
      </c>
      <c r="D4" s="13" t="s">
        <v>96</v>
      </c>
      <c r="E4" s="13" t="s">
        <v>160</v>
      </c>
      <c r="F4" s="13" t="s">
        <v>156</v>
      </c>
    </row>
  </sheetData>
  <pageMargins left="0.75" right="0.75" top="1" bottom="1" header="0.5" footer="0.5"/>
  <pageSetup fitToHeight="0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64748B"/>
    <pageSetUpPr fitToPage="1"/>
  </sheetPr>
  <dimension ref="A1:AN13"/>
  <sheetViews>
    <sheetView showGridLines="0" workbookViewId="0"/>
  </sheetViews>
  <sheetFormatPr defaultRowHeight="15" x14ac:dyDescent="0.25"/>
  <cols>
    <col min="1" max="1" width="30" customWidth="1"/>
    <col min="2" max="2" width="16" customWidth="1"/>
    <col min="3" max="3" width="44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161</v>
      </c>
      <c r="B2" s="11"/>
      <c r="C2" s="11"/>
    </row>
    <row r="3" spans="1:40" ht="15.95" customHeight="1" x14ac:dyDescent="0.25">
      <c r="A3" s="12" t="s">
        <v>162</v>
      </c>
    </row>
    <row r="4" spans="1:40" ht="32.1" customHeight="1" x14ac:dyDescent="0.25">
      <c r="A4" s="13" t="s">
        <v>163</v>
      </c>
      <c r="B4" s="13" t="s">
        <v>164</v>
      </c>
      <c r="C4" s="13" t="s">
        <v>165</v>
      </c>
    </row>
    <row r="5" spans="1:40" x14ac:dyDescent="0.25">
      <c r="A5" s="61" t="s">
        <v>166</v>
      </c>
      <c r="B5" s="62">
        <v>1000</v>
      </c>
      <c r="C5" s="60" t="s">
        <v>167</v>
      </c>
    </row>
    <row r="6" spans="1:40" x14ac:dyDescent="0.25">
      <c r="A6" s="61" t="s">
        <v>168</v>
      </c>
      <c r="B6" s="62">
        <v>3000</v>
      </c>
      <c r="C6" s="60" t="s">
        <v>169</v>
      </c>
    </row>
    <row r="7" spans="1:40" x14ac:dyDescent="0.25">
      <c r="A7" s="61" t="s">
        <v>170</v>
      </c>
      <c r="B7" s="59">
        <v>0.32</v>
      </c>
      <c r="C7" s="60" t="s">
        <v>171</v>
      </c>
    </row>
    <row r="10" spans="1:40" ht="32.1" customHeight="1" x14ac:dyDescent="0.25">
      <c r="A10" s="13" t="s">
        <v>172</v>
      </c>
      <c r="B10" s="13" t="s">
        <v>37</v>
      </c>
      <c r="C10" s="13" t="s">
        <v>173</v>
      </c>
    </row>
    <row r="11" spans="1:40" x14ac:dyDescent="0.25">
      <c r="A11" s="61" t="s">
        <v>174</v>
      </c>
      <c r="B11" s="62">
        <v>1000</v>
      </c>
      <c r="C11" s="59">
        <v>0.5</v>
      </c>
    </row>
    <row r="12" spans="1:40" x14ac:dyDescent="0.25">
      <c r="A12" s="61" t="s">
        <v>175</v>
      </c>
      <c r="B12" s="62">
        <v>0</v>
      </c>
      <c r="C12" s="59">
        <v>0.15</v>
      </c>
    </row>
    <row r="13" spans="1:40" x14ac:dyDescent="0.25">
      <c r="A13" s="61" t="s">
        <v>176</v>
      </c>
      <c r="B13" s="62">
        <v>0</v>
      </c>
      <c r="C13" s="59">
        <v>0.03</v>
      </c>
    </row>
  </sheetData>
  <pageMargins left="0.75" right="0.75" top="1" bottom="1" header="0.5" footer="0.5"/>
  <pageSetup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DC2626"/>
    <pageSetUpPr fitToPage="1"/>
  </sheetPr>
  <dimension ref="A1:AN5"/>
  <sheetViews>
    <sheetView showGridLines="0" workbookViewId="0"/>
  </sheetViews>
  <sheetFormatPr defaultRowHeight="15" x14ac:dyDescent="0.25"/>
  <cols>
    <col min="1" max="1" width="11" customWidth="1"/>
    <col min="2" max="2" width="24" customWidth="1"/>
    <col min="3" max="3" width="100" customWidth="1"/>
  </cols>
  <sheetData>
    <row r="1" spans="1:40" ht="30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33.950000000000003" customHeight="1" x14ac:dyDescent="0.25">
      <c r="A2" s="10" t="s">
        <v>177</v>
      </c>
      <c r="B2" s="11"/>
      <c r="C2" s="11"/>
    </row>
    <row r="3" spans="1:40" ht="15.95" customHeight="1" x14ac:dyDescent="0.25">
      <c r="A3" s="12" t="s">
        <v>178</v>
      </c>
    </row>
    <row r="4" spans="1:40" ht="32.1" customHeight="1" x14ac:dyDescent="0.25">
      <c r="A4" s="13" t="s">
        <v>179</v>
      </c>
      <c r="B4" s="13" t="s">
        <v>103</v>
      </c>
      <c r="C4" s="13" t="s">
        <v>180</v>
      </c>
    </row>
    <row r="5" spans="1:40" x14ac:dyDescent="0.25">
      <c r="A5" s="37" t="s">
        <v>181</v>
      </c>
    </row>
  </sheetData>
  <pageMargins left="0.75" right="0.75" top="1" bottom="1" header="0.5" footer="0.5"/>
  <pageSetup scale="89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64748B"/>
  </sheetPr>
  <dimension ref="A1:AJ20"/>
  <sheetViews>
    <sheetView workbookViewId="0"/>
  </sheetViews>
  <sheetFormatPr defaultRowHeight="15" x14ac:dyDescent="0.25"/>
  <sheetData>
    <row r="1" spans="1:36" x14ac:dyDescent="0.25">
      <c r="A1" t="s">
        <v>182</v>
      </c>
      <c r="B1" t="s">
        <v>183</v>
      </c>
    </row>
    <row r="2" spans="1:36" x14ac:dyDescent="0.25">
      <c r="A2" s="63">
        <f ca="1">DATE(YEAR(TODAY()),MONTH(TODAY())-11,1)</f>
        <v>45931</v>
      </c>
      <c r="B2" s="64">
        <f ca="1">SUMIFS(Proventos!$F:$F,Proventos!$A:$A,"&gt;="&amp;A2,Proventos!$A:$A,"&lt;"&amp;DATE(YEAR(A2),MONTH(A2)+1,1))</f>
        <v>0</v>
      </c>
    </row>
    <row r="3" spans="1:36" x14ac:dyDescent="0.25">
      <c r="A3" s="63">
        <f ca="1">DATE(YEAR(TODAY()),MONTH(TODAY())-10,1)</f>
        <v>45962</v>
      </c>
      <c r="B3" s="64">
        <f ca="1">SUMIFS(Proventos!$F:$F,Proventos!$A:$A,"&gt;="&amp;A3,Proventos!$A:$A,"&lt;"&amp;DATE(YEAR(A3),MONTH(A3)+1,1))</f>
        <v>0</v>
      </c>
    </row>
    <row r="4" spans="1:36" x14ac:dyDescent="0.25">
      <c r="A4" s="63">
        <f ca="1">DATE(YEAR(TODAY()),MONTH(TODAY())-9,1)</f>
        <v>45992</v>
      </c>
      <c r="B4" s="64">
        <f ca="1">SUMIFS(Proventos!$F:$F,Proventos!$A:$A,"&gt;="&amp;A4,Proventos!$A:$A,"&lt;"&amp;DATE(YEAR(A4),MONTH(A4)+1,1))</f>
        <v>0</v>
      </c>
      <c r="D4" t="s">
        <v>47</v>
      </c>
      <c r="G4" t="s">
        <v>47</v>
      </c>
      <c r="H4" t="s">
        <v>184</v>
      </c>
      <c r="K4" t="s">
        <v>47</v>
      </c>
      <c r="L4" t="s">
        <v>55</v>
      </c>
      <c r="M4" t="s">
        <v>185</v>
      </c>
      <c r="P4" t="s">
        <v>47</v>
      </c>
      <c r="Q4" t="s">
        <v>55</v>
      </c>
      <c r="R4" t="s">
        <v>185</v>
      </c>
      <c r="U4" t="s">
        <v>47</v>
      </c>
      <c r="V4" t="s">
        <v>186</v>
      </c>
      <c r="Y4" t="s">
        <v>47</v>
      </c>
      <c r="Z4" t="s">
        <v>67</v>
      </c>
      <c r="AC4" t="s">
        <v>47</v>
      </c>
      <c r="AD4" t="s">
        <v>187</v>
      </c>
      <c r="AG4" t="s">
        <v>47</v>
      </c>
      <c r="AH4" t="s">
        <v>183</v>
      </c>
      <c r="AJ4" t="s">
        <v>188</v>
      </c>
    </row>
    <row r="5" spans="1:36" x14ac:dyDescent="0.25">
      <c r="A5" s="63">
        <f ca="1">DATE(YEAR(TODAY()),MONTH(TODAY())-8,1)</f>
        <v>46023</v>
      </c>
      <c r="B5" s="64">
        <f ca="1">SUMIFS(Proventos!$F:$F,Proventos!$A:$A,"&gt;="&amp;A5,Proventos!$A:$A,"&lt;"&amp;DATE(YEAR(A5),MONTH(A5)+1,1))</f>
        <v>0</v>
      </c>
      <c r="D5" t="str">
        <f>Carteira!A5</f>
        <v>VALE3</v>
      </c>
      <c r="F5">
        <f ca="1">IF(OR(Carteira!C5&gt;0,AND(SUM(Carteira!$C$5:$C$20)=0,Carteira!A5&lt;&gt;"")),N(Carteira!G5)+ROW()/1000000000,"")</f>
        <v>5.0000000000000001E-9</v>
      </c>
      <c r="G5" t="str">
        <f ca="1">IFERROR(INDEX($D$5:$D$20,MATCH(LARGE($F$5:$F$20,1),$F$5:$F$20,0)),"")</f>
        <v>CPTS11</v>
      </c>
      <c r="H5" s="65">
        <f ca="1">IFERROR(INDEX(Carteira!$G$5:$G$20,MATCH(G5,Carteira!$A$5:$A$20,0)),"")</f>
        <v>0</v>
      </c>
      <c r="J5">
        <f ca="1">IF(OR(Carteira!C5&gt;0,AND(SUM(Carteira!$C$5:$C$20)=0,Carteira!A5&lt;&gt;"")),N(Carteira!I5)+ROW()/1000000000,"")</f>
        <v>5.0000000000000001E-9</v>
      </c>
      <c r="K5" t="str">
        <f ca="1">IFERROR(INDEX($D$5:$D$20,MATCH(LARGE($J$5:$J$20,1),$J$5:$J$20,0)),"")</f>
        <v>CPTS11</v>
      </c>
      <c r="L5" s="66">
        <f ca="1">IFERROR(INDEX(Carteira!$I$5:$I$20,MATCH(K5,Carteira!$A$5:$A$20,0)),"")</f>
        <v>0</v>
      </c>
      <c r="M5" s="65">
        <f ca="1">IFERROR(INDEX(Carteira!$H$5:$H$20,MATCH(K5,Carteira!$A$5:$A$20,0)),"")</f>
        <v>0</v>
      </c>
      <c r="O5">
        <f ca="1">IF(OR(Carteira!C5&gt;0,AND(SUM(Carteira!$C$5:$C$20)=0,Carteira!A5&lt;&gt;"")),N(Carteira!I5)+ROW()/1000000000,"")</f>
        <v>5.0000000000000001E-9</v>
      </c>
      <c r="P5" t="str">
        <f ca="1">IFERROR(INDEX($D$5:$D$20,MATCH(SMALL($O$5:$O$20,1),$O$5:$O$20,0)),"")</f>
        <v>VALE3</v>
      </c>
      <c r="Q5" s="66">
        <f ca="1">IFERROR(INDEX(Carteira!$I$5:$I$20,MATCH(P5,Carteira!$A$5:$A$20,0)),"")</f>
        <v>0</v>
      </c>
      <c r="R5" s="65">
        <f ca="1">IFERROR(INDEX(Carteira!$H$5:$H$20,MATCH(P5,Carteira!$A$5:$A$20,0)),"")</f>
        <v>0</v>
      </c>
      <c r="T5">
        <f ca="1">IF(OR(Carteira!C5&gt;0,AND(SUM(Carteira!$C$5:$C$20)=0,Carteira!A5&lt;&gt;"")),N(Carteira!H5)+ROW()/1000000000,"")</f>
        <v>5.0000000000000001E-9</v>
      </c>
      <c r="U5" t="str">
        <f ca="1">IFERROR(INDEX($D$5:$D$20,MATCH(LARGE($T$5:$T$20,1),$T$5:$T$20,0)),"")</f>
        <v>CPTS11</v>
      </c>
      <c r="V5" s="64">
        <f ca="1">IFERROR(INDEX(Carteira!$H$5:$H$20,MATCH(U5,Carteira!$A$5:$A$20,0)),"")</f>
        <v>0</v>
      </c>
      <c r="X5">
        <f ca="1">IF(OR(Carteira!C5&gt;0,AND(SUM(Carteira!$C$5:$C$20)=0,Carteira!A5&lt;&gt;"")),N(Carteira!W5)+ROW()/1000000000,"")</f>
        <v>5.0000000000000001E-9</v>
      </c>
      <c r="Y5" t="str">
        <f ca="1">IFERROR(INDEX($D$5:$D$20,MATCH(LARGE($X$5:$X$20,1),$X$5:$X$20,0)),"")</f>
        <v>CPTS11</v>
      </c>
      <c r="Z5" s="67">
        <f ca="1">IFERROR(INDEX(Carteira!$W$5:$W$20,MATCH(Y5,Carteira!$A$5:$A$20,0)),"")</f>
        <v>0</v>
      </c>
      <c r="AB5">
        <f ca="1">IF(OR(Carteira!C5&gt;0,AND(SUM(Carteira!$C$5:$C$20)=0,Carteira!A5&lt;&gt;"")),N(Carteira!Z5)+ROW()/1000000000,"")</f>
        <v>151377.030000005</v>
      </c>
      <c r="AC5" t="str">
        <f ca="1">IFERROR(INDEX($D$5:$D$20,MATCH(LARGE($AB$5:$AB$20,1),$AB$5:$AB$20,0)),"")</f>
        <v>BBAS3</v>
      </c>
      <c r="AD5" s="64">
        <f ca="1">IFERROR(INDEX(Carteira!$Z$5:$Z$20,MATCH(AC5,Carteira!$A$5:$A$20,0)),"")</f>
        <v>395550.39</v>
      </c>
      <c r="AF5">
        <f ca="1">IF(OR(Carteira!C5&gt;0,AND(SUM(Carteira!$C$5:$C$20)=0,Carteira!A5&lt;&gt;"")),N(Carteira!J5)+ROW()/1000000000,"")</f>
        <v>5.0000000000000001E-9</v>
      </c>
      <c r="AG5" t="str">
        <f ca="1">IFERROR(INDEX($D$5:$D$20,MATCH(LARGE($AF$5:$AF$20,1),$AF$5:$AF$20,0)),"")</f>
        <v>CPTS11</v>
      </c>
      <c r="AH5" s="64">
        <f ca="1">IFERROR(INDEX(Carteira!$J$5:$J$20,MATCH(AG5,Carteira!$A$5:$A$20,0)),"")</f>
        <v>0</v>
      </c>
      <c r="AJ5" s="66">
        <f ca="1">IF(ISNUMBER(H5),IF(Carteira!$G$21&gt;0,H5/Carteira!$G$21,0),"")</f>
        <v>0</v>
      </c>
    </row>
    <row r="6" spans="1:36" x14ac:dyDescent="0.25">
      <c r="A6" s="63">
        <f ca="1">DATE(YEAR(TODAY()),MONTH(TODAY())-7,1)</f>
        <v>46054</v>
      </c>
      <c r="B6" s="64">
        <f ca="1">SUMIFS(Proventos!$F:$F,Proventos!$A:$A,"&gt;="&amp;A6,Proventos!$A:$A,"&lt;"&amp;DATE(YEAR(A6),MONTH(A6)+1,1))</f>
        <v>0</v>
      </c>
      <c r="D6" t="str">
        <f>Carteira!A6</f>
        <v>TAEE11</v>
      </c>
      <c r="F6">
        <f ca="1">IF(OR(Carteira!C6&gt;0,AND(SUM(Carteira!$C$5:$C$20)=0,Carteira!A6&lt;&gt;"")),N(Carteira!G6)+ROW()/1000000000,"")</f>
        <v>6E-9</v>
      </c>
      <c r="G6" t="str">
        <f ca="1">IFERROR(INDEX($D$5:$D$20,MATCH(LARGE($F$5:$F$20,2),$F$5:$F$20,0)),"")</f>
        <v>SNAG11</v>
      </c>
      <c r="H6" s="65">
        <f ca="1">IFERROR(INDEX(Carteira!$G$5:$G$20,MATCH(G6,Carteira!$A$5:$A$20,0)),"")</f>
        <v>0</v>
      </c>
      <c r="J6">
        <f ca="1">IF(OR(Carteira!C6&gt;0,AND(SUM(Carteira!$C$5:$C$20)=0,Carteira!A6&lt;&gt;"")),N(Carteira!I6)+ROW()/1000000000,"")</f>
        <v>6E-9</v>
      </c>
      <c r="K6" t="str">
        <f ca="1">IFERROR(INDEX($D$5:$D$20,MATCH(LARGE($J$5:$J$20,2),$J$5:$J$20,0)),"")</f>
        <v>SNAG11</v>
      </c>
      <c r="L6" s="66">
        <f ca="1">IFERROR(INDEX(Carteira!$I$5:$I$20,MATCH(K6,Carteira!$A$5:$A$20,0)),"")</f>
        <v>0</v>
      </c>
      <c r="M6" s="65">
        <f ca="1">IFERROR(INDEX(Carteira!$H$5:$H$20,MATCH(K6,Carteira!$A$5:$A$20,0)),"")</f>
        <v>0</v>
      </c>
      <c r="O6">
        <f ca="1">IF(OR(Carteira!C6&gt;0,AND(SUM(Carteira!$C$5:$C$20)=0,Carteira!A6&lt;&gt;"")),N(Carteira!I6)+ROW()/1000000000,"")</f>
        <v>6E-9</v>
      </c>
      <c r="P6" t="str">
        <f ca="1">IFERROR(INDEX($D$5:$D$20,MATCH(SMALL($O$5:$O$20,2),$O$5:$O$20,0)),"")</f>
        <v>TAEE11</v>
      </c>
      <c r="Q6" s="66">
        <f ca="1">IFERROR(INDEX(Carteira!$I$5:$I$20,MATCH(P6,Carteira!$A$5:$A$20,0)),"")</f>
        <v>0</v>
      </c>
      <c r="R6" s="65">
        <f ca="1">IFERROR(INDEX(Carteira!$H$5:$H$20,MATCH(P6,Carteira!$A$5:$A$20,0)),"")</f>
        <v>0</v>
      </c>
      <c r="T6">
        <f ca="1">IF(OR(Carteira!C6&gt;0,AND(SUM(Carteira!$C$5:$C$20)=0,Carteira!A6&lt;&gt;"")),N(Carteira!H6)+ROW()/1000000000,"")</f>
        <v>6E-9</v>
      </c>
      <c r="U6" t="str">
        <f ca="1">IFERROR(INDEX($D$5:$D$20,MATCH(LARGE($T$5:$T$20,2),$T$5:$T$20,0)),"")</f>
        <v>SNAG11</v>
      </c>
      <c r="V6" s="64">
        <f ca="1">IFERROR(INDEX(Carteira!$H$5:$H$20,MATCH(U6,Carteira!$A$5:$A$20,0)),"")</f>
        <v>0</v>
      </c>
      <c r="X6">
        <f ca="1">IF(OR(Carteira!C6&gt;0,AND(SUM(Carteira!$C$5:$C$20)=0,Carteira!A6&lt;&gt;"")),N(Carteira!W6)+ROW()/1000000000,"")</f>
        <v>6E-9</v>
      </c>
      <c r="Y6" t="str">
        <f ca="1">IFERROR(INDEX($D$5:$D$20,MATCH(LARGE($X$5:$X$20,2),$X$5:$X$20,0)),"")</f>
        <v>SNAG11</v>
      </c>
      <c r="Z6" s="67">
        <f ca="1">IFERROR(INDEX(Carteira!$W$5:$W$20,MATCH(Y6,Carteira!$A$5:$A$20,0)),"")</f>
        <v>0</v>
      </c>
      <c r="AB6">
        <f ca="1">IF(OR(Carteira!C6&gt;0,AND(SUM(Carteira!$C$5:$C$20)=0,Carteira!A6&lt;&gt;"")),N(Carteira!Z6)+ROW()/1000000000,"")</f>
        <v>162833.68000000599</v>
      </c>
      <c r="AC6" t="str">
        <f ca="1">IFERROR(INDEX($D$5:$D$20,MATCH(LARGE($AB$5:$AB$20,2),$AB$5:$AB$20,0)),"")</f>
        <v>KLBN11</v>
      </c>
      <c r="AD6" s="64">
        <f ca="1">IFERROR(INDEX(Carteira!$Z$5:$Z$20,MATCH(AC6,Carteira!$A$5:$A$20,0)),"")</f>
        <v>187598.4</v>
      </c>
      <c r="AF6">
        <f ca="1">IF(OR(Carteira!C6&gt;0,AND(SUM(Carteira!$C$5:$C$20)=0,Carteira!A6&lt;&gt;"")),N(Carteira!J6)+ROW()/1000000000,"")</f>
        <v>6E-9</v>
      </c>
      <c r="AG6" t="str">
        <f ca="1">IFERROR(INDEX($D$5:$D$20,MATCH(LARGE($AF$5:$AF$20,2),$AF$5:$AF$20,0)),"")</f>
        <v>SNAG11</v>
      </c>
      <c r="AH6" s="64">
        <f ca="1">IFERROR(INDEX(Carteira!$J$5:$J$20,MATCH(AG6,Carteira!$A$5:$A$20,0)),"")</f>
        <v>0</v>
      </c>
      <c r="AJ6" s="66">
        <f ca="1">IF(ISNUMBER(H6),IF(Carteira!$G$21&gt;0,H6/Carteira!$G$21,0),"")</f>
        <v>0</v>
      </c>
    </row>
    <row r="7" spans="1:36" x14ac:dyDescent="0.25">
      <c r="A7" s="63">
        <f ca="1">DATE(YEAR(TODAY()),MONTH(TODAY())-6,1)</f>
        <v>46082</v>
      </c>
      <c r="B7" s="64">
        <f ca="1">SUMIFS(Proventos!$F:$F,Proventos!$A:$A,"&gt;="&amp;A7,Proventos!$A:$A,"&lt;"&amp;DATE(YEAR(A7),MONTH(A7)+1,1))</f>
        <v>0</v>
      </c>
      <c r="D7" t="str">
        <f>Carteira!A7</f>
        <v>PETR4</v>
      </c>
      <c r="F7">
        <f ca="1">IF(OR(Carteira!C7&gt;0,AND(SUM(Carteira!$C$5:$C$20)=0,Carteira!A7&lt;&gt;"")),N(Carteira!G7)+ROW()/1000000000,"")</f>
        <v>6.9999999999999998E-9</v>
      </c>
      <c r="G7" t="str">
        <f ca="1">IFERROR(INDEX($D$5:$D$20,MATCH(LARGE($F$5:$F$20,3),$F$5:$F$20,0)),"")</f>
        <v>XPML11</v>
      </c>
      <c r="H7" s="65">
        <f ca="1">IFERROR(INDEX(Carteira!$G$5:$G$20,MATCH(G7,Carteira!$A$5:$A$20,0)),"")</f>
        <v>0</v>
      </c>
      <c r="J7">
        <f ca="1">IF(OR(Carteira!C7&gt;0,AND(SUM(Carteira!$C$5:$C$20)=0,Carteira!A7&lt;&gt;"")),N(Carteira!I7)+ROW()/1000000000,"")</f>
        <v>6.9999999999999998E-9</v>
      </c>
      <c r="K7" t="str">
        <f ca="1">IFERROR(INDEX($D$5:$D$20,MATCH(LARGE($J$5:$J$20,3),$J$5:$J$20,0)),"")</f>
        <v>XPML11</v>
      </c>
      <c r="L7" s="66">
        <f ca="1">IFERROR(INDEX(Carteira!$I$5:$I$20,MATCH(K7,Carteira!$A$5:$A$20,0)),"")</f>
        <v>0</v>
      </c>
      <c r="M7" s="65">
        <f ca="1">IFERROR(INDEX(Carteira!$H$5:$H$20,MATCH(K7,Carteira!$A$5:$A$20,0)),"")</f>
        <v>0</v>
      </c>
      <c r="O7">
        <f ca="1">IF(OR(Carteira!C7&gt;0,AND(SUM(Carteira!$C$5:$C$20)=0,Carteira!A7&lt;&gt;"")),N(Carteira!I7)+ROW()/1000000000,"")</f>
        <v>6.9999999999999998E-9</v>
      </c>
      <c r="P7" t="str">
        <f ca="1">IFERROR(INDEX($D$5:$D$20,MATCH(SMALL($O$5:$O$20,3),$O$5:$O$20,0)),"")</f>
        <v>PETR4</v>
      </c>
      <c r="Q7" s="66">
        <f ca="1">IFERROR(INDEX(Carteira!$I$5:$I$20,MATCH(P7,Carteira!$A$5:$A$20,0)),"")</f>
        <v>0</v>
      </c>
      <c r="R7" s="65">
        <f ca="1">IFERROR(INDEX(Carteira!$H$5:$H$20,MATCH(P7,Carteira!$A$5:$A$20,0)),"")</f>
        <v>0</v>
      </c>
      <c r="T7">
        <f ca="1">IF(OR(Carteira!C7&gt;0,AND(SUM(Carteira!$C$5:$C$20)=0,Carteira!A7&lt;&gt;"")),N(Carteira!H7)+ROW()/1000000000,"")</f>
        <v>6.9999999999999998E-9</v>
      </c>
      <c r="U7" t="str">
        <f ca="1">IFERROR(INDEX($D$5:$D$20,MATCH(LARGE($T$5:$T$20,3),$T$5:$T$20,0)),"")</f>
        <v>XPML11</v>
      </c>
      <c r="V7" s="64">
        <f ca="1">IFERROR(INDEX(Carteira!$H$5:$H$20,MATCH(U7,Carteira!$A$5:$A$20,0)),"")</f>
        <v>0</v>
      </c>
      <c r="X7">
        <f ca="1">IF(OR(Carteira!C7&gt;0,AND(SUM(Carteira!$C$5:$C$20)=0,Carteira!A7&lt;&gt;"")),N(Carteira!W7)+ROW()/1000000000,"")</f>
        <v>6.9999999999999998E-9</v>
      </c>
      <c r="Y7" t="str">
        <f ca="1">IFERROR(INDEX($D$5:$D$20,MATCH(LARGE($X$5:$X$20,3),$X$5:$X$20,0)),"")</f>
        <v>XPML11</v>
      </c>
      <c r="Z7" s="67">
        <f ca="1">IFERROR(INDEX(Carteira!$W$5:$W$20,MATCH(Y7,Carteira!$A$5:$A$20,0)),"")</f>
        <v>0</v>
      </c>
      <c r="AB7">
        <f ca="1">IF(OR(Carteira!C7&gt;0,AND(SUM(Carteira!$C$5:$C$20)=0,Carteira!A7&lt;&gt;"")),N(Carteira!Z7)+ROW()/1000000000,"")</f>
        <v>157429.25000000701</v>
      </c>
      <c r="AC7" t="str">
        <f ca="1">IFERROR(INDEX($D$5:$D$20,MATCH(LARGE($AB$5:$AB$20,3),$AB$5:$AB$20,0)),"")</f>
        <v>TAEE11</v>
      </c>
      <c r="AD7" s="64">
        <f ca="1">IFERROR(INDEX(Carteira!$Z$5:$Z$20,MATCH(AC7,Carteira!$A$5:$A$20,0)),"")</f>
        <v>162833.68</v>
      </c>
      <c r="AF7">
        <f ca="1">IF(OR(Carteira!C7&gt;0,AND(SUM(Carteira!$C$5:$C$20)=0,Carteira!A7&lt;&gt;"")),N(Carteira!J7)+ROW()/1000000000,"")</f>
        <v>6.9999999999999998E-9</v>
      </c>
      <c r="AG7" t="str">
        <f ca="1">IFERROR(INDEX($D$5:$D$20,MATCH(LARGE($AF$5:$AF$20,3),$AF$5:$AF$20,0)),"")</f>
        <v>XPML11</v>
      </c>
      <c r="AH7" s="64">
        <f ca="1">IFERROR(INDEX(Carteira!$J$5:$J$20,MATCH(AG7,Carteira!$A$5:$A$20,0)),"")</f>
        <v>0</v>
      </c>
      <c r="AJ7" s="66">
        <f ca="1">IF(ISNUMBER(H7),IF(Carteira!$G$21&gt;0,H7/Carteira!$G$21,0),"")</f>
        <v>0</v>
      </c>
    </row>
    <row r="8" spans="1:36" x14ac:dyDescent="0.25">
      <c r="A8" s="63">
        <f ca="1">DATE(YEAR(TODAY()),MONTH(TODAY())-5,1)</f>
        <v>46113</v>
      </c>
      <c r="B8" s="64">
        <f ca="1">SUMIFS(Proventos!$F:$F,Proventos!$A:$A,"&gt;="&amp;A8,Proventos!$A:$A,"&lt;"&amp;DATE(YEAR(A8),MONTH(A8)+1,1))</f>
        <v>0</v>
      </c>
      <c r="D8" t="str">
        <f>Carteira!A8</f>
        <v>BBAS3</v>
      </c>
      <c r="F8">
        <f ca="1">IF(OR(Carteira!C8&gt;0,AND(SUM(Carteira!$C$5:$C$20)=0,Carteira!A8&lt;&gt;"")),N(Carteira!G8)+ROW()/1000000000,"")</f>
        <v>8.0000000000000005E-9</v>
      </c>
      <c r="G8" t="str">
        <f ca="1">IFERROR(INDEX($D$5:$D$20,MATCH(LARGE($F$5:$F$20,4),$F$5:$F$20,0)),"")</f>
        <v>XPLG11</v>
      </c>
      <c r="H8" s="65">
        <f ca="1">IFERROR(INDEX(Carteira!$G$5:$G$20,MATCH(G8,Carteira!$A$5:$A$20,0)),"")</f>
        <v>0</v>
      </c>
      <c r="J8">
        <f ca="1">IF(OR(Carteira!C8&gt;0,AND(SUM(Carteira!$C$5:$C$20)=0,Carteira!A8&lt;&gt;"")),N(Carteira!I8)+ROW()/1000000000,"")</f>
        <v>8.0000000000000005E-9</v>
      </c>
      <c r="K8" t="str">
        <f ca="1">IFERROR(INDEX($D$5:$D$20,MATCH(LARGE($J$5:$J$20,4),$J$5:$J$20,0)),"")</f>
        <v>XPLG11</v>
      </c>
      <c r="L8" s="66">
        <f ca="1">IFERROR(INDEX(Carteira!$I$5:$I$20,MATCH(K8,Carteira!$A$5:$A$20,0)),"")</f>
        <v>0</v>
      </c>
      <c r="M8" s="65">
        <f ca="1">IFERROR(INDEX(Carteira!$H$5:$H$20,MATCH(K8,Carteira!$A$5:$A$20,0)),"")</f>
        <v>0</v>
      </c>
      <c r="O8">
        <f ca="1">IF(OR(Carteira!C8&gt;0,AND(SUM(Carteira!$C$5:$C$20)=0,Carteira!A8&lt;&gt;"")),N(Carteira!I8)+ROW()/1000000000,"")</f>
        <v>8.0000000000000005E-9</v>
      </c>
      <c r="P8" t="str">
        <f ca="1">IFERROR(INDEX($D$5:$D$20,MATCH(SMALL($O$5:$O$20,4),$O$5:$O$20,0)),"")</f>
        <v>BBAS3</v>
      </c>
      <c r="Q8" s="66">
        <f ca="1">IFERROR(INDEX(Carteira!$I$5:$I$20,MATCH(P8,Carteira!$A$5:$A$20,0)),"")</f>
        <v>0</v>
      </c>
      <c r="R8" s="65">
        <f ca="1">IFERROR(INDEX(Carteira!$H$5:$H$20,MATCH(P8,Carteira!$A$5:$A$20,0)),"")</f>
        <v>0</v>
      </c>
      <c r="T8">
        <f ca="1">IF(OR(Carteira!C8&gt;0,AND(SUM(Carteira!$C$5:$C$20)=0,Carteira!A8&lt;&gt;"")),N(Carteira!H8)+ROW()/1000000000,"")</f>
        <v>8.0000000000000005E-9</v>
      </c>
      <c r="U8" t="str">
        <f ca="1">IFERROR(INDEX($D$5:$D$20,MATCH(LARGE($T$5:$T$20,4),$T$5:$T$20,0)),"")</f>
        <v>XPLG11</v>
      </c>
      <c r="V8" s="64">
        <f ca="1">IFERROR(INDEX(Carteira!$H$5:$H$20,MATCH(U8,Carteira!$A$5:$A$20,0)),"")</f>
        <v>0</v>
      </c>
      <c r="X8">
        <f ca="1">IF(OR(Carteira!C8&gt;0,AND(SUM(Carteira!$C$5:$C$20)=0,Carteira!A8&lt;&gt;"")),N(Carteira!W8)+ROW()/1000000000,"")</f>
        <v>8.0000000000000005E-9</v>
      </c>
      <c r="Y8" t="str">
        <f ca="1">IFERROR(INDEX($D$5:$D$20,MATCH(LARGE($X$5:$X$20,4),$X$5:$X$20,0)),"")</f>
        <v>XPLG11</v>
      </c>
      <c r="Z8" s="67">
        <f ca="1">IFERROR(INDEX(Carteira!$W$5:$W$20,MATCH(Y8,Carteira!$A$5:$A$20,0)),"")</f>
        <v>0</v>
      </c>
      <c r="AB8">
        <f ca="1">IF(OR(Carteira!C8&gt;0,AND(SUM(Carteira!$C$5:$C$20)=0,Carteira!A8&lt;&gt;"")),N(Carteira!Z8)+ROW()/1000000000,"")</f>
        <v>395550.39000000799</v>
      </c>
      <c r="AC8" t="str">
        <f ca="1">IFERROR(INDEX($D$5:$D$20,MATCH(LARGE($AB$5:$AB$20,4),$AB$5:$AB$20,0)),"")</f>
        <v>PETR4</v>
      </c>
      <c r="AD8" s="64">
        <f ca="1">IFERROR(INDEX(Carteira!$Z$5:$Z$20,MATCH(AC8,Carteira!$A$5:$A$20,0)),"")</f>
        <v>157429.25</v>
      </c>
      <c r="AF8">
        <f ca="1">IF(OR(Carteira!C8&gt;0,AND(SUM(Carteira!$C$5:$C$20)=0,Carteira!A8&lt;&gt;"")),N(Carteira!J8)+ROW()/1000000000,"")</f>
        <v>8.0000000000000005E-9</v>
      </c>
      <c r="AG8" t="str">
        <f ca="1">IFERROR(INDEX($D$5:$D$20,MATCH(LARGE($AF$5:$AF$20,4),$AF$5:$AF$20,0)),"")</f>
        <v>XPLG11</v>
      </c>
      <c r="AH8" s="64">
        <f ca="1">IFERROR(INDEX(Carteira!$J$5:$J$20,MATCH(AG8,Carteira!$A$5:$A$20,0)),"")</f>
        <v>0</v>
      </c>
      <c r="AJ8" s="66">
        <f ca="1">IF(ISNUMBER(H8),IF(Carteira!$G$21&gt;0,H8/Carteira!$G$21,0),"")</f>
        <v>0</v>
      </c>
    </row>
    <row r="9" spans="1:36" x14ac:dyDescent="0.25">
      <c r="A9" s="63">
        <f ca="1">DATE(YEAR(TODAY()),MONTH(TODAY())-4,1)</f>
        <v>46143</v>
      </c>
      <c r="B9" s="64">
        <f ca="1">SUMIFS(Proventos!$F:$F,Proventos!$A:$A,"&gt;="&amp;A9,Proventos!$A:$A,"&lt;"&amp;DATE(YEAR(A9),MONTH(A9)+1,1))</f>
        <v>0</v>
      </c>
      <c r="D9" t="str">
        <f>Carteira!A9</f>
        <v>BRBI11</v>
      </c>
      <c r="F9">
        <f ca="1">IF(OR(Carteira!C9&gt;0,AND(SUM(Carteira!$C$5:$C$20)=0,Carteira!A9&lt;&gt;"")),N(Carteira!G9)+ROW()/1000000000,"")</f>
        <v>8.9999999999999995E-9</v>
      </c>
      <c r="G9" t="str">
        <f ca="1">IFERROR(INDEX($D$5:$D$20,MATCH(LARGE($F$5:$F$20,5),$F$5:$F$20,0)),"")</f>
        <v>BRCR11</v>
      </c>
      <c r="H9" s="65">
        <f ca="1">IFERROR(INDEX(Carteira!$G$5:$G$20,MATCH(G9,Carteira!$A$5:$A$20,0)),"")</f>
        <v>0</v>
      </c>
      <c r="J9">
        <f ca="1">IF(OR(Carteira!C9&gt;0,AND(SUM(Carteira!$C$5:$C$20)=0,Carteira!A9&lt;&gt;"")),N(Carteira!I9)+ROW()/1000000000,"")</f>
        <v>8.9999999999999995E-9</v>
      </c>
      <c r="K9" t="str">
        <f ca="1">IFERROR(INDEX($D$5:$D$20,MATCH(LARGE($J$5:$J$20,5),$J$5:$J$20,0)),"")</f>
        <v>BRCR11</v>
      </c>
      <c r="L9" s="66">
        <f ca="1">IFERROR(INDEX(Carteira!$I$5:$I$20,MATCH(K9,Carteira!$A$5:$A$20,0)),"")</f>
        <v>0</v>
      </c>
      <c r="M9" s="65">
        <f ca="1">IFERROR(INDEX(Carteira!$H$5:$H$20,MATCH(K9,Carteira!$A$5:$A$20,0)),"")</f>
        <v>0</v>
      </c>
      <c r="O9">
        <f ca="1">IF(OR(Carteira!C9&gt;0,AND(SUM(Carteira!$C$5:$C$20)=0,Carteira!A9&lt;&gt;"")),N(Carteira!I9)+ROW()/1000000000,"")</f>
        <v>8.9999999999999995E-9</v>
      </c>
      <c r="P9" t="str">
        <f ca="1">IFERROR(INDEX($D$5:$D$20,MATCH(SMALL($O$5:$O$20,5),$O$5:$O$20,0)),"")</f>
        <v>BRBI11</v>
      </c>
      <c r="Q9" s="66">
        <f ca="1">IFERROR(INDEX(Carteira!$I$5:$I$20,MATCH(P9,Carteira!$A$5:$A$20,0)),"")</f>
        <v>0</v>
      </c>
      <c r="R9" s="65">
        <f ca="1">IFERROR(INDEX(Carteira!$H$5:$H$20,MATCH(P9,Carteira!$A$5:$A$20,0)),"")</f>
        <v>0</v>
      </c>
      <c r="T9">
        <f ca="1">IF(OR(Carteira!C9&gt;0,AND(SUM(Carteira!$C$5:$C$20)=0,Carteira!A9&lt;&gt;"")),N(Carteira!H9)+ROW()/1000000000,"")</f>
        <v>8.9999999999999995E-9</v>
      </c>
      <c r="U9" t="str">
        <f ca="1">IFERROR(INDEX($D$5:$D$20,MATCH(LARGE($T$5:$T$20,5),$T$5:$T$20,0)),"")</f>
        <v>BRCR11</v>
      </c>
      <c r="V9" s="64">
        <f ca="1">IFERROR(INDEX(Carteira!$H$5:$H$20,MATCH(U9,Carteira!$A$5:$A$20,0)),"")</f>
        <v>0</v>
      </c>
      <c r="X9">
        <f ca="1">IF(OR(Carteira!C9&gt;0,AND(SUM(Carteira!$C$5:$C$20)=0,Carteira!A9&lt;&gt;"")),N(Carteira!W9)+ROW()/1000000000,"")</f>
        <v>8.9999999999999995E-9</v>
      </c>
      <c r="Y9" t="str">
        <f ca="1">IFERROR(INDEX($D$5:$D$20,MATCH(LARGE($X$5:$X$20,5),$X$5:$X$20,0)),"")</f>
        <v>BRCR11</v>
      </c>
      <c r="Z9" s="67">
        <f ca="1">IFERROR(INDEX(Carteira!$W$5:$W$20,MATCH(Y9,Carteira!$A$5:$A$20,0)),"")</f>
        <v>0</v>
      </c>
      <c r="AB9">
        <f ca="1">IF(OR(Carteira!C9&gt;0,AND(SUM(Carteira!$C$5:$C$20)=0,Carteira!A9&lt;&gt;"")),N(Carteira!Z9)+ROW()/1000000000,"")</f>
        <v>128961.680000009</v>
      </c>
      <c r="AC9" t="str">
        <f ca="1">IFERROR(INDEX($D$5:$D$20,MATCH(LARGE($AB$5:$AB$20,5),$AB$5:$AB$20,0)),"")</f>
        <v>VALE3</v>
      </c>
      <c r="AD9" s="64">
        <f ca="1">IFERROR(INDEX(Carteira!$Z$5:$Z$20,MATCH(AC9,Carteira!$A$5:$A$20,0)),"")</f>
        <v>151377.03</v>
      </c>
      <c r="AF9">
        <f ca="1">IF(OR(Carteira!C9&gt;0,AND(SUM(Carteira!$C$5:$C$20)=0,Carteira!A9&lt;&gt;"")),N(Carteira!J9)+ROW()/1000000000,"")</f>
        <v>8.9999999999999995E-9</v>
      </c>
      <c r="AG9" t="str">
        <f ca="1">IFERROR(INDEX($D$5:$D$20,MATCH(LARGE($AF$5:$AF$20,5),$AF$5:$AF$20,0)),"")</f>
        <v>BRCR11</v>
      </c>
      <c r="AH9" s="64">
        <f ca="1">IFERROR(INDEX(Carteira!$J$5:$J$20,MATCH(AG9,Carteira!$A$5:$A$20,0)),"")</f>
        <v>0</v>
      </c>
      <c r="AJ9" s="66">
        <f ca="1">IF(ISNUMBER(H9),IF(Carteira!$G$21&gt;0,H9/Carteira!$G$21,0),"")</f>
        <v>0</v>
      </c>
    </row>
    <row r="10" spans="1:36" x14ac:dyDescent="0.25">
      <c r="A10" s="63">
        <f ca="1">DATE(YEAR(TODAY()),MONTH(TODAY())-3,1)</f>
        <v>46174</v>
      </c>
      <c r="B10" s="64">
        <f ca="1">SUMIFS(Proventos!$F:$F,Proventos!$A:$A,"&gt;="&amp;A10,Proventos!$A:$A,"&lt;"&amp;DATE(YEAR(A10),MONTH(A10)+1,1))</f>
        <v>0</v>
      </c>
      <c r="D10" t="str">
        <f>Carteira!A10</f>
        <v>BBDC4</v>
      </c>
      <c r="F10">
        <f ca="1">IF(OR(Carteira!C10&gt;0,AND(SUM(Carteira!$C$5:$C$20)=0,Carteira!A10&lt;&gt;"")),N(Carteira!G10)+ROW()/1000000000,"")</f>
        <v>1E-8</v>
      </c>
      <c r="G10" t="str">
        <f ca="1">IFERROR(INDEX($D$5:$D$20,MATCH(LARGE($F$5:$F$20,6),$F$5:$F$20,0)),"")</f>
        <v>MXRF11</v>
      </c>
      <c r="H10" s="65">
        <f ca="1">IFERROR(INDEX(Carteira!$G$5:$G$20,MATCH(G10,Carteira!$A$5:$A$20,0)),"")</f>
        <v>0</v>
      </c>
      <c r="J10">
        <f ca="1">IF(OR(Carteira!C10&gt;0,AND(SUM(Carteira!$C$5:$C$20)=0,Carteira!A10&lt;&gt;"")),N(Carteira!I10)+ROW()/1000000000,"")</f>
        <v>1E-8</v>
      </c>
      <c r="K10" t="str">
        <f ca="1">IFERROR(INDEX($D$5:$D$20,MATCH(LARGE($J$5:$J$20,6),$J$5:$J$20,0)),"")</f>
        <v>MXRF11</v>
      </c>
      <c r="L10" s="66">
        <f ca="1">IFERROR(INDEX(Carteira!$I$5:$I$20,MATCH(K10,Carteira!$A$5:$A$20,0)),"")</f>
        <v>0</v>
      </c>
      <c r="M10" s="65">
        <f ca="1">IFERROR(INDEX(Carteira!$H$5:$H$20,MATCH(K10,Carteira!$A$5:$A$20,0)),"")</f>
        <v>0</v>
      </c>
      <c r="O10">
        <f ca="1">IF(OR(Carteira!C10&gt;0,AND(SUM(Carteira!$C$5:$C$20)=0,Carteira!A10&lt;&gt;"")),N(Carteira!I10)+ROW()/1000000000,"")</f>
        <v>1E-8</v>
      </c>
      <c r="P10" t="str">
        <f ca="1">IFERROR(INDEX($D$5:$D$20,MATCH(SMALL($O$5:$O$20,6),$O$5:$O$20,0)),"")</f>
        <v>BBDC4</v>
      </c>
      <c r="Q10" s="66">
        <f ca="1">IFERROR(INDEX(Carteira!$I$5:$I$20,MATCH(P10,Carteira!$A$5:$A$20,0)),"")</f>
        <v>0</v>
      </c>
      <c r="R10" s="65">
        <f ca="1">IFERROR(INDEX(Carteira!$H$5:$H$20,MATCH(P10,Carteira!$A$5:$A$20,0)),"")</f>
        <v>0</v>
      </c>
      <c r="T10">
        <f ca="1">IF(OR(Carteira!C10&gt;0,AND(SUM(Carteira!$C$5:$C$20)=0,Carteira!A10&lt;&gt;"")),N(Carteira!H10)+ROW()/1000000000,"")</f>
        <v>1E-8</v>
      </c>
      <c r="U10" t="str">
        <f ca="1">IFERROR(INDEX($D$5:$D$20,MATCH(LARGE($T$5:$T$20,6),$T$5:$T$20,0)),"")</f>
        <v>MXRF11</v>
      </c>
      <c r="V10" s="64">
        <f ca="1">IFERROR(INDEX(Carteira!$H$5:$H$20,MATCH(U10,Carteira!$A$5:$A$20,0)),"")</f>
        <v>0</v>
      </c>
      <c r="X10">
        <f ca="1">IF(OR(Carteira!C10&gt;0,AND(SUM(Carteira!$C$5:$C$20)=0,Carteira!A10&lt;&gt;"")),N(Carteira!W10)+ROW()/1000000000,"")</f>
        <v>1E-8</v>
      </c>
      <c r="Y10" t="str">
        <f ca="1">IFERROR(INDEX($D$5:$D$20,MATCH(LARGE($X$5:$X$20,6),$X$5:$X$20,0)),"")</f>
        <v>MXRF11</v>
      </c>
      <c r="Z10" s="67">
        <f ca="1">IFERROR(INDEX(Carteira!$W$5:$W$20,MATCH(Y10,Carteira!$A$5:$A$20,0)),"")</f>
        <v>0</v>
      </c>
      <c r="AB10">
        <f ca="1">IF(OR(Carteira!C10&gt;0,AND(SUM(Carteira!$C$5:$C$20)=0,Carteira!A10&lt;&gt;"")),N(Carteira!Z10)+ROW()/1000000000,"")</f>
        <v>138176.64000001</v>
      </c>
      <c r="AC10" t="str">
        <f ca="1">IFERROR(INDEX($D$5:$D$20,MATCH(LARGE($AB$5:$AB$20,6),$AB$5:$AB$20,0)),"")</f>
        <v>ITSA4</v>
      </c>
      <c r="AD10" s="64">
        <f ca="1">IFERROR(INDEX(Carteira!$Z$5:$Z$20,MATCH(AC10,Carteira!$A$5:$A$20,0)),"")</f>
        <v>148867.59</v>
      </c>
      <c r="AF10">
        <f ca="1">IF(OR(Carteira!C10&gt;0,AND(SUM(Carteira!$C$5:$C$20)=0,Carteira!A10&lt;&gt;"")),N(Carteira!J10)+ROW()/1000000000,"")</f>
        <v>1E-8</v>
      </c>
      <c r="AG10" t="str">
        <f ca="1">IFERROR(INDEX($D$5:$D$20,MATCH(LARGE($AF$5:$AF$20,6),$AF$5:$AF$20,0)),"")</f>
        <v>MXRF11</v>
      </c>
      <c r="AH10" s="64">
        <f ca="1">IFERROR(INDEX(Carteira!$J$5:$J$20,MATCH(AG10,Carteira!$A$5:$A$20,0)),"")</f>
        <v>0</v>
      </c>
      <c r="AJ10" s="66">
        <f ca="1">IF(ISNUMBER(H10),IF(Carteira!$G$21&gt;0,H10/Carteira!$G$21,0),"")</f>
        <v>0</v>
      </c>
    </row>
    <row r="11" spans="1:36" x14ac:dyDescent="0.25">
      <c r="A11" s="63">
        <f ca="1">DATE(YEAR(TODAY()),MONTH(TODAY())-2,1)</f>
        <v>46204</v>
      </c>
      <c r="B11" s="64">
        <f ca="1">SUMIFS(Proventos!$F:$F,Proventos!$A:$A,"&gt;="&amp;A11,Proventos!$A:$A,"&lt;"&amp;DATE(YEAR(A11),MONTH(A11)+1,1))</f>
        <v>0</v>
      </c>
      <c r="D11" t="str">
        <f>Carteira!A11</f>
        <v>ITSA4</v>
      </c>
      <c r="F11">
        <f ca="1">IF(OR(Carteira!C11&gt;0,AND(SUM(Carteira!$C$5:$C$20)=0,Carteira!A11&lt;&gt;"")),N(Carteira!G11)+ROW()/1000000000,"")</f>
        <v>1.0999999999999999E-8</v>
      </c>
      <c r="G11" t="str">
        <f ca="1">IFERROR(INDEX($D$5:$D$20,MATCH(LARGE($F$5:$F$20,7),$F$5:$F$20,0)),"")</f>
        <v>KLBN11</v>
      </c>
      <c r="H11" s="65">
        <f ca="1">IFERROR(INDEX(Carteira!$G$5:$G$20,MATCH(G11,Carteira!$A$5:$A$20,0)),"")</f>
        <v>0</v>
      </c>
      <c r="J11">
        <f ca="1">IF(OR(Carteira!C11&gt;0,AND(SUM(Carteira!$C$5:$C$20)=0,Carteira!A11&lt;&gt;"")),N(Carteira!I11)+ROW()/1000000000,"")</f>
        <v>1.0999999999999999E-8</v>
      </c>
      <c r="K11" t="str">
        <f ca="1">IFERROR(INDEX($D$5:$D$20,MATCH(LARGE($J$5:$J$20,7),$J$5:$J$20,0)),"")</f>
        <v>KLBN11</v>
      </c>
      <c r="L11" s="66">
        <f ca="1">IFERROR(INDEX(Carteira!$I$5:$I$20,MATCH(K11,Carteira!$A$5:$A$20,0)),"")</f>
        <v>0</v>
      </c>
      <c r="M11" s="65">
        <f ca="1">IFERROR(INDEX(Carteira!$H$5:$H$20,MATCH(K11,Carteira!$A$5:$A$20,0)),"")</f>
        <v>0</v>
      </c>
      <c r="O11">
        <f ca="1">IF(OR(Carteira!C11&gt;0,AND(SUM(Carteira!$C$5:$C$20)=0,Carteira!A11&lt;&gt;"")),N(Carteira!I11)+ROW()/1000000000,"")</f>
        <v>1.0999999999999999E-8</v>
      </c>
      <c r="P11" t="str">
        <f ca="1">IFERROR(INDEX($D$5:$D$20,MATCH(SMALL($O$5:$O$20,7),$O$5:$O$20,0)),"")</f>
        <v>ITSA4</v>
      </c>
      <c r="Q11" s="66">
        <f ca="1">IFERROR(INDEX(Carteira!$I$5:$I$20,MATCH(P11,Carteira!$A$5:$A$20,0)),"")</f>
        <v>0</v>
      </c>
      <c r="R11" s="65">
        <f ca="1">IFERROR(INDEX(Carteira!$H$5:$H$20,MATCH(P11,Carteira!$A$5:$A$20,0)),"")</f>
        <v>0</v>
      </c>
      <c r="T11">
        <f ca="1">IF(OR(Carteira!C11&gt;0,AND(SUM(Carteira!$C$5:$C$20)=0,Carteira!A11&lt;&gt;"")),N(Carteira!H11)+ROW()/1000000000,"")</f>
        <v>1.0999999999999999E-8</v>
      </c>
      <c r="U11" t="str">
        <f ca="1">IFERROR(INDEX($D$5:$D$20,MATCH(LARGE($T$5:$T$20,7),$T$5:$T$20,0)),"")</f>
        <v>KLBN11</v>
      </c>
      <c r="V11" s="64">
        <f ca="1">IFERROR(INDEX(Carteira!$H$5:$H$20,MATCH(U11,Carteira!$A$5:$A$20,0)),"")</f>
        <v>0</v>
      </c>
      <c r="X11">
        <f ca="1">IF(OR(Carteira!C11&gt;0,AND(SUM(Carteira!$C$5:$C$20)=0,Carteira!A11&lt;&gt;"")),N(Carteira!W11)+ROW()/1000000000,"")</f>
        <v>1.0999999999999999E-8</v>
      </c>
      <c r="Y11" t="str">
        <f ca="1">IFERROR(INDEX($D$5:$D$20,MATCH(LARGE($X$5:$X$20,7),$X$5:$X$20,0)),"")</f>
        <v>KLBN11</v>
      </c>
      <c r="Z11" s="67">
        <f ca="1">IFERROR(INDEX(Carteira!$W$5:$W$20,MATCH(Y11,Carteira!$A$5:$A$20,0)),"")</f>
        <v>0</v>
      </c>
      <c r="AB11">
        <f ca="1">IF(OR(Carteira!C11&gt;0,AND(SUM(Carteira!$C$5:$C$20)=0,Carteira!A11&lt;&gt;"")),N(Carteira!Z11)+ROW()/1000000000,"")</f>
        <v>148867.590000011</v>
      </c>
      <c r="AC11" t="str">
        <f ca="1">IFERROR(INDEX($D$5:$D$20,MATCH(LARGE($AB$5:$AB$20,7),$AB$5:$AB$20,0)),"")</f>
        <v>BBDC4</v>
      </c>
      <c r="AD11" s="64">
        <f ca="1">IFERROR(INDEX(Carteira!$Z$5:$Z$20,MATCH(AC11,Carteira!$A$5:$A$20,0)),"")</f>
        <v>138176.63999999998</v>
      </c>
      <c r="AF11">
        <f ca="1">IF(OR(Carteira!C11&gt;0,AND(SUM(Carteira!$C$5:$C$20)=0,Carteira!A11&lt;&gt;"")),N(Carteira!J11)+ROW()/1000000000,"")</f>
        <v>1.0999999999999999E-8</v>
      </c>
      <c r="AG11" t="str">
        <f ca="1">IFERROR(INDEX($D$5:$D$20,MATCH(LARGE($AF$5:$AF$20,7),$AF$5:$AF$20,0)),"")</f>
        <v>KLBN11</v>
      </c>
      <c r="AH11" s="64">
        <f ca="1">IFERROR(INDEX(Carteira!$J$5:$J$20,MATCH(AG11,Carteira!$A$5:$A$20,0)),"")</f>
        <v>0</v>
      </c>
      <c r="AJ11" s="66">
        <f ca="1">IF(ISNUMBER(H11),IF(Carteira!$G$21&gt;0,H11/Carteira!$G$21,0),"")</f>
        <v>0</v>
      </c>
    </row>
    <row r="12" spans="1:36" x14ac:dyDescent="0.25">
      <c r="A12" s="63">
        <f ca="1">DATE(YEAR(TODAY()),MONTH(TODAY())-1,1)</f>
        <v>46235</v>
      </c>
      <c r="B12" s="64">
        <f ca="1">SUMIFS(Proventos!$F:$F,Proventos!$A:$A,"&gt;="&amp;A12,Proventos!$A:$A,"&lt;"&amp;DATE(YEAR(A12),MONTH(A12)+1,1))</f>
        <v>0</v>
      </c>
      <c r="D12" t="str">
        <f>Carteira!A12</f>
        <v>CMIG4</v>
      </c>
      <c r="F12">
        <f ca="1">IF(OR(Carteira!C12&gt;0,AND(SUM(Carteira!$C$5:$C$20)=0,Carteira!A12&lt;&gt;"")),N(Carteira!G12)+ROW()/1000000000,"")</f>
        <v>1.2E-8</v>
      </c>
      <c r="G12" t="str">
        <f ca="1">IFERROR(INDEX($D$5:$D$20,MATCH(LARGE($F$5:$F$20,8),$F$5:$F$20,0)),"")</f>
        <v>FIQE3</v>
      </c>
      <c r="H12" s="65">
        <f ca="1">IFERROR(INDEX(Carteira!$G$5:$G$20,MATCH(G12,Carteira!$A$5:$A$20,0)),"")</f>
        <v>0</v>
      </c>
      <c r="J12">
        <f ca="1">IF(OR(Carteira!C12&gt;0,AND(SUM(Carteira!$C$5:$C$20)=0,Carteira!A12&lt;&gt;"")),N(Carteira!I12)+ROW()/1000000000,"")</f>
        <v>1.2E-8</v>
      </c>
      <c r="K12" t="str">
        <f ca="1">IFERROR(INDEX($D$5:$D$20,MATCH(LARGE($J$5:$J$20,8),$J$5:$J$20,0)),"")</f>
        <v>FIQE3</v>
      </c>
      <c r="L12" s="66">
        <f ca="1">IFERROR(INDEX(Carteira!$I$5:$I$20,MATCH(K12,Carteira!$A$5:$A$20,0)),"")</f>
        <v>0</v>
      </c>
      <c r="M12" s="65">
        <f ca="1">IFERROR(INDEX(Carteira!$H$5:$H$20,MATCH(K12,Carteira!$A$5:$A$20,0)),"")</f>
        <v>0</v>
      </c>
      <c r="O12">
        <f ca="1">IF(OR(Carteira!C12&gt;0,AND(SUM(Carteira!$C$5:$C$20)=0,Carteira!A12&lt;&gt;"")),N(Carteira!I12)+ROW()/1000000000,"")</f>
        <v>1.2E-8</v>
      </c>
      <c r="P12" t="str">
        <f ca="1">IFERROR(INDEX($D$5:$D$20,MATCH(SMALL($O$5:$O$20,8),$O$5:$O$20,0)),"")</f>
        <v>CMIG4</v>
      </c>
      <c r="Q12" s="66">
        <f ca="1">IFERROR(INDEX(Carteira!$I$5:$I$20,MATCH(P12,Carteira!$A$5:$A$20,0)),"")</f>
        <v>0</v>
      </c>
      <c r="R12" s="65">
        <f ca="1">IFERROR(INDEX(Carteira!$H$5:$H$20,MATCH(P12,Carteira!$A$5:$A$20,0)),"")</f>
        <v>0</v>
      </c>
      <c r="T12">
        <f ca="1">IF(OR(Carteira!C12&gt;0,AND(SUM(Carteira!$C$5:$C$20)=0,Carteira!A12&lt;&gt;"")),N(Carteira!H12)+ROW()/1000000000,"")</f>
        <v>1.2E-8</v>
      </c>
      <c r="U12" t="str">
        <f ca="1">IFERROR(INDEX($D$5:$D$20,MATCH(LARGE($T$5:$T$20,8),$T$5:$T$20,0)),"")</f>
        <v>FIQE3</v>
      </c>
      <c r="V12" s="64">
        <f ca="1">IFERROR(INDEX(Carteira!$H$5:$H$20,MATCH(U12,Carteira!$A$5:$A$20,0)),"")</f>
        <v>0</v>
      </c>
      <c r="X12">
        <f ca="1">IF(OR(Carteira!C12&gt;0,AND(SUM(Carteira!$C$5:$C$20)=0,Carteira!A12&lt;&gt;"")),N(Carteira!W12)+ROW()/1000000000,"")</f>
        <v>1.2E-8</v>
      </c>
      <c r="Y12" t="str">
        <f ca="1">IFERROR(INDEX($D$5:$D$20,MATCH(LARGE($X$5:$X$20,8),$X$5:$X$20,0)),"")</f>
        <v>FIQE3</v>
      </c>
      <c r="Z12" s="67">
        <f ca="1">IFERROR(INDEX(Carteira!$W$5:$W$20,MATCH(Y12,Carteira!$A$5:$A$20,0)),"")</f>
        <v>0</v>
      </c>
      <c r="AB12">
        <f ca="1">IF(OR(Carteira!C12&gt;0,AND(SUM(Carteira!$C$5:$C$20)=0,Carteira!A12&lt;&gt;"")),N(Carteira!Z12)+ROW()/1000000000,"")</f>
        <v>96757.650000012014</v>
      </c>
      <c r="AC12" t="str">
        <f ca="1">IFERROR(INDEX($D$5:$D$20,MATCH(LARGE($AB$5:$AB$20,8),$AB$5:$AB$20,0)),"")</f>
        <v>BRBI11</v>
      </c>
      <c r="AD12" s="64">
        <f ca="1">IFERROR(INDEX(Carteira!$Z$5:$Z$20,MATCH(AC12,Carteira!$A$5:$A$20,0)),"")</f>
        <v>128961.68000000001</v>
      </c>
      <c r="AF12">
        <f ca="1">IF(OR(Carteira!C12&gt;0,AND(SUM(Carteira!$C$5:$C$20)=0,Carteira!A12&lt;&gt;"")),N(Carteira!J12)+ROW()/1000000000,"")</f>
        <v>1.2E-8</v>
      </c>
      <c r="AG12" t="str">
        <f ca="1">IFERROR(INDEX($D$5:$D$20,MATCH(LARGE($AF$5:$AF$20,8),$AF$5:$AF$20,0)),"")</f>
        <v>FIQE3</v>
      </c>
      <c r="AH12" s="64">
        <f ca="1">IFERROR(INDEX(Carteira!$J$5:$J$20,MATCH(AG12,Carteira!$A$5:$A$20,0)),"")</f>
        <v>0</v>
      </c>
      <c r="AJ12" s="66">
        <f ca="1">IF(ISNUMBER(H12),IF(Carteira!$G$21&gt;0,H12/Carteira!$G$21,0),"")</f>
        <v>0</v>
      </c>
    </row>
    <row r="13" spans="1:36" x14ac:dyDescent="0.25">
      <c r="A13" s="63">
        <f ca="1">DATE(YEAR(TODAY()),MONTH(TODAY())-0,1)</f>
        <v>46266</v>
      </c>
      <c r="B13" s="64">
        <f ca="1">SUMIFS(Proventos!$F:$F,Proventos!$A:$A,"&gt;="&amp;A13,Proventos!$A:$A,"&lt;"&amp;DATE(YEAR(A13),MONTH(A13)+1,1))</f>
        <v>0</v>
      </c>
      <c r="D13" t="str">
        <f>Carteira!A13</f>
        <v>FIQE3</v>
      </c>
      <c r="F13">
        <f ca="1">IF(OR(Carteira!C13&gt;0,AND(SUM(Carteira!$C$5:$C$20)=0,Carteira!A13&lt;&gt;"")),N(Carteira!G13)+ROW()/1000000000,"")</f>
        <v>1.3000000000000001E-8</v>
      </c>
      <c r="G13" t="str">
        <f ca="1">IFERROR(INDEX($D$5:$D$20,MATCH(LARGE($F$5:$F$20,9),$F$5:$F$20,0)),"")</f>
        <v>CMIG4</v>
      </c>
      <c r="H13" s="65">
        <f ca="1">IFERROR(INDEX(Carteira!$G$5:$G$20,MATCH(G13,Carteira!$A$5:$A$20,0)),"")</f>
        <v>0</v>
      </c>
      <c r="J13">
        <f ca="1">IF(OR(Carteira!C13&gt;0,AND(SUM(Carteira!$C$5:$C$20)=0,Carteira!A13&lt;&gt;"")),N(Carteira!I13)+ROW()/1000000000,"")</f>
        <v>1.3000000000000001E-8</v>
      </c>
      <c r="K13" t="str">
        <f ca="1">IFERROR(INDEX($D$5:$D$20,MATCH(LARGE($J$5:$J$20,9),$J$5:$J$20,0)),"")</f>
        <v>CMIG4</v>
      </c>
      <c r="L13" s="66">
        <f ca="1">IFERROR(INDEX(Carteira!$I$5:$I$20,MATCH(K13,Carteira!$A$5:$A$20,0)),"")</f>
        <v>0</v>
      </c>
      <c r="M13" s="65">
        <f ca="1">IFERROR(INDEX(Carteira!$H$5:$H$20,MATCH(K13,Carteira!$A$5:$A$20,0)),"")</f>
        <v>0</v>
      </c>
      <c r="O13">
        <f ca="1">IF(OR(Carteira!C13&gt;0,AND(SUM(Carteira!$C$5:$C$20)=0,Carteira!A13&lt;&gt;"")),N(Carteira!I13)+ROW()/1000000000,"")</f>
        <v>1.3000000000000001E-8</v>
      </c>
      <c r="P13" t="str">
        <f ca="1">IFERROR(INDEX($D$5:$D$20,MATCH(SMALL($O$5:$O$20,9),$O$5:$O$20,0)),"")</f>
        <v>FIQE3</v>
      </c>
      <c r="Q13" s="66">
        <f ca="1">IFERROR(INDEX(Carteira!$I$5:$I$20,MATCH(P13,Carteira!$A$5:$A$20,0)),"")</f>
        <v>0</v>
      </c>
      <c r="R13" s="65">
        <f ca="1">IFERROR(INDEX(Carteira!$H$5:$H$20,MATCH(P13,Carteira!$A$5:$A$20,0)),"")</f>
        <v>0</v>
      </c>
      <c r="T13">
        <f ca="1">IF(OR(Carteira!C13&gt;0,AND(SUM(Carteira!$C$5:$C$20)=0,Carteira!A13&lt;&gt;"")),N(Carteira!H13)+ROW()/1000000000,"")</f>
        <v>1.3000000000000001E-8</v>
      </c>
      <c r="U13" t="str">
        <f ca="1">IFERROR(INDEX($D$5:$D$20,MATCH(LARGE($T$5:$T$20,9),$T$5:$T$20,0)),"")</f>
        <v>CMIG4</v>
      </c>
      <c r="V13" s="64">
        <f ca="1">IFERROR(INDEX(Carteira!$H$5:$H$20,MATCH(U13,Carteira!$A$5:$A$20,0)),"")</f>
        <v>0</v>
      </c>
      <c r="X13">
        <f ca="1">IF(OR(Carteira!C13&gt;0,AND(SUM(Carteira!$C$5:$C$20)=0,Carteira!A13&lt;&gt;"")),N(Carteira!W13)+ROW()/1000000000,"")</f>
        <v>1.3000000000000001E-8</v>
      </c>
      <c r="Y13" t="str">
        <f ca="1">IFERROR(INDEX($D$5:$D$20,MATCH(LARGE($X$5:$X$20,9),$X$5:$X$20,0)),"")</f>
        <v>CMIG4</v>
      </c>
      <c r="Z13" s="67">
        <f ca="1">IFERROR(INDEX(Carteira!$W$5:$W$20,MATCH(Y13,Carteira!$A$5:$A$20,0)),"")</f>
        <v>0</v>
      </c>
      <c r="AB13">
        <f ca="1">IF(OR(Carteira!C13&gt;0,AND(SUM(Carteira!$C$5:$C$20)=0,Carteira!A13&lt;&gt;"")),N(Carteira!Z13)+ROW()/1000000000,"")</f>
        <v>89211.720000012996</v>
      </c>
      <c r="AC13" t="str">
        <f ca="1">IFERROR(INDEX($D$5:$D$20,MATCH(LARGE($AB$5:$AB$20,9),$AB$5:$AB$20,0)),"")</f>
        <v>XPLG11</v>
      </c>
      <c r="AD13" s="64">
        <f ca="1">IFERROR(INDEX(Carteira!$Z$5:$Z$20,MATCH(AC13,Carteira!$A$5:$A$20,0)),"")</f>
        <v>112715.8</v>
      </c>
      <c r="AF13">
        <f ca="1">IF(OR(Carteira!C13&gt;0,AND(SUM(Carteira!$C$5:$C$20)=0,Carteira!A13&lt;&gt;"")),N(Carteira!J13)+ROW()/1000000000,"")</f>
        <v>1.3000000000000001E-8</v>
      </c>
      <c r="AG13" t="str">
        <f ca="1">IFERROR(INDEX($D$5:$D$20,MATCH(LARGE($AF$5:$AF$20,9),$AF$5:$AF$20,0)),"")</f>
        <v>CMIG4</v>
      </c>
      <c r="AH13" s="64">
        <f ca="1">IFERROR(INDEX(Carteira!$J$5:$J$20,MATCH(AG13,Carteira!$A$5:$A$20,0)),"")</f>
        <v>0</v>
      </c>
      <c r="AJ13" s="66">
        <f ca="1">IF(ISNUMBER(H13),IF(Carteira!$G$21&gt;0,H13/Carteira!$G$21,0),"")</f>
        <v>0</v>
      </c>
    </row>
    <row r="14" spans="1:36" x14ac:dyDescent="0.25">
      <c r="D14" t="str">
        <f>Carteira!A14</f>
        <v>KLBN11</v>
      </c>
      <c r="F14">
        <f ca="1">IF(OR(Carteira!C14&gt;0,AND(SUM(Carteira!$C$5:$C$20)=0,Carteira!A14&lt;&gt;"")),N(Carteira!G14)+ROW()/1000000000,"")</f>
        <v>1.4E-8</v>
      </c>
      <c r="G14" t="str">
        <f ca="1">IFERROR(INDEX($D$5:$D$20,MATCH(LARGE($F$5:$F$20,10),$F$5:$F$20,0)),"")</f>
        <v>ITSA4</v>
      </c>
      <c r="H14" s="65">
        <f ca="1">IFERROR(INDEX(Carteira!$G$5:$G$20,MATCH(G14,Carteira!$A$5:$A$20,0)),"")</f>
        <v>0</v>
      </c>
      <c r="J14">
        <f ca="1">IF(OR(Carteira!C14&gt;0,AND(SUM(Carteira!$C$5:$C$20)=0,Carteira!A14&lt;&gt;"")),N(Carteira!I14)+ROW()/1000000000,"")</f>
        <v>1.4E-8</v>
      </c>
      <c r="K14" t="str">
        <f ca="1">IFERROR(INDEX($D$5:$D$20,MATCH(LARGE($J$5:$J$20,10),$J$5:$J$20,0)),"")</f>
        <v>ITSA4</v>
      </c>
      <c r="L14" s="66">
        <f ca="1">IFERROR(INDEX(Carteira!$I$5:$I$20,MATCH(K14,Carteira!$A$5:$A$20,0)),"")</f>
        <v>0</v>
      </c>
      <c r="M14" s="65">
        <f ca="1">IFERROR(INDEX(Carteira!$H$5:$H$20,MATCH(K14,Carteira!$A$5:$A$20,0)),"")</f>
        <v>0</v>
      </c>
      <c r="O14">
        <f ca="1">IF(OR(Carteira!C14&gt;0,AND(SUM(Carteira!$C$5:$C$20)=0,Carteira!A14&lt;&gt;"")),N(Carteira!I14)+ROW()/1000000000,"")</f>
        <v>1.4E-8</v>
      </c>
      <c r="P14" t="str">
        <f ca="1">IFERROR(INDEX($D$5:$D$20,MATCH(SMALL($O$5:$O$20,10),$O$5:$O$20,0)),"")</f>
        <v>KLBN11</v>
      </c>
      <c r="Q14" s="66">
        <f ca="1">IFERROR(INDEX(Carteira!$I$5:$I$20,MATCH(P14,Carteira!$A$5:$A$20,0)),"")</f>
        <v>0</v>
      </c>
      <c r="R14" s="65">
        <f ca="1">IFERROR(INDEX(Carteira!$H$5:$H$20,MATCH(P14,Carteira!$A$5:$A$20,0)),"")</f>
        <v>0</v>
      </c>
      <c r="T14">
        <f ca="1">IF(OR(Carteira!C14&gt;0,AND(SUM(Carteira!$C$5:$C$20)=0,Carteira!A14&lt;&gt;"")),N(Carteira!H14)+ROW()/1000000000,"")</f>
        <v>1.4E-8</v>
      </c>
      <c r="U14" t="str">
        <f ca="1">IFERROR(INDEX($D$5:$D$20,MATCH(LARGE($T$5:$T$20,10),$T$5:$T$20,0)),"")</f>
        <v>ITSA4</v>
      </c>
      <c r="V14" s="64">
        <f ca="1">IFERROR(INDEX(Carteira!$H$5:$H$20,MATCH(U14,Carteira!$A$5:$A$20,0)),"")</f>
        <v>0</v>
      </c>
      <c r="X14">
        <f ca="1">IF(OR(Carteira!C14&gt;0,AND(SUM(Carteira!$C$5:$C$20)=0,Carteira!A14&lt;&gt;"")),N(Carteira!W14)+ROW()/1000000000,"")</f>
        <v>1.4E-8</v>
      </c>
      <c r="Y14" t="str">
        <f ca="1">IFERROR(INDEX($D$5:$D$20,MATCH(LARGE($X$5:$X$20,10),$X$5:$X$20,0)),"")</f>
        <v>ITSA4</v>
      </c>
      <c r="Z14" s="67">
        <f ca="1">IFERROR(INDEX(Carteira!$W$5:$W$20,MATCH(Y14,Carteira!$A$5:$A$20,0)),"")</f>
        <v>0</v>
      </c>
      <c r="AB14">
        <f ca="1">IF(OR(Carteira!C14&gt;0,AND(SUM(Carteira!$C$5:$C$20)=0,Carteira!A14&lt;&gt;"")),N(Carteira!Z14)+ROW()/1000000000,"")</f>
        <v>187598.40000001399</v>
      </c>
      <c r="AC14" t="str">
        <f ca="1">IFERROR(INDEX($D$5:$D$20,MATCH(LARGE($AB$5:$AB$20,10),$AB$5:$AB$20,0)),"")</f>
        <v>XPML11</v>
      </c>
      <c r="AD14" s="64">
        <f ca="1">IFERROR(INDEX(Carteira!$Z$5:$Z$20,MATCH(AC14,Carteira!$A$5:$A$20,0)),"")</f>
        <v>107067.8</v>
      </c>
      <c r="AF14">
        <f ca="1">IF(OR(Carteira!C14&gt;0,AND(SUM(Carteira!$C$5:$C$20)=0,Carteira!A14&lt;&gt;"")),N(Carteira!J14)+ROW()/1000000000,"")</f>
        <v>1.4E-8</v>
      </c>
      <c r="AG14" t="str">
        <f ca="1">IFERROR(INDEX($D$5:$D$20,MATCH(LARGE($AF$5:$AF$20,10),$AF$5:$AF$20,0)),"")</f>
        <v>ITSA4</v>
      </c>
      <c r="AH14" s="64">
        <f ca="1">IFERROR(INDEX(Carteira!$J$5:$J$20,MATCH(AG14,Carteira!$A$5:$A$20,0)),"")</f>
        <v>0</v>
      </c>
      <c r="AJ14" s="66">
        <f ca="1">IF(ISNUMBER(H14),IF(Carteira!$G$21&gt;0,H14/Carteira!$G$21,0),"")</f>
        <v>0</v>
      </c>
    </row>
    <row r="15" spans="1:36" x14ac:dyDescent="0.25">
      <c r="D15" t="str">
        <f>Carteira!A15</f>
        <v>MXRF11</v>
      </c>
      <c r="F15">
        <f ca="1">IF(OR(Carteira!C15&gt;0,AND(SUM(Carteira!$C$5:$C$20)=0,Carteira!A15&lt;&gt;"")),N(Carteira!G15)+ROW()/1000000000,"")</f>
        <v>1.4999999999999999E-8</v>
      </c>
      <c r="G15" t="str">
        <f ca="1">IFERROR(INDEX($D$5:$D$20,MATCH(LARGE($F$5:$F$20,11),$F$5:$F$20,0)),"")</f>
        <v>BBDC4</v>
      </c>
      <c r="H15" s="65">
        <f ca="1">IFERROR(INDEX(Carteira!$G$5:$G$20,MATCH(G15,Carteira!$A$5:$A$20,0)),"")</f>
        <v>0</v>
      </c>
      <c r="J15">
        <f ca="1">IF(OR(Carteira!C15&gt;0,AND(SUM(Carteira!$C$5:$C$20)=0,Carteira!A15&lt;&gt;"")),N(Carteira!I15)+ROW()/1000000000,"")</f>
        <v>1.4999999999999999E-8</v>
      </c>
      <c r="K15" t="str">
        <f ca="1">IFERROR(INDEX($D$5:$D$20,MATCH(LARGE($J$5:$J$20,11),$J$5:$J$20,0)),"")</f>
        <v>BBDC4</v>
      </c>
      <c r="L15" s="66">
        <f ca="1">IFERROR(INDEX(Carteira!$I$5:$I$20,MATCH(K15,Carteira!$A$5:$A$20,0)),"")</f>
        <v>0</v>
      </c>
      <c r="M15" s="65">
        <f ca="1">IFERROR(INDEX(Carteira!$H$5:$H$20,MATCH(K15,Carteira!$A$5:$A$20,0)),"")</f>
        <v>0</v>
      </c>
      <c r="O15">
        <f ca="1">IF(OR(Carteira!C15&gt;0,AND(SUM(Carteira!$C$5:$C$20)=0,Carteira!A15&lt;&gt;"")),N(Carteira!I15)+ROW()/1000000000,"")</f>
        <v>1.4999999999999999E-8</v>
      </c>
      <c r="P15" t="str">
        <f ca="1">IFERROR(INDEX($D$5:$D$20,MATCH(SMALL($O$5:$O$20,11),$O$5:$O$20,0)),"")</f>
        <v>MXRF11</v>
      </c>
      <c r="Q15" s="66">
        <f ca="1">IFERROR(INDEX(Carteira!$I$5:$I$20,MATCH(P15,Carteira!$A$5:$A$20,0)),"")</f>
        <v>0</v>
      </c>
      <c r="R15" s="65">
        <f ca="1">IFERROR(INDEX(Carteira!$H$5:$H$20,MATCH(P15,Carteira!$A$5:$A$20,0)),"")</f>
        <v>0</v>
      </c>
      <c r="T15">
        <f ca="1">IF(OR(Carteira!C15&gt;0,AND(SUM(Carteira!$C$5:$C$20)=0,Carteira!A15&lt;&gt;"")),N(Carteira!H15)+ROW()/1000000000,"")</f>
        <v>1.4999999999999999E-8</v>
      </c>
      <c r="U15" t="str">
        <f ca="1">IFERROR(INDEX($D$5:$D$20,MATCH(LARGE($T$5:$T$20,11),$T$5:$T$20,0)),"")</f>
        <v>BBDC4</v>
      </c>
      <c r="V15" s="64">
        <f ca="1">IFERROR(INDEX(Carteira!$H$5:$H$20,MATCH(U15,Carteira!$A$5:$A$20,0)),"")</f>
        <v>0</v>
      </c>
      <c r="X15">
        <f ca="1">IF(OR(Carteira!C15&gt;0,AND(SUM(Carteira!$C$5:$C$20)=0,Carteira!A15&lt;&gt;"")),N(Carteira!W15)+ROW()/1000000000,"")</f>
        <v>1.4999999999999999E-8</v>
      </c>
      <c r="Y15" t="str">
        <f ca="1">IFERROR(INDEX($D$5:$D$20,MATCH(LARGE($X$5:$X$20,11),$X$5:$X$20,0)),"")</f>
        <v>BBDC4</v>
      </c>
      <c r="Z15" s="67">
        <f ca="1">IFERROR(INDEX(Carteira!$W$5:$W$20,MATCH(Y15,Carteira!$A$5:$A$20,0)),"")</f>
        <v>0</v>
      </c>
      <c r="AB15">
        <f ca="1">IF(OR(Carteira!C15&gt;0,AND(SUM(Carteira!$C$5:$C$20)=0,Carteira!A15&lt;&gt;"")),N(Carteira!Z15)+ROW()/1000000000,"")</f>
        <v>91436.800000015006</v>
      </c>
      <c r="AC15" t="str">
        <f ca="1">IFERROR(INDEX($D$5:$D$20,MATCH(LARGE($AB$5:$AB$20,11),$AB$5:$AB$20,0)),"")</f>
        <v>BRCR11</v>
      </c>
      <c r="AD15" s="64">
        <f ca="1">IFERROR(INDEX(Carteira!$Z$5:$Z$20,MATCH(AC15,Carteira!$A$5:$A$20,0)),"")</f>
        <v>100430.39999999999</v>
      </c>
      <c r="AF15">
        <f ca="1">IF(OR(Carteira!C15&gt;0,AND(SUM(Carteira!$C$5:$C$20)=0,Carteira!A15&lt;&gt;"")),N(Carteira!J15)+ROW()/1000000000,"")</f>
        <v>1.4999999999999999E-8</v>
      </c>
      <c r="AG15" t="str">
        <f ca="1">IFERROR(INDEX($D$5:$D$20,MATCH(LARGE($AF$5:$AF$20,11),$AF$5:$AF$20,0)),"")</f>
        <v>BBDC4</v>
      </c>
      <c r="AH15" s="64">
        <f ca="1">IFERROR(INDEX(Carteira!$J$5:$J$20,MATCH(AG15,Carteira!$A$5:$A$20,0)),"")</f>
        <v>0</v>
      </c>
      <c r="AJ15" s="66">
        <f ca="1">IF(ISNUMBER(H15),IF(Carteira!$G$21&gt;0,H15/Carteira!$G$21,0),"")</f>
        <v>0</v>
      </c>
    </row>
    <row r="16" spans="1:36" x14ac:dyDescent="0.25">
      <c r="D16" t="str">
        <f>Carteira!A16</f>
        <v>BRCR11</v>
      </c>
      <c r="F16">
        <f ca="1">IF(OR(Carteira!C16&gt;0,AND(SUM(Carteira!$C$5:$C$20)=0,Carteira!A16&lt;&gt;"")),N(Carteira!G16)+ROW()/1000000000,"")</f>
        <v>1.6000000000000001E-8</v>
      </c>
      <c r="G16" t="str">
        <f ca="1">IFERROR(INDEX($D$5:$D$20,MATCH(LARGE($F$5:$F$20,12),$F$5:$F$20,0)),"")</f>
        <v>BRBI11</v>
      </c>
      <c r="H16" s="65">
        <f ca="1">IFERROR(INDEX(Carteira!$G$5:$G$20,MATCH(G16,Carteira!$A$5:$A$20,0)),"")</f>
        <v>0</v>
      </c>
      <c r="J16">
        <f ca="1">IF(OR(Carteira!C16&gt;0,AND(SUM(Carteira!$C$5:$C$20)=0,Carteira!A16&lt;&gt;"")),N(Carteira!I16)+ROW()/1000000000,"")</f>
        <v>1.6000000000000001E-8</v>
      </c>
      <c r="K16" t="str">
        <f ca="1">IFERROR(INDEX($D$5:$D$20,MATCH(LARGE($J$5:$J$20,12),$J$5:$J$20,0)),"")</f>
        <v>BRBI11</v>
      </c>
      <c r="L16" s="66">
        <f ca="1">IFERROR(INDEX(Carteira!$I$5:$I$20,MATCH(K16,Carteira!$A$5:$A$20,0)),"")</f>
        <v>0</v>
      </c>
      <c r="M16" s="65">
        <f ca="1">IFERROR(INDEX(Carteira!$H$5:$H$20,MATCH(K16,Carteira!$A$5:$A$20,0)),"")</f>
        <v>0</v>
      </c>
      <c r="O16">
        <f ca="1">IF(OR(Carteira!C16&gt;0,AND(SUM(Carteira!$C$5:$C$20)=0,Carteira!A16&lt;&gt;"")),N(Carteira!I16)+ROW()/1000000000,"")</f>
        <v>1.6000000000000001E-8</v>
      </c>
      <c r="P16" t="str">
        <f ca="1">IFERROR(INDEX($D$5:$D$20,MATCH(SMALL($O$5:$O$20,12),$O$5:$O$20,0)),"")</f>
        <v>BRCR11</v>
      </c>
      <c r="Q16" s="66">
        <f ca="1">IFERROR(INDEX(Carteira!$I$5:$I$20,MATCH(P16,Carteira!$A$5:$A$20,0)),"")</f>
        <v>0</v>
      </c>
      <c r="R16" s="65">
        <f ca="1">IFERROR(INDEX(Carteira!$H$5:$H$20,MATCH(P16,Carteira!$A$5:$A$20,0)),"")</f>
        <v>0</v>
      </c>
      <c r="T16">
        <f ca="1">IF(OR(Carteira!C16&gt;0,AND(SUM(Carteira!$C$5:$C$20)=0,Carteira!A16&lt;&gt;"")),N(Carteira!H16)+ROW()/1000000000,"")</f>
        <v>1.6000000000000001E-8</v>
      </c>
      <c r="U16" t="str">
        <f ca="1">IFERROR(INDEX($D$5:$D$20,MATCH(LARGE($T$5:$T$20,12),$T$5:$T$20,0)),"")</f>
        <v>BRBI11</v>
      </c>
      <c r="V16" s="64">
        <f ca="1">IFERROR(INDEX(Carteira!$H$5:$H$20,MATCH(U16,Carteira!$A$5:$A$20,0)),"")</f>
        <v>0</v>
      </c>
      <c r="X16">
        <f ca="1">IF(OR(Carteira!C16&gt;0,AND(SUM(Carteira!$C$5:$C$20)=0,Carteira!A16&lt;&gt;"")),N(Carteira!W16)+ROW()/1000000000,"")</f>
        <v>1.6000000000000001E-8</v>
      </c>
      <c r="Y16" t="str">
        <f ca="1">IFERROR(INDEX($D$5:$D$20,MATCH(LARGE($X$5:$X$20,12),$X$5:$X$20,0)),"")</f>
        <v>BRBI11</v>
      </c>
      <c r="Z16" s="67">
        <f ca="1">IFERROR(INDEX(Carteira!$W$5:$W$20,MATCH(Y16,Carteira!$A$5:$A$20,0)),"")</f>
        <v>0</v>
      </c>
      <c r="AB16">
        <f ca="1">IF(OR(Carteira!C16&gt;0,AND(SUM(Carteira!$C$5:$C$20)=0,Carteira!A16&lt;&gt;"")),N(Carteira!Z16)+ROW()/1000000000,"")</f>
        <v>100430.400000016</v>
      </c>
      <c r="AC16" t="str">
        <f ca="1">IFERROR(INDEX($D$5:$D$20,MATCH(LARGE($AB$5:$AB$20,12),$AB$5:$AB$20,0)),"")</f>
        <v>CMIG4</v>
      </c>
      <c r="AD16" s="64">
        <f ca="1">IFERROR(INDEX(Carteira!$Z$5:$Z$20,MATCH(AC16,Carteira!$A$5:$A$20,0)),"")</f>
        <v>96757.650000000009</v>
      </c>
      <c r="AF16">
        <f ca="1">IF(OR(Carteira!C16&gt;0,AND(SUM(Carteira!$C$5:$C$20)=0,Carteira!A16&lt;&gt;"")),N(Carteira!J16)+ROW()/1000000000,"")</f>
        <v>1.6000000000000001E-8</v>
      </c>
      <c r="AG16" t="str">
        <f ca="1">IFERROR(INDEX($D$5:$D$20,MATCH(LARGE($AF$5:$AF$20,12),$AF$5:$AF$20,0)),"")</f>
        <v>BRBI11</v>
      </c>
      <c r="AH16" s="64">
        <f ca="1">IFERROR(INDEX(Carteira!$J$5:$J$20,MATCH(AG16,Carteira!$A$5:$A$20,0)),"")</f>
        <v>0</v>
      </c>
      <c r="AJ16" s="66">
        <f ca="1">IF(ISNUMBER(H16),IF(Carteira!$G$21&gt;0,H16/Carteira!$G$21,0),"")</f>
        <v>0</v>
      </c>
    </row>
    <row r="17" spans="4:36" x14ac:dyDescent="0.25">
      <c r="D17" t="str">
        <f>Carteira!A17</f>
        <v>XPLG11</v>
      </c>
      <c r="F17">
        <f ca="1">IF(OR(Carteira!C17&gt;0,AND(SUM(Carteira!$C$5:$C$20)=0,Carteira!A17&lt;&gt;"")),N(Carteira!G17)+ROW()/1000000000,"")</f>
        <v>1.7E-8</v>
      </c>
      <c r="G17" t="str">
        <f ca="1">IFERROR(INDEX($D$5:$D$20,MATCH(LARGE($F$5:$F$20,13),$F$5:$F$20,0)),"")</f>
        <v>BBAS3</v>
      </c>
      <c r="H17" s="65">
        <f ca="1">IFERROR(INDEX(Carteira!$G$5:$G$20,MATCH(G17,Carteira!$A$5:$A$20,0)),"")</f>
        <v>0</v>
      </c>
      <c r="J17">
        <f ca="1">IF(OR(Carteira!C17&gt;0,AND(SUM(Carteira!$C$5:$C$20)=0,Carteira!A17&lt;&gt;"")),N(Carteira!I17)+ROW()/1000000000,"")</f>
        <v>1.7E-8</v>
      </c>
      <c r="K17" t="str">
        <f ca="1">IFERROR(INDEX($D$5:$D$20,MATCH(LARGE($J$5:$J$20,13),$J$5:$J$20,0)),"")</f>
        <v>BBAS3</v>
      </c>
      <c r="L17" s="66">
        <f ca="1">IFERROR(INDEX(Carteira!$I$5:$I$20,MATCH(K17,Carteira!$A$5:$A$20,0)),"")</f>
        <v>0</v>
      </c>
      <c r="M17" s="65">
        <f ca="1">IFERROR(INDEX(Carteira!$H$5:$H$20,MATCH(K17,Carteira!$A$5:$A$20,0)),"")</f>
        <v>0</v>
      </c>
      <c r="O17">
        <f ca="1">IF(OR(Carteira!C17&gt;0,AND(SUM(Carteira!$C$5:$C$20)=0,Carteira!A17&lt;&gt;"")),N(Carteira!I17)+ROW()/1000000000,"")</f>
        <v>1.7E-8</v>
      </c>
      <c r="P17" t="str">
        <f ca="1">IFERROR(INDEX($D$5:$D$20,MATCH(SMALL($O$5:$O$20,13),$O$5:$O$20,0)),"")</f>
        <v>XPLG11</v>
      </c>
      <c r="Q17" s="66">
        <f ca="1">IFERROR(INDEX(Carteira!$I$5:$I$20,MATCH(P17,Carteira!$A$5:$A$20,0)),"")</f>
        <v>0</v>
      </c>
      <c r="R17" s="65">
        <f ca="1">IFERROR(INDEX(Carteira!$H$5:$H$20,MATCH(P17,Carteira!$A$5:$A$20,0)),"")</f>
        <v>0</v>
      </c>
      <c r="T17">
        <f ca="1">IF(OR(Carteira!C17&gt;0,AND(SUM(Carteira!$C$5:$C$20)=0,Carteira!A17&lt;&gt;"")),N(Carteira!H17)+ROW()/1000000000,"")</f>
        <v>1.7E-8</v>
      </c>
      <c r="U17" t="str">
        <f ca="1">IFERROR(INDEX($D$5:$D$20,MATCH(LARGE($T$5:$T$20,13),$T$5:$T$20,0)),"")</f>
        <v>BBAS3</v>
      </c>
      <c r="V17" s="64">
        <f ca="1">IFERROR(INDEX(Carteira!$H$5:$H$20,MATCH(U17,Carteira!$A$5:$A$20,0)),"")</f>
        <v>0</v>
      </c>
      <c r="X17">
        <f ca="1">IF(OR(Carteira!C17&gt;0,AND(SUM(Carteira!$C$5:$C$20)=0,Carteira!A17&lt;&gt;"")),N(Carteira!W17)+ROW()/1000000000,"")</f>
        <v>1.7E-8</v>
      </c>
      <c r="Y17" t="str">
        <f ca="1">IFERROR(INDEX($D$5:$D$20,MATCH(LARGE($X$5:$X$20,13),$X$5:$X$20,0)),"")</f>
        <v>BBAS3</v>
      </c>
      <c r="Z17" s="67">
        <f ca="1">IFERROR(INDEX(Carteira!$W$5:$W$20,MATCH(Y17,Carteira!$A$5:$A$20,0)),"")</f>
        <v>0</v>
      </c>
      <c r="AB17">
        <f ca="1">IF(OR(Carteira!C17&gt;0,AND(SUM(Carteira!$C$5:$C$20)=0,Carteira!A17&lt;&gt;"")),N(Carteira!Z17)+ROW()/1000000000,"")</f>
        <v>112715.800000017</v>
      </c>
      <c r="AC17" t="str">
        <f ca="1">IFERROR(INDEX($D$5:$D$20,MATCH(LARGE($AB$5:$AB$20,13),$AB$5:$AB$20,0)),"")</f>
        <v>MXRF11</v>
      </c>
      <c r="AD17" s="64">
        <f ca="1">IFERROR(INDEX(Carteira!$Z$5:$Z$20,MATCH(AC17,Carteira!$A$5:$A$20,0)),"")</f>
        <v>91436.800000000003</v>
      </c>
      <c r="AF17">
        <f ca="1">IF(OR(Carteira!C17&gt;0,AND(SUM(Carteira!$C$5:$C$20)=0,Carteira!A17&lt;&gt;"")),N(Carteira!J17)+ROW()/1000000000,"")</f>
        <v>1.7E-8</v>
      </c>
      <c r="AG17" t="str">
        <f ca="1">IFERROR(INDEX($D$5:$D$20,MATCH(LARGE($AF$5:$AF$20,13),$AF$5:$AF$20,0)),"")</f>
        <v>BBAS3</v>
      </c>
      <c r="AH17" s="64">
        <f ca="1">IFERROR(INDEX(Carteira!$J$5:$J$20,MATCH(AG17,Carteira!$A$5:$A$20,0)),"")</f>
        <v>0</v>
      </c>
      <c r="AJ17" s="66">
        <f ca="1">IF(ISNUMBER(H17),IF(Carteira!$G$21&gt;0,H17/Carteira!$G$21,0),"")</f>
        <v>0</v>
      </c>
    </row>
    <row r="18" spans="4:36" x14ac:dyDescent="0.25">
      <c r="D18" t="str">
        <f>Carteira!A18</f>
        <v>XPML11</v>
      </c>
      <c r="F18">
        <f ca="1">IF(OR(Carteira!C18&gt;0,AND(SUM(Carteira!$C$5:$C$20)=0,Carteira!A18&lt;&gt;"")),N(Carteira!G18)+ROW()/1000000000,"")</f>
        <v>1.7999999999999999E-8</v>
      </c>
      <c r="G18" t="str">
        <f ca="1">IFERROR(INDEX($D$5:$D$20,MATCH(LARGE($F$5:$F$20,14),$F$5:$F$20,0)),"")</f>
        <v>PETR4</v>
      </c>
      <c r="H18" s="65">
        <f ca="1">IFERROR(INDEX(Carteira!$G$5:$G$20,MATCH(G18,Carteira!$A$5:$A$20,0)),"")</f>
        <v>0</v>
      </c>
      <c r="J18">
        <f ca="1">IF(OR(Carteira!C18&gt;0,AND(SUM(Carteira!$C$5:$C$20)=0,Carteira!A18&lt;&gt;"")),N(Carteira!I18)+ROW()/1000000000,"")</f>
        <v>1.7999999999999999E-8</v>
      </c>
      <c r="K18" t="str">
        <f ca="1">IFERROR(INDEX($D$5:$D$20,MATCH(LARGE($J$5:$J$20,14),$J$5:$J$20,0)),"")</f>
        <v>PETR4</v>
      </c>
      <c r="L18" s="66">
        <f ca="1">IFERROR(INDEX(Carteira!$I$5:$I$20,MATCH(K18,Carteira!$A$5:$A$20,0)),"")</f>
        <v>0</v>
      </c>
      <c r="M18" s="65">
        <f ca="1">IFERROR(INDEX(Carteira!$H$5:$H$20,MATCH(K18,Carteira!$A$5:$A$20,0)),"")</f>
        <v>0</v>
      </c>
      <c r="O18">
        <f ca="1">IF(OR(Carteira!C18&gt;0,AND(SUM(Carteira!$C$5:$C$20)=0,Carteira!A18&lt;&gt;"")),N(Carteira!I18)+ROW()/1000000000,"")</f>
        <v>1.7999999999999999E-8</v>
      </c>
      <c r="P18" t="str">
        <f ca="1">IFERROR(INDEX($D$5:$D$20,MATCH(SMALL($O$5:$O$20,14),$O$5:$O$20,0)),"")</f>
        <v>XPML11</v>
      </c>
      <c r="Q18" s="66">
        <f ca="1">IFERROR(INDEX(Carteira!$I$5:$I$20,MATCH(P18,Carteira!$A$5:$A$20,0)),"")</f>
        <v>0</v>
      </c>
      <c r="R18" s="65">
        <f ca="1">IFERROR(INDEX(Carteira!$H$5:$H$20,MATCH(P18,Carteira!$A$5:$A$20,0)),"")</f>
        <v>0</v>
      </c>
      <c r="T18">
        <f ca="1">IF(OR(Carteira!C18&gt;0,AND(SUM(Carteira!$C$5:$C$20)=0,Carteira!A18&lt;&gt;"")),N(Carteira!H18)+ROW()/1000000000,"")</f>
        <v>1.7999999999999999E-8</v>
      </c>
      <c r="U18" t="str">
        <f ca="1">IFERROR(INDEX($D$5:$D$20,MATCH(LARGE($T$5:$T$20,14),$T$5:$T$20,0)),"")</f>
        <v>PETR4</v>
      </c>
      <c r="V18" s="64">
        <f ca="1">IFERROR(INDEX(Carteira!$H$5:$H$20,MATCH(U18,Carteira!$A$5:$A$20,0)),"")</f>
        <v>0</v>
      </c>
      <c r="X18">
        <f ca="1">IF(OR(Carteira!C18&gt;0,AND(SUM(Carteira!$C$5:$C$20)=0,Carteira!A18&lt;&gt;"")),N(Carteira!W18)+ROW()/1000000000,"")</f>
        <v>1.7999999999999999E-8</v>
      </c>
      <c r="Y18" t="str">
        <f ca="1">IFERROR(INDEX($D$5:$D$20,MATCH(LARGE($X$5:$X$20,14),$X$5:$X$20,0)),"")</f>
        <v>PETR4</v>
      </c>
      <c r="Z18" s="67">
        <f ca="1">IFERROR(INDEX(Carteira!$W$5:$W$20,MATCH(Y18,Carteira!$A$5:$A$20,0)),"")</f>
        <v>0</v>
      </c>
      <c r="AB18">
        <f ca="1">IF(OR(Carteira!C18&gt;0,AND(SUM(Carteira!$C$5:$C$20)=0,Carteira!A18&lt;&gt;"")),N(Carteira!Z18)+ROW()/1000000000,"")</f>
        <v>107067.800000018</v>
      </c>
      <c r="AC18" t="str">
        <f ca="1">IFERROR(INDEX($D$5:$D$20,MATCH(LARGE($AB$5:$AB$20,14),$AB$5:$AB$20,0)),"")</f>
        <v>FIQE3</v>
      </c>
      <c r="AD18" s="64">
        <f ca="1">IFERROR(INDEX(Carteira!$Z$5:$Z$20,MATCH(AC18,Carteira!$A$5:$A$20,0)),"")</f>
        <v>89211.72</v>
      </c>
      <c r="AF18">
        <f ca="1">IF(OR(Carteira!C18&gt;0,AND(SUM(Carteira!$C$5:$C$20)=0,Carteira!A18&lt;&gt;"")),N(Carteira!J18)+ROW()/1000000000,"")</f>
        <v>1.7999999999999999E-8</v>
      </c>
      <c r="AG18" t="str">
        <f ca="1">IFERROR(INDEX($D$5:$D$20,MATCH(LARGE($AF$5:$AF$20,14),$AF$5:$AF$20,0)),"")</f>
        <v>PETR4</v>
      </c>
      <c r="AH18" s="64">
        <f ca="1">IFERROR(INDEX(Carteira!$J$5:$J$20,MATCH(AG18,Carteira!$A$5:$A$20,0)),"")</f>
        <v>0</v>
      </c>
      <c r="AJ18" s="66">
        <f ca="1">IF(ISNUMBER(H18),IF(Carteira!$G$21&gt;0,H18/Carteira!$G$21,0),"")</f>
        <v>0</v>
      </c>
    </row>
    <row r="19" spans="4:36" x14ac:dyDescent="0.25">
      <c r="D19" t="str">
        <f>Carteira!A19</f>
        <v>SNAG11</v>
      </c>
      <c r="F19">
        <f ca="1">IF(OR(Carteira!C19&gt;0,AND(SUM(Carteira!$C$5:$C$20)=0,Carteira!A19&lt;&gt;"")),N(Carteira!G19)+ROW()/1000000000,"")</f>
        <v>1.9000000000000001E-8</v>
      </c>
      <c r="G19" t="str">
        <f ca="1">IFERROR(INDEX($D$5:$D$20,MATCH(LARGE($F$5:$F$20,15),$F$5:$F$20,0)),"")</f>
        <v>TAEE11</v>
      </c>
      <c r="H19" s="65">
        <f ca="1">IFERROR(INDEX(Carteira!$G$5:$G$20,MATCH(G19,Carteira!$A$5:$A$20,0)),"")</f>
        <v>0</v>
      </c>
      <c r="J19">
        <f ca="1">IF(OR(Carteira!C19&gt;0,AND(SUM(Carteira!$C$5:$C$20)=0,Carteira!A19&lt;&gt;"")),N(Carteira!I19)+ROW()/1000000000,"")</f>
        <v>1.9000000000000001E-8</v>
      </c>
      <c r="K19" t="str">
        <f ca="1">IFERROR(INDEX($D$5:$D$20,MATCH(LARGE($J$5:$J$20,15),$J$5:$J$20,0)),"")</f>
        <v>TAEE11</v>
      </c>
      <c r="L19" s="66">
        <f ca="1">IFERROR(INDEX(Carteira!$I$5:$I$20,MATCH(K19,Carteira!$A$5:$A$20,0)),"")</f>
        <v>0</v>
      </c>
      <c r="M19" s="65">
        <f ca="1">IFERROR(INDEX(Carteira!$H$5:$H$20,MATCH(K19,Carteira!$A$5:$A$20,0)),"")</f>
        <v>0</v>
      </c>
      <c r="O19">
        <f ca="1">IF(OR(Carteira!C19&gt;0,AND(SUM(Carteira!$C$5:$C$20)=0,Carteira!A19&lt;&gt;"")),N(Carteira!I19)+ROW()/1000000000,"")</f>
        <v>1.9000000000000001E-8</v>
      </c>
      <c r="P19" t="str">
        <f ca="1">IFERROR(INDEX($D$5:$D$20,MATCH(SMALL($O$5:$O$20,15),$O$5:$O$20,0)),"")</f>
        <v>SNAG11</v>
      </c>
      <c r="Q19" s="66">
        <f ca="1">IFERROR(INDEX(Carteira!$I$5:$I$20,MATCH(P19,Carteira!$A$5:$A$20,0)),"")</f>
        <v>0</v>
      </c>
      <c r="R19" s="65">
        <f ca="1">IFERROR(INDEX(Carteira!$H$5:$H$20,MATCH(P19,Carteira!$A$5:$A$20,0)),"")</f>
        <v>0</v>
      </c>
      <c r="T19">
        <f ca="1">IF(OR(Carteira!C19&gt;0,AND(SUM(Carteira!$C$5:$C$20)=0,Carteira!A19&lt;&gt;"")),N(Carteira!H19)+ROW()/1000000000,"")</f>
        <v>1.9000000000000001E-8</v>
      </c>
      <c r="U19" t="str">
        <f ca="1">IFERROR(INDEX($D$5:$D$20,MATCH(LARGE($T$5:$T$20,15),$T$5:$T$20,0)),"")</f>
        <v>TAEE11</v>
      </c>
      <c r="V19" s="64">
        <f ca="1">IFERROR(INDEX(Carteira!$H$5:$H$20,MATCH(U19,Carteira!$A$5:$A$20,0)),"")</f>
        <v>0</v>
      </c>
      <c r="X19">
        <f ca="1">IF(OR(Carteira!C19&gt;0,AND(SUM(Carteira!$C$5:$C$20)=0,Carteira!A19&lt;&gt;"")),N(Carteira!W19)+ROW()/1000000000,"")</f>
        <v>1.9000000000000001E-8</v>
      </c>
      <c r="Y19" t="str">
        <f ca="1">IFERROR(INDEX($D$5:$D$20,MATCH(LARGE($X$5:$X$20,15),$X$5:$X$20,0)),"")</f>
        <v>TAEE11</v>
      </c>
      <c r="Z19" s="67">
        <f ca="1">IFERROR(INDEX(Carteira!$W$5:$W$20,MATCH(Y19,Carteira!$A$5:$A$20,0)),"")</f>
        <v>0</v>
      </c>
      <c r="AB19">
        <f ca="1">IF(OR(Carteira!C19&gt;0,AND(SUM(Carteira!$C$5:$C$20)=0,Carteira!A19&lt;&gt;"")),N(Carteira!Z19)+ROW()/1000000000,"")</f>
        <v>74582.900000019014</v>
      </c>
      <c r="AC19" t="str">
        <f ca="1">IFERROR(INDEX($D$5:$D$20,MATCH(LARGE($AB$5:$AB$20,15),$AB$5:$AB$20,0)),"")</f>
        <v>CPTS11</v>
      </c>
      <c r="AD19" s="64">
        <f ca="1">IFERROR(INDEX(Carteira!$Z$5:$Z$20,MATCH(AC19,Carteira!$A$5:$A$20,0)),"")</f>
        <v>82784.400000000009</v>
      </c>
      <c r="AF19">
        <f ca="1">IF(OR(Carteira!C19&gt;0,AND(SUM(Carteira!$C$5:$C$20)=0,Carteira!A19&lt;&gt;"")),N(Carteira!J19)+ROW()/1000000000,"")</f>
        <v>1.9000000000000001E-8</v>
      </c>
      <c r="AG19" t="str">
        <f ca="1">IFERROR(INDEX($D$5:$D$20,MATCH(LARGE($AF$5:$AF$20,15),$AF$5:$AF$20,0)),"")</f>
        <v>TAEE11</v>
      </c>
      <c r="AH19" s="64">
        <f ca="1">IFERROR(INDEX(Carteira!$J$5:$J$20,MATCH(AG19,Carteira!$A$5:$A$20,0)),"")</f>
        <v>0</v>
      </c>
      <c r="AJ19" s="66">
        <f ca="1">IF(ISNUMBER(H19),IF(Carteira!$G$21&gt;0,H19/Carteira!$G$21,0),"")</f>
        <v>0</v>
      </c>
    </row>
    <row r="20" spans="4:36" x14ac:dyDescent="0.25">
      <c r="D20" t="str">
        <f>Carteira!A20</f>
        <v>CPTS11</v>
      </c>
      <c r="F20">
        <f ca="1">IF(OR(Carteira!C20&gt;0,AND(SUM(Carteira!$C$5:$C$20)=0,Carteira!A20&lt;&gt;"")),N(Carteira!G20)+ROW()/1000000000,"")</f>
        <v>2E-8</v>
      </c>
      <c r="G20" t="str">
        <f ca="1">IFERROR(INDEX($D$5:$D$20,MATCH(LARGE($F$5:$F$20,16),$F$5:$F$20,0)),"")</f>
        <v>VALE3</v>
      </c>
      <c r="H20" s="65">
        <f ca="1">IFERROR(INDEX(Carteira!$G$5:$G$20,MATCH(G20,Carteira!$A$5:$A$20,0)),"")</f>
        <v>0</v>
      </c>
      <c r="J20">
        <f ca="1">IF(OR(Carteira!C20&gt;0,AND(SUM(Carteira!$C$5:$C$20)=0,Carteira!A20&lt;&gt;"")),N(Carteira!I20)+ROW()/1000000000,"")</f>
        <v>2E-8</v>
      </c>
      <c r="K20" t="str">
        <f ca="1">IFERROR(INDEX($D$5:$D$20,MATCH(LARGE($J$5:$J$20,16),$J$5:$J$20,0)),"")</f>
        <v>VALE3</v>
      </c>
      <c r="L20" s="66">
        <f ca="1">IFERROR(INDEX(Carteira!$I$5:$I$20,MATCH(K20,Carteira!$A$5:$A$20,0)),"")</f>
        <v>0</v>
      </c>
      <c r="M20" s="65">
        <f ca="1">IFERROR(INDEX(Carteira!$H$5:$H$20,MATCH(K20,Carteira!$A$5:$A$20,0)),"")</f>
        <v>0</v>
      </c>
      <c r="O20">
        <f ca="1">IF(OR(Carteira!C20&gt;0,AND(SUM(Carteira!$C$5:$C$20)=0,Carteira!A20&lt;&gt;"")),N(Carteira!I20)+ROW()/1000000000,"")</f>
        <v>2E-8</v>
      </c>
      <c r="P20" t="str">
        <f ca="1">IFERROR(INDEX($D$5:$D$20,MATCH(SMALL($O$5:$O$20,16),$O$5:$O$20,0)),"")</f>
        <v>CPTS11</v>
      </c>
      <c r="Q20" s="66">
        <f ca="1">IFERROR(INDEX(Carteira!$I$5:$I$20,MATCH(P20,Carteira!$A$5:$A$20,0)),"")</f>
        <v>0</v>
      </c>
      <c r="R20" s="65">
        <f ca="1">IFERROR(INDEX(Carteira!$H$5:$H$20,MATCH(P20,Carteira!$A$5:$A$20,0)),"")</f>
        <v>0</v>
      </c>
      <c r="T20">
        <f ca="1">IF(OR(Carteira!C20&gt;0,AND(SUM(Carteira!$C$5:$C$20)=0,Carteira!A20&lt;&gt;"")),N(Carteira!H20)+ROW()/1000000000,"")</f>
        <v>2E-8</v>
      </c>
      <c r="U20" t="str">
        <f ca="1">IFERROR(INDEX($D$5:$D$20,MATCH(LARGE($T$5:$T$20,16),$T$5:$T$20,0)),"")</f>
        <v>VALE3</v>
      </c>
      <c r="V20" s="64">
        <f ca="1">IFERROR(INDEX(Carteira!$H$5:$H$20,MATCH(U20,Carteira!$A$5:$A$20,0)),"")</f>
        <v>0</v>
      </c>
      <c r="X20">
        <f ca="1">IF(OR(Carteira!C20&gt;0,AND(SUM(Carteira!$C$5:$C$20)=0,Carteira!A20&lt;&gt;"")),N(Carteira!W20)+ROW()/1000000000,"")</f>
        <v>2E-8</v>
      </c>
      <c r="Y20" t="str">
        <f ca="1">IFERROR(INDEX($D$5:$D$20,MATCH(LARGE($X$5:$X$20,16),$X$5:$X$20,0)),"")</f>
        <v>VALE3</v>
      </c>
      <c r="Z20" s="67">
        <f ca="1">IFERROR(INDEX(Carteira!$W$5:$W$20,MATCH(Y20,Carteira!$A$5:$A$20,0)),"")</f>
        <v>0</v>
      </c>
      <c r="AB20">
        <f ca="1">IF(OR(Carteira!C20&gt;0,AND(SUM(Carteira!$C$5:$C$20)=0,Carteira!A20&lt;&gt;"")),N(Carteira!Z20)+ROW()/1000000000,"")</f>
        <v>82784.400000020003</v>
      </c>
      <c r="AC20" t="str">
        <f ca="1">IFERROR(INDEX($D$5:$D$20,MATCH(LARGE($AB$5:$AB$20,16),$AB$5:$AB$20,0)),"")</f>
        <v>SNAG11</v>
      </c>
      <c r="AD20" s="64">
        <f ca="1">IFERROR(INDEX(Carteira!$Z$5:$Z$20,MATCH(AC20,Carteira!$A$5:$A$20,0)),"")</f>
        <v>74582.900000000009</v>
      </c>
      <c r="AF20">
        <f ca="1">IF(OR(Carteira!C20&gt;0,AND(SUM(Carteira!$C$5:$C$20)=0,Carteira!A20&lt;&gt;"")),N(Carteira!J20)+ROW()/1000000000,"")</f>
        <v>2E-8</v>
      </c>
      <c r="AG20" t="str">
        <f ca="1">IFERROR(INDEX($D$5:$D$20,MATCH(LARGE($AF$5:$AF$20,16),$AF$5:$AF$20,0)),"")</f>
        <v>VALE3</v>
      </c>
      <c r="AH20" s="64">
        <f ca="1">IFERROR(INDEX(Carteira!$J$5:$J$20,MATCH(AG20,Carteira!$A$5:$A$20,0)),"")</f>
        <v>0</v>
      </c>
      <c r="AJ20" s="66">
        <f ca="1">IF(ISNUMBER(H20),IF(Carteira!$G$21&gt;0,H20/Carteira!$G$21,0),"")</f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34</vt:i4>
      </vt:variant>
    </vt:vector>
  </HeadingPairs>
  <TitlesOfParts>
    <vt:vector size="44" baseType="lpstr">
      <vt:lpstr>Painel</vt:lpstr>
      <vt:lpstr>Carteira</vt:lpstr>
      <vt:lpstr>Análises</vt:lpstr>
      <vt:lpstr>Cadastro</vt:lpstr>
      <vt:lpstr>Ativos</vt:lpstr>
      <vt:lpstr>Lançamentos</vt:lpstr>
      <vt:lpstr>Proventos</vt:lpstr>
      <vt:lpstr>Premissas</vt:lpstr>
      <vt:lpstr>Verificar</vt:lpstr>
      <vt:lpstr>Base Painel</vt:lpstr>
      <vt:lpstr>APORTE_MENSAL</vt:lpstr>
      <vt:lpstr>Análises!Area_de_impressao</vt:lpstr>
      <vt:lpstr>Cadastro!Area_de_impressao</vt:lpstr>
      <vt:lpstr>Carteira!Area_de_impressao</vt:lpstr>
      <vt:lpstr>Lançamentos!Area_de_impressao</vt:lpstr>
      <vt:lpstr>Painel!Area_de_impressao</vt:lpstr>
      <vt:lpstr>Premissas!Area_de_impressao</vt:lpstr>
      <vt:lpstr>Proventos!Area_de_impressao</vt:lpstr>
      <vt:lpstr>Verificar!Area_de_impressao</vt:lpstr>
      <vt:lpstr>lc_apos</vt:lpstr>
      <vt:lpstr>lc_ativo</vt:lpstr>
      <vt:lpstr>lc_cot</vt:lpstr>
      <vt:lpstr>lc_custos</vt:lpstr>
      <vt:lpstr>lc_data</vt:lpstr>
      <vt:lpstr>lc_op</vt:lpstr>
      <vt:lpstr>lc_preco</vt:lpstr>
      <vt:lpstr>lc_qtd</vt:lpstr>
      <vt:lpstr>lc_seg</vt:lpstr>
      <vt:lpstr>lc_status</vt:lpstr>
      <vt:lpstr>lc_tem</vt:lpstr>
      <vt:lpstr>lc_ticker</vt:lpstr>
      <vt:lpstr>lc_tipo</vt:lpstr>
      <vt:lpstr>lc_total</vt:lpstr>
      <vt:lpstr>META_MENSAL</vt:lpstr>
      <vt:lpstr>OUTRAS_CLASSES</vt:lpstr>
      <vt:lpstr>PESO_RV</vt:lpstr>
      <vt:lpstr>pv_data</vt:lpstr>
      <vt:lpstr>pv_qtd</vt:lpstr>
      <vt:lpstr>pv_status</vt:lpstr>
      <vt:lpstr>pv_tem</vt:lpstr>
      <vt:lpstr>pv_ticker</vt:lpstr>
      <vt:lpstr>pv_tipo</vt:lpstr>
      <vt:lpstr>pv_total</vt:lpstr>
      <vt:lpstr>pv_valor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Gestão de Investimentos</dc:creator>
  <cp:lastModifiedBy>matheus vinicius</cp:lastModifiedBy>
  <dcterms:created xsi:type="dcterms:W3CDTF">2026-09-26T13:18:37Z</dcterms:created>
  <dcterms:modified xsi:type="dcterms:W3CDTF">2026-09-26T13:37:50Z</dcterms:modified>
</cp:coreProperties>
</file>