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amp64.1\www\Projeto invest\saida\"/>
    </mc:Choice>
  </mc:AlternateContent>
  <xr:revisionPtr revIDLastSave="0" documentId="8_{96FB253D-5A0D-47FD-9CD1-BE4F1D789EF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ainel" sheetId="1" r:id="rId1"/>
    <sheet name="Carteira" sheetId="2" r:id="rId2"/>
    <sheet name="Análises" sheetId="3" r:id="rId3"/>
    <sheet name="Meta" sheetId="4" r:id="rId4"/>
    <sheet name="Quant" sheetId="5" r:id="rId5"/>
    <sheet name="Modelos" sheetId="6" r:id="rId6"/>
    <sheet name="Projeção" sheetId="7" r:id="rId7"/>
    <sheet name="Cadastro" sheetId="8" r:id="rId8"/>
    <sheet name="Ativos" sheetId="9" state="hidden" r:id="rId9"/>
    <sheet name="Lançamentos" sheetId="10" r:id="rId10"/>
    <sheet name="Proventos" sheetId="11" r:id="rId11"/>
    <sheet name="Premissas" sheetId="12" r:id="rId12"/>
    <sheet name="Verificar" sheetId="13" r:id="rId13"/>
    <sheet name="Base Painel" sheetId="14" state="hidden" r:id="rId14"/>
  </sheets>
  <definedNames>
    <definedName name="APORTE_MENSAL">Premissas!$B$6</definedName>
    <definedName name="_xlnm.Print_Area" localSheetId="2">Análises!$A$1:$C$5</definedName>
    <definedName name="_xlnm.Print_Area" localSheetId="7">Cadastro!$A$1:$L$28</definedName>
    <definedName name="_xlnm.Print_Area" localSheetId="1">Carteira!$A$1:$AC$29</definedName>
    <definedName name="_xlnm.Print_Area" localSheetId="9">Lançamentos!$A$1:$G$4</definedName>
    <definedName name="_xlnm.Print_Area" localSheetId="3">Meta!$A$1:$P$32</definedName>
    <definedName name="_xlnm.Print_Area" localSheetId="5">Modelos!$A$1:$C$105</definedName>
    <definedName name="_xlnm.Print_Area" localSheetId="0">Painel!$A$1:$AL$86</definedName>
    <definedName name="_xlnm.Print_Area" localSheetId="11">Premissas!$A$1:$C$13</definedName>
    <definedName name="_xlnm.Print_Area" localSheetId="6">Projeção!$A$1:$C$154</definedName>
    <definedName name="_xlnm.Print_Area" localSheetId="10">Proventos!$A$1:$F$4</definedName>
    <definedName name="_xlnm.Print_Area" localSheetId="4">Quant!$A$1:$AL$64</definedName>
    <definedName name="_xlnm.Print_Area" localSheetId="12">Verificar!$A$1:$C$12</definedName>
    <definedName name="FILTRO_TIPO">Painel!$D$10</definedName>
    <definedName name="lc_apos">Cadastro!$C$23</definedName>
    <definedName name="lc_ativo">Cadastro!$C$15</definedName>
    <definedName name="lc_cot">Cadastro!$C$16</definedName>
    <definedName name="lc_custos">Cadastro!$C$13</definedName>
    <definedName name="lc_data">Cadastro!$C$8</definedName>
    <definedName name="lc_op">Cadastro!$C$10</definedName>
    <definedName name="lc_preco">Cadastro!$C$12</definedName>
    <definedName name="lc_qtd">Cadastro!$C$11</definedName>
    <definedName name="lc_seg">Cadastro!$C$20</definedName>
    <definedName name="lc_status">Cadastro!$B$24</definedName>
    <definedName name="lc_tem">Cadastro!$C$17</definedName>
    <definedName name="lc_ticker">Cadastro!$C$9</definedName>
    <definedName name="lc_tipo">Cadastro!$C$19</definedName>
    <definedName name="lc_total">Cadastro!$C$22</definedName>
    <definedName name="META_MENSAL">Premissas!$B$5</definedName>
    <definedName name="OUTRAS_CLASSES">Premissas!$B$11:$B$13</definedName>
    <definedName name="PESO_RV">Premissas!$B$7</definedName>
    <definedName name="PJ_APORTE">Projeção!$B$6</definedName>
    <definedName name="PJ_CDI">Projeção!$B$12</definedName>
    <definedName name="PJ_DY">Projeção!$B$7</definedName>
    <definedName name="PJ_G_BASE">Projeção!$B$10</definedName>
    <definedName name="PJ_G_OTIM">Projeção!$B$11</definedName>
    <definedName name="PJ_G_PESS">Projeção!$B$9</definedName>
    <definedName name="PJ_INICIAL">Projeção!$B$5</definedName>
    <definedName name="PJ_META">Projeção!$B$13</definedName>
    <definedName name="PJ_REINV">Projeção!$B$8</definedName>
    <definedName name="pv_data">Cadastro!$F$8</definedName>
    <definedName name="pv_qtd">Cadastro!$F$12</definedName>
    <definedName name="pv_status">Cadastro!$E$16</definedName>
    <definedName name="pv_tem">Cadastro!$F$14</definedName>
    <definedName name="pv_ticker">Cadastro!$F$9</definedName>
    <definedName name="pv_tipo">Cadastro!$F$10</definedName>
    <definedName name="pv_total">Cadastro!$F$15</definedName>
    <definedName name="pv_valor">Cadastro!$F$11</definedName>
    <definedName name="SegmentaçãodeDados_Tipo">#N/A</definedName>
  </definedNames>
  <calcPr calcId="191029"/>
  <pivotCaches>
    <pivotCache cacheId="6" r:id="rId15"/>
    <pivotCache cacheId="12" r:id="rId16"/>
    <pivotCache cacheId="18" r:id="rId17"/>
  </pivotCaches>
  <extLst>
    <ext xmlns:x14="http://schemas.microsoft.com/office/spreadsheetml/2009/9/main" uri="{BBE1A952-AA13-448e-AADC-164F8A28A991}">
      <x14:slicerCaches>
        <x14:slicerCache r:id="rId18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4" l="1"/>
  <c r="B13" i="14" s="1"/>
  <c r="A12" i="14"/>
  <c r="B12" i="14" s="1"/>
  <c r="A11" i="14"/>
  <c r="B11" i="14" s="1"/>
  <c r="A10" i="14"/>
  <c r="B10" i="14" s="1"/>
  <c r="A9" i="14"/>
  <c r="B9" i="14" s="1"/>
  <c r="A8" i="14"/>
  <c r="B8" i="14" s="1"/>
  <c r="A7" i="14"/>
  <c r="B7" i="14" s="1"/>
  <c r="A6" i="14"/>
  <c r="B6" i="14" s="1"/>
  <c r="A5" i="14"/>
  <c r="B5" i="14" s="1"/>
  <c r="A4" i="14"/>
  <c r="B4" i="14" s="1"/>
  <c r="A3" i="14"/>
  <c r="B3" i="14" s="1"/>
  <c r="A2" i="14"/>
  <c r="B2" i="14" s="1"/>
  <c r="F21" i="9"/>
  <c r="L23" i="8"/>
  <c r="K23" i="8"/>
  <c r="J23" i="8"/>
  <c r="I23" i="8"/>
  <c r="H23" i="8"/>
  <c r="C23" i="8"/>
  <c r="L22" i="8"/>
  <c r="K22" i="8"/>
  <c r="J22" i="8"/>
  <c r="I22" i="8"/>
  <c r="H22" i="8"/>
  <c r="C22" i="8"/>
  <c r="L21" i="8"/>
  <c r="K21" i="8"/>
  <c r="J21" i="8"/>
  <c r="I21" i="8"/>
  <c r="H21" i="8"/>
  <c r="L20" i="8"/>
  <c r="K20" i="8"/>
  <c r="J20" i="8"/>
  <c r="I20" i="8"/>
  <c r="H20" i="8"/>
  <c r="L19" i="8"/>
  <c r="K19" i="8"/>
  <c r="J19" i="8"/>
  <c r="I19" i="8"/>
  <c r="H19" i="8"/>
  <c r="L18" i="8"/>
  <c r="K18" i="8"/>
  <c r="J18" i="8"/>
  <c r="I18" i="8"/>
  <c r="H18" i="8"/>
  <c r="L17" i="8"/>
  <c r="K17" i="8"/>
  <c r="J17" i="8"/>
  <c r="I17" i="8"/>
  <c r="H17" i="8"/>
  <c r="C17" i="8"/>
  <c r="L16" i="8"/>
  <c r="K16" i="8"/>
  <c r="J16" i="8"/>
  <c r="I16" i="8"/>
  <c r="H16" i="8"/>
  <c r="C16" i="8"/>
  <c r="L15" i="8"/>
  <c r="K15" i="8"/>
  <c r="J15" i="8"/>
  <c r="I15" i="8"/>
  <c r="H15" i="8"/>
  <c r="F15" i="8"/>
  <c r="C15" i="8"/>
  <c r="L14" i="8"/>
  <c r="K14" i="8"/>
  <c r="J14" i="8"/>
  <c r="I14" i="8"/>
  <c r="H14" i="8"/>
  <c r="F14" i="8"/>
  <c r="L13" i="8"/>
  <c r="K13" i="8"/>
  <c r="J13" i="8"/>
  <c r="I13" i="8"/>
  <c r="H13" i="8"/>
  <c r="L12" i="8"/>
  <c r="K12" i="8"/>
  <c r="J12" i="8"/>
  <c r="I12" i="8"/>
  <c r="H12" i="8"/>
  <c r="L11" i="8"/>
  <c r="K11" i="8"/>
  <c r="J11" i="8"/>
  <c r="I11" i="8"/>
  <c r="H11" i="8"/>
  <c r="L10" i="8"/>
  <c r="K10" i="8"/>
  <c r="J10" i="8"/>
  <c r="I10" i="8"/>
  <c r="H10" i="8"/>
  <c r="L9" i="8"/>
  <c r="K9" i="8"/>
  <c r="J9" i="8"/>
  <c r="I9" i="8"/>
  <c r="H9" i="8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B6" i="7"/>
  <c r="A19" i="4"/>
  <c r="A15" i="4"/>
  <c r="AB20" i="2"/>
  <c r="C20" i="4" s="1"/>
  <c r="U20" i="2"/>
  <c r="F20" i="4" s="1"/>
  <c r="T20" i="2"/>
  <c r="E20" i="4" s="1"/>
  <c r="Q20" i="2"/>
  <c r="F20" i="2"/>
  <c r="B20" i="2"/>
  <c r="B20" i="5" s="1"/>
  <c r="A20" i="2"/>
  <c r="D20" i="14" s="1"/>
  <c r="AB19" i="2"/>
  <c r="C19" i="4" s="1"/>
  <c r="T19" i="2"/>
  <c r="E19" i="4" s="1"/>
  <c r="Q19" i="2"/>
  <c r="J19" i="2"/>
  <c r="F19" i="2"/>
  <c r="O19" i="2" s="1"/>
  <c r="D19" i="2"/>
  <c r="N19" i="2" s="1"/>
  <c r="C19" i="2"/>
  <c r="B19" i="2"/>
  <c r="B19" i="5" s="1"/>
  <c r="A19" i="2"/>
  <c r="K19" i="2" s="1"/>
  <c r="AB18" i="2"/>
  <c r="C18" i="4" s="1"/>
  <c r="U18" i="2"/>
  <c r="F18" i="4" s="1"/>
  <c r="T18" i="2"/>
  <c r="E18" i="4" s="1"/>
  <c r="Q18" i="2"/>
  <c r="O18" i="2"/>
  <c r="F18" i="2"/>
  <c r="D18" i="4" s="1"/>
  <c r="B18" i="2"/>
  <c r="B18" i="5" s="1"/>
  <c r="A18" i="2"/>
  <c r="D18" i="14" s="1"/>
  <c r="AB17" i="2"/>
  <c r="C17" i="4" s="1"/>
  <c r="U17" i="2"/>
  <c r="T17" i="2"/>
  <c r="E17" i="4" s="1"/>
  <c r="Q17" i="2"/>
  <c r="F17" i="2"/>
  <c r="D17" i="4" s="1"/>
  <c r="B17" i="2"/>
  <c r="B17" i="5" s="1"/>
  <c r="A17" i="2"/>
  <c r="A17" i="4" s="1"/>
  <c r="AB16" i="2"/>
  <c r="C16" i="4" s="1"/>
  <c r="T16" i="2"/>
  <c r="E16" i="4" s="1"/>
  <c r="Q16" i="2"/>
  <c r="F16" i="2"/>
  <c r="D16" i="4" s="1"/>
  <c r="B16" i="2"/>
  <c r="A16" i="2"/>
  <c r="D16" i="14" s="1"/>
  <c r="AB15" i="2"/>
  <c r="C15" i="4" s="1"/>
  <c r="T15" i="2"/>
  <c r="E15" i="4" s="1"/>
  <c r="Q15" i="2"/>
  <c r="K15" i="2"/>
  <c r="F15" i="2"/>
  <c r="D15" i="4" s="1"/>
  <c r="D15" i="2"/>
  <c r="N15" i="2" s="1"/>
  <c r="C15" i="2"/>
  <c r="K15" i="4" s="1"/>
  <c r="B15" i="2"/>
  <c r="B15" i="5" s="1"/>
  <c r="A15" i="2"/>
  <c r="AB14" i="2"/>
  <c r="C14" i="4" s="1"/>
  <c r="T14" i="2"/>
  <c r="Q14" i="2"/>
  <c r="F14" i="2"/>
  <c r="D14" i="4" s="1"/>
  <c r="B14" i="2"/>
  <c r="B14" i="5" s="1"/>
  <c r="A14" i="2"/>
  <c r="D14" i="14" s="1"/>
  <c r="AB13" i="2"/>
  <c r="C13" i="4" s="1"/>
  <c r="U13" i="2"/>
  <c r="F13" i="4" s="1"/>
  <c r="T13" i="2"/>
  <c r="E13" i="4" s="1"/>
  <c r="Q13" i="2"/>
  <c r="F13" i="2"/>
  <c r="B13" i="2"/>
  <c r="B13" i="5" s="1"/>
  <c r="A13" i="2"/>
  <c r="AB12" i="2"/>
  <c r="C12" i="4" s="1"/>
  <c r="U12" i="2"/>
  <c r="F12" i="4" s="1"/>
  <c r="T12" i="2"/>
  <c r="E12" i="4" s="1"/>
  <c r="Q12" i="2"/>
  <c r="J12" i="2"/>
  <c r="F12" i="2"/>
  <c r="C12" i="2"/>
  <c r="K12" i="4" s="1"/>
  <c r="B12" i="2"/>
  <c r="B12" i="5" s="1"/>
  <c r="A12" i="2"/>
  <c r="D12" i="14" s="1"/>
  <c r="AB11" i="2"/>
  <c r="C11" i="4" s="1"/>
  <c r="T11" i="2"/>
  <c r="E11" i="4" s="1"/>
  <c r="Q11" i="2"/>
  <c r="K11" i="2"/>
  <c r="J11" i="2"/>
  <c r="F11" i="2"/>
  <c r="D11" i="4" s="1"/>
  <c r="D11" i="2"/>
  <c r="N11" i="2" s="1"/>
  <c r="C11" i="2"/>
  <c r="B11" i="2"/>
  <c r="B11" i="5" s="1"/>
  <c r="A11" i="2"/>
  <c r="AB10" i="2"/>
  <c r="C10" i="4" s="1"/>
  <c r="T10" i="2"/>
  <c r="E10" i="4" s="1"/>
  <c r="Q10" i="2"/>
  <c r="F10" i="2"/>
  <c r="D10" i="4" s="1"/>
  <c r="B10" i="2"/>
  <c r="B10" i="5" s="1"/>
  <c r="A10" i="2"/>
  <c r="D10" i="14" s="1"/>
  <c r="AC9" i="2"/>
  <c r="AB9" i="2"/>
  <c r="C9" i="4" s="1"/>
  <c r="T9" i="2"/>
  <c r="E9" i="4" s="1"/>
  <c r="Q9" i="2"/>
  <c r="F9" i="2"/>
  <c r="D9" i="2"/>
  <c r="N9" i="2" s="1"/>
  <c r="B9" i="2"/>
  <c r="B9" i="5" s="1"/>
  <c r="A9" i="2"/>
  <c r="J9" i="2" s="1"/>
  <c r="AB8" i="2"/>
  <c r="C8" i="4" s="1"/>
  <c r="T8" i="2"/>
  <c r="E8" i="4" s="1"/>
  <c r="Q8" i="2"/>
  <c r="J8" i="2"/>
  <c r="F8" i="2"/>
  <c r="D8" i="4" s="1"/>
  <c r="C8" i="2"/>
  <c r="B8" i="2"/>
  <c r="A8" i="2"/>
  <c r="D8" i="14" s="1"/>
  <c r="AB7" i="2"/>
  <c r="C7" i="4" s="1"/>
  <c r="T7" i="2"/>
  <c r="E7" i="4" s="1"/>
  <c r="Q7" i="2"/>
  <c r="O7" i="2"/>
  <c r="F7" i="2"/>
  <c r="D7" i="4" s="1"/>
  <c r="B7" i="2"/>
  <c r="B7" i="5" s="1"/>
  <c r="A7" i="2"/>
  <c r="K7" i="2" s="1"/>
  <c r="AB6" i="2"/>
  <c r="C6" i="4" s="1"/>
  <c r="U6" i="2"/>
  <c r="T6" i="2"/>
  <c r="E6" i="4" s="1"/>
  <c r="Q6" i="2"/>
  <c r="F6" i="2"/>
  <c r="D6" i="4" s="1"/>
  <c r="D6" i="2"/>
  <c r="N6" i="2" s="1"/>
  <c r="C6" i="2"/>
  <c r="B6" i="2"/>
  <c r="B6" i="5" s="1"/>
  <c r="A6" i="2"/>
  <c r="D6" i="14" s="1"/>
  <c r="AB5" i="2"/>
  <c r="C5" i="4" s="1"/>
  <c r="T5" i="2"/>
  <c r="E5" i="4" s="1"/>
  <c r="Q5" i="2"/>
  <c r="J5" i="2"/>
  <c r="F5" i="2"/>
  <c r="O5" i="2" s="1"/>
  <c r="B5" i="2"/>
  <c r="A5" i="2"/>
  <c r="W84" i="1"/>
  <c r="N84" i="1"/>
  <c r="I84" i="1"/>
  <c r="W83" i="1"/>
  <c r="N83" i="1"/>
  <c r="I83" i="1"/>
  <c r="W82" i="1"/>
  <c r="N82" i="1"/>
  <c r="I82" i="1"/>
  <c r="W81" i="1"/>
  <c r="W80" i="1"/>
  <c r="AC47" i="1"/>
  <c r="N47" i="1"/>
  <c r="N46" i="1"/>
  <c r="B3" i="1"/>
  <c r="Q1" i="1"/>
  <c r="E6" i="2" l="1"/>
  <c r="I6" i="2" s="1"/>
  <c r="V12" i="2"/>
  <c r="W12" i="2" s="1"/>
  <c r="G15" i="2"/>
  <c r="C15" i="5" s="1"/>
  <c r="U5" i="2"/>
  <c r="K8" i="2"/>
  <c r="K12" i="2"/>
  <c r="AC14" i="2"/>
  <c r="O15" i="2"/>
  <c r="J16" i="2"/>
  <c r="D17" i="2"/>
  <c r="N17" i="2" s="1"/>
  <c r="AC17" i="2"/>
  <c r="X18" i="2"/>
  <c r="K20" i="2"/>
  <c r="A9" i="4"/>
  <c r="I9" i="4" s="1"/>
  <c r="A20" i="4"/>
  <c r="K6" i="2"/>
  <c r="C7" i="2"/>
  <c r="O8" i="2"/>
  <c r="AC11" i="2"/>
  <c r="O13" i="2"/>
  <c r="C14" i="2"/>
  <c r="K14" i="4" s="1"/>
  <c r="K16" i="2"/>
  <c r="A11" i="4"/>
  <c r="D7" i="2"/>
  <c r="N7" i="2" s="1"/>
  <c r="D14" i="2"/>
  <c r="N14" i="2" s="1"/>
  <c r="O16" i="2"/>
  <c r="J17" i="2"/>
  <c r="AC19" i="2"/>
  <c r="A12" i="4"/>
  <c r="A16" i="5"/>
  <c r="A7" i="4"/>
  <c r="O10" i="2"/>
  <c r="G18" i="4"/>
  <c r="A14" i="4"/>
  <c r="H14" i="4" s="1"/>
  <c r="A20" i="5"/>
  <c r="K14" i="2"/>
  <c r="U9" i="2"/>
  <c r="F9" i="4" s="1"/>
  <c r="X13" i="2"/>
  <c r="A16" i="4"/>
  <c r="AC6" i="2"/>
  <c r="U10" i="2"/>
  <c r="AC12" i="2"/>
  <c r="C16" i="2"/>
  <c r="K16" i="4" s="1"/>
  <c r="C20" i="2"/>
  <c r="G20" i="2" s="1"/>
  <c r="AC20" i="2"/>
  <c r="K19" i="4"/>
  <c r="G19" i="2"/>
  <c r="E19" i="2"/>
  <c r="D13" i="14"/>
  <c r="A13" i="5"/>
  <c r="J13" i="2"/>
  <c r="AC13" i="2"/>
  <c r="D13" i="2"/>
  <c r="N13" i="2" s="1"/>
  <c r="A13" i="4"/>
  <c r="K13" i="2"/>
  <c r="C13" i="2"/>
  <c r="K11" i="4"/>
  <c r="G11" i="2"/>
  <c r="E11" i="2"/>
  <c r="B5" i="4"/>
  <c r="Q21" i="2"/>
  <c r="B8" i="5"/>
  <c r="B8" i="4"/>
  <c r="E14" i="4"/>
  <c r="U14" i="2"/>
  <c r="B16" i="5"/>
  <c r="B16" i="4"/>
  <c r="F17" i="4"/>
  <c r="G17" i="4" s="1"/>
  <c r="X17" i="2"/>
  <c r="W85" i="1"/>
  <c r="D5" i="14"/>
  <c r="A5" i="5"/>
  <c r="B13" i="7"/>
  <c r="A5" i="4"/>
  <c r="AC5" i="2"/>
  <c r="D5" i="2"/>
  <c r="N5" i="2" s="1"/>
  <c r="K5" i="2"/>
  <c r="C5" i="2"/>
  <c r="K8" i="4"/>
  <c r="G8" i="2"/>
  <c r="D9" i="4"/>
  <c r="O9" i="2"/>
  <c r="K6" i="4"/>
  <c r="G6" i="2"/>
  <c r="V6" i="2"/>
  <c r="D20" i="4"/>
  <c r="G20" i="4" s="1"/>
  <c r="O20" i="2"/>
  <c r="B5" i="5"/>
  <c r="F6" i="4"/>
  <c r="G6" i="4" s="1"/>
  <c r="X6" i="2"/>
  <c r="Y6" i="2" s="1"/>
  <c r="Z6" i="2" s="1"/>
  <c r="AA6" i="2" s="1"/>
  <c r="D12" i="4"/>
  <c r="G12" i="4" s="1"/>
  <c r="O12" i="2"/>
  <c r="G12" i="2"/>
  <c r="A8" i="4"/>
  <c r="A10" i="4"/>
  <c r="A18" i="4"/>
  <c r="D7" i="14"/>
  <c r="A7" i="5"/>
  <c r="D8" i="2"/>
  <c r="N8" i="2" s="1"/>
  <c r="J10" i="2"/>
  <c r="U11" i="2"/>
  <c r="V11" i="2" s="1"/>
  <c r="X12" i="2"/>
  <c r="Y12" i="2" s="1"/>
  <c r="Z12" i="2" s="1"/>
  <c r="AA12" i="2" s="1"/>
  <c r="D15" i="14"/>
  <c r="A15" i="5"/>
  <c r="D16" i="2"/>
  <c r="N16" i="2" s="1"/>
  <c r="O17" i="2"/>
  <c r="J18" i="2"/>
  <c r="U19" i="2"/>
  <c r="V19" i="2" s="1"/>
  <c r="X20" i="2"/>
  <c r="B6" i="4"/>
  <c r="B7" i="4"/>
  <c r="B9" i="4"/>
  <c r="B10" i="4"/>
  <c r="B11" i="4"/>
  <c r="B12" i="4"/>
  <c r="B13" i="4"/>
  <c r="B14" i="4"/>
  <c r="B15" i="4"/>
  <c r="B17" i="4"/>
  <c r="B18" i="4"/>
  <c r="B19" i="4"/>
  <c r="B20" i="4"/>
  <c r="A10" i="5"/>
  <c r="D5" i="4"/>
  <c r="A6" i="4"/>
  <c r="O6" i="2"/>
  <c r="J7" i="2"/>
  <c r="U8" i="2"/>
  <c r="AC8" i="2"/>
  <c r="C10" i="2"/>
  <c r="K10" i="2"/>
  <c r="O14" i="2"/>
  <c r="J15" i="2"/>
  <c r="U16" i="2"/>
  <c r="AC16" i="2"/>
  <c r="C18" i="2"/>
  <c r="Y18" i="2" s="1"/>
  <c r="Z18" i="2" s="1"/>
  <c r="AA18" i="2" s="1"/>
  <c r="K18" i="2"/>
  <c r="D13" i="4"/>
  <c r="G13" i="4" s="1"/>
  <c r="D19" i="4"/>
  <c r="A18" i="5"/>
  <c r="D9" i="14"/>
  <c r="A9" i="5"/>
  <c r="D10" i="2"/>
  <c r="N10" i="2" s="1"/>
  <c r="O11" i="2"/>
  <c r="D17" i="14"/>
  <c r="A17" i="5"/>
  <c r="D18" i="2"/>
  <c r="N18" i="2" s="1"/>
  <c r="J20" i="2"/>
  <c r="H7" i="4"/>
  <c r="H9" i="4"/>
  <c r="H11" i="4"/>
  <c r="H12" i="4"/>
  <c r="H15" i="4"/>
  <c r="H16" i="4"/>
  <c r="H17" i="4"/>
  <c r="H19" i="4"/>
  <c r="H20" i="4"/>
  <c r="A6" i="5"/>
  <c r="AC18" i="2"/>
  <c r="A12" i="5"/>
  <c r="AC10" i="2"/>
  <c r="J6" i="2"/>
  <c r="J21" i="2" s="1"/>
  <c r="U7" i="2"/>
  <c r="AC7" i="2"/>
  <c r="C9" i="2"/>
  <c r="K9" i="2"/>
  <c r="D11" i="14"/>
  <c r="A11" i="5"/>
  <c r="D12" i="2"/>
  <c r="J14" i="2"/>
  <c r="E15" i="2"/>
  <c r="U15" i="2"/>
  <c r="AC15" i="2"/>
  <c r="C17" i="2"/>
  <c r="K17" i="2"/>
  <c r="D19" i="14"/>
  <c r="A19" i="5"/>
  <c r="D20" i="2"/>
  <c r="N20" i="2" s="1"/>
  <c r="A8" i="5"/>
  <c r="A14" i="5"/>
  <c r="L12" i="4" l="1"/>
  <c r="M12" i="4" s="1"/>
  <c r="M6" i="2"/>
  <c r="E7" i="2"/>
  <c r="M7" i="2" s="1"/>
  <c r="E14" i="2"/>
  <c r="M14" i="2" s="1"/>
  <c r="V14" i="2"/>
  <c r="L14" i="4" s="1"/>
  <c r="M14" i="4" s="1"/>
  <c r="V16" i="2"/>
  <c r="W16" i="2" s="1"/>
  <c r="T16" i="14" s="1"/>
  <c r="G16" i="2"/>
  <c r="F16" i="14" s="1"/>
  <c r="G14" i="2"/>
  <c r="C14" i="5" s="1"/>
  <c r="E20" i="2"/>
  <c r="H20" i="2" s="1"/>
  <c r="L20" i="2" s="1"/>
  <c r="Y20" i="2"/>
  <c r="Z20" i="2" s="1"/>
  <c r="AA20" i="2" s="1"/>
  <c r="F6" i="14"/>
  <c r="F10" i="4"/>
  <c r="G10" i="4" s="1"/>
  <c r="X10" i="2"/>
  <c r="K7" i="4"/>
  <c r="G7" i="2"/>
  <c r="C7" i="5" s="1"/>
  <c r="J23" i="2"/>
  <c r="G9" i="4"/>
  <c r="X9" i="2"/>
  <c r="J24" i="2"/>
  <c r="K20" i="4"/>
  <c r="V20" i="2"/>
  <c r="E16" i="2"/>
  <c r="I16" i="2" s="1"/>
  <c r="O16" i="14" s="1"/>
  <c r="F5" i="4"/>
  <c r="G5" i="4" s="1"/>
  <c r="X5" i="2"/>
  <c r="Y5" i="2" s="1"/>
  <c r="L19" i="4"/>
  <c r="M19" i="4" s="1"/>
  <c r="W19" i="2"/>
  <c r="T19" i="14" s="1"/>
  <c r="L11" i="4"/>
  <c r="M11" i="4" s="1"/>
  <c r="W11" i="2"/>
  <c r="T11" i="14" s="1"/>
  <c r="K9" i="4"/>
  <c r="N9" i="4" s="1"/>
  <c r="O9" i="4" s="1"/>
  <c r="P9" i="4" s="1"/>
  <c r="V9" i="2"/>
  <c r="G9" i="2"/>
  <c r="F9" i="14" s="1"/>
  <c r="E9" i="2"/>
  <c r="X7" i="14"/>
  <c r="X6" i="14"/>
  <c r="J9" i="4"/>
  <c r="T12" i="14"/>
  <c r="M15" i="2"/>
  <c r="I15" i="2"/>
  <c r="J15" i="14" s="1"/>
  <c r="F7" i="4"/>
  <c r="V7" i="2"/>
  <c r="X7" i="2"/>
  <c r="Y7" i="2" s="1"/>
  <c r="Z7" i="2" s="1"/>
  <c r="AA7" i="2" s="1"/>
  <c r="X16" i="14"/>
  <c r="F8" i="14"/>
  <c r="X8" i="14"/>
  <c r="I17" i="4"/>
  <c r="E8" i="2"/>
  <c r="H8" i="2" s="1"/>
  <c r="L8" i="2" s="1"/>
  <c r="X11" i="14"/>
  <c r="O6" i="14"/>
  <c r="I19" i="2"/>
  <c r="J19" i="14" s="1"/>
  <c r="M19" i="2"/>
  <c r="F12" i="14"/>
  <c r="Y17" i="2"/>
  <c r="Z17" i="2" s="1"/>
  <c r="AA17" i="2" s="1"/>
  <c r="F15" i="4"/>
  <c r="V15" i="2"/>
  <c r="X15" i="2"/>
  <c r="Y15" i="2" s="1"/>
  <c r="Z15" i="2" s="1"/>
  <c r="AA15" i="2" s="1"/>
  <c r="K13" i="4"/>
  <c r="G13" i="2"/>
  <c r="V13" i="2"/>
  <c r="E13" i="2"/>
  <c r="Y13" i="2"/>
  <c r="Z13" i="2" s="1"/>
  <c r="AA13" i="2" s="1"/>
  <c r="X20" i="14"/>
  <c r="F16" i="4"/>
  <c r="X16" i="2"/>
  <c r="Y16" i="2" s="1"/>
  <c r="Z16" i="2" s="1"/>
  <c r="AA16" i="2" s="1"/>
  <c r="F8" i="4"/>
  <c r="G8" i="4" s="1"/>
  <c r="X8" i="2"/>
  <c r="Y8" i="2" s="1"/>
  <c r="Z8" i="2" s="1"/>
  <c r="AA8" i="2" s="1"/>
  <c r="X14" i="14"/>
  <c r="X9" i="14"/>
  <c r="V8" i="2"/>
  <c r="H5" i="4"/>
  <c r="I5" i="4" s="1"/>
  <c r="I11" i="2"/>
  <c r="J11" i="14" s="1"/>
  <c r="M11" i="2"/>
  <c r="H13" i="4"/>
  <c r="X5" i="14"/>
  <c r="AF56" i="1"/>
  <c r="AI55" i="1"/>
  <c r="J55" i="1"/>
  <c r="L54" i="1"/>
  <c r="T52" i="1"/>
  <c r="AF55" i="1"/>
  <c r="AI54" i="1"/>
  <c r="L53" i="1"/>
  <c r="AD56" i="1"/>
  <c r="J54" i="1"/>
  <c r="AH7" i="1"/>
  <c r="Y56" i="1"/>
  <c r="AD55" i="1"/>
  <c r="AF54" i="1"/>
  <c r="AI53" i="1"/>
  <c r="J53" i="1"/>
  <c r="L52" i="1"/>
  <c r="AC7" i="1"/>
  <c r="V56" i="1"/>
  <c r="Y55" i="1"/>
  <c r="AD54" i="1"/>
  <c r="AF53" i="1"/>
  <c r="AI52" i="1"/>
  <c r="J52" i="1"/>
  <c r="AH8" i="1"/>
  <c r="X7" i="1"/>
  <c r="T56" i="1"/>
  <c r="Y54" i="1"/>
  <c r="AF52" i="1"/>
  <c r="AC8" i="1"/>
  <c r="V55" i="1"/>
  <c r="AD53" i="1"/>
  <c r="L56" i="1"/>
  <c r="Y53" i="1"/>
  <c r="J56" i="1"/>
  <c r="V53" i="1"/>
  <c r="T55" i="1"/>
  <c r="T53" i="1"/>
  <c r="AD52" i="1"/>
  <c r="N8" i="1"/>
  <c r="L55" i="1"/>
  <c r="Y52" i="1"/>
  <c r="V52" i="1"/>
  <c r="AI56" i="1"/>
  <c r="V54" i="1"/>
  <c r="T54" i="1"/>
  <c r="F20" i="14"/>
  <c r="E12" i="2"/>
  <c r="N12" i="2"/>
  <c r="H18" i="4"/>
  <c r="C8" i="5"/>
  <c r="J6" i="14"/>
  <c r="H19" i="2"/>
  <c r="L19" i="2" s="1"/>
  <c r="C19" i="5"/>
  <c r="K10" i="4"/>
  <c r="G10" i="2"/>
  <c r="V10" i="2"/>
  <c r="E10" i="2"/>
  <c r="X10" i="14"/>
  <c r="X19" i="14"/>
  <c r="I12" i="4"/>
  <c r="L6" i="4"/>
  <c r="W6" i="2"/>
  <c r="T6" i="14" s="1"/>
  <c r="H15" i="2"/>
  <c r="H11" i="2"/>
  <c r="L11" i="2" s="1"/>
  <c r="C11" i="5"/>
  <c r="X13" i="14"/>
  <c r="K18" i="4"/>
  <c r="G18" i="2"/>
  <c r="F18" i="14" s="1"/>
  <c r="V18" i="2"/>
  <c r="E18" i="2"/>
  <c r="H10" i="4"/>
  <c r="I10" i="4" s="1"/>
  <c r="C12" i="5"/>
  <c r="Y10" i="2"/>
  <c r="Z10" i="2" s="1"/>
  <c r="AA10" i="2" s="1"/>
  <c r="X12" i="14"/>
  <c r="H6" i="4"/>
  <c r="H8" i="4"/>
  <c r="I8" i="4" s="1"/>
  <c r="C6" i="5"/>
  <c r="H6" i="2"/>
  <c r="L6" i="2" s="1"/>
  <c r="K5" i="4"/>
  <c r="G5" i="2"/>
  <c r="F5" i="14" s="1"/>
  <c r="V5" i="2"/>
  <c r="E5" i="2"/>
  <c r="I5" i="1"/>
  <c r="F11" i="14"/>
  <c r="F14" i="4"/>
  <c r="X14" i="2"/>
  <c r="Y14" i="2" s="1"/>
  <c r="Z14" i="2" s="1"/>
  <c r="AA14" i="2" s="1"/>
  <c r="Y9" i="2"/>
  <c r="Z9" i="2" s="1"/>
  <c r="AA9" i="2" s="1"/>
  <c r="F15" i="14"/>
  <c r="X15" i="14"/>
  <c r="K17" i="4"/>
  <c r="V17" i="2"/>
  <c r="G17" i="2"/>
  <c r="E17" i="2"/>
  <c r="X18" i="14"/>
  <c r="F19" i="4"/>
  <c r="I19" i="4" s="1"/>
  <c r="X19" i="2"/>
  <c r="Y19" i="2" s="1"/>
  <c r="Z19" i="2" s="1"/>
  <c r="AA19" i="2" s="1"/>
  <c r="F11" i="4"/>
  <c r="X11" i="2"/>
  <c r="Y11" i="2" s="1"/>
  <c r="Z11" i="2" s="1"/>
  <c r="AA11" i="2" s="1"/>
  <c r="F14" i="14"/>
  <c r="F19" i="14"/>
  <c r="C20" i="5"/>
  <c r="K21" i="2"/>
  <c r="I20" i="4"/>
  <c r="X17" i="14"/>
  <c r="L16" i="4" l="1"/>
  <c r="M16" i="4" s="1"/>
  <c r="I7" i="2"/>
  <c r="O7" i="14" s="1"/>
  <c r="H14" i="2"/>
  <c r="L14" i="2" s="1"/>
  <c r="I14" i="2"/>
  <c r="J14" i="14" s="1"/>
  <c r="H16" i="2"/>
  <c r="L16" i="2" s="1"/>
  <c r="W14" i="2"/>
  <c r="T14" i="14" s="1"/>
  <c r="M6" i="4"/>
  <c r="M16" i="2"/>
  <c r="I20" i="2"/>
  <c r="H7" i="2"/>
  <c r="L7" i="2" s="1"/>
  <c r="O19" i="14"/>
  <c r="M20" i="2"/>
  <c r="C16" i="5"/>
  <c r="F7" i="14"/>
  <c r="G24" i="2"/>
  <c r="B18" i="14" s="1"/>
  <c r="O15" i="14"/>
  <c r="N7" i="1"/>
  <c r="J16" i="14"/>
  <c r="F17" i="14"/>
  <c r="L20" i="4"/>
  <c r="M20" i="4" s="1"/>
  <c r="W20" i="2"/>
  <c r="T20" i="14" s="1"/>
  <c r="S8" i="1"/>
  <c r="X8" i="1"/>
  <c r="N10" i="4"/>
  <c r="O10" i="4" s="1"/>
  <c r="P10" i="4" s="1"/>
  <c r="J10" i="4"/>
  <c r="M10" i="2"/>
  <c r="I10" i="2"/>
  <c r="I6" i="4"/>
  <c r="L15" i="2"/>
  <c r="L10" i="4"/>
  <c r="M10" i="4" s="1"/>
  <c r="W10" i="2"/>
  <c r="T10" i="14" s="1"/>
  <c r="H23" i="4"/>
  <c r="H24" i="4"/>
  <c r="N17" i="4"/>
  <c r="O17" i="4" s="1"/>
  <c r="P17" i="4" s="1"/>
  <c r="J17" i="4"/>
  <c r="M12" i="2"/>
  <c r="I12" i="2"/>
  <c r="N20" i="4"/>
  <c r="O20" i="4" s="1"/>
  <c r="P20" i="4" s="1"/>
  <c r="J20" i="4"/>
  <c r="G11" i="4"/>
  <c r="I11" i="4"/>
  <c r="I14" i="4"/>
  <c r="G14" i="4"/>
  <c r="G19" i="4"/>
  <c r="O11" i="14"/>
  <c r="C10" i="5"/>
  <c r="H10" i="2"/>
  <c r="L10" i="2" s="1"/>
  <c r="I18" i="4"/>
  <c r="L17" i="4"/>
  <c r="M17" i="4" s="1"/>
  <c r="W17" i="2"/>
  <c r="T17" i="14" s="1"/>
  <c r="I7" i="4"/>
  <c r="G7" i="4"/>
  <c r="Y17" i="14"/>
  <c r="Z17" i="14" s="1"/>
  <c r="Y20" i="14"/>
  <c r="Z20" i="14" s="1"/>
  <c r="Y13" i="14"/>
  <c r="Z13" i="14" s="1"/>
  <c r="Y11" i="14"/>
  <c r="Z11" i="14" s="1"/>
  <c r="Y9" i="14"/>
  <c r="Z9" i="14" s="1"/>
  <c r="Y7" i="14"/>
  <c r="Z7" i="14" s="1"/>
  <c r="Y5" i="14"/>
  <c r="Z5" i="14" s="1"/>
  <c r="Y19" i="14"/>
  <c r="Z19" i="14" s="1"/>
  <c r="Y16" i="14"/>
  <c r="Z16" i="14" s="1"/>
  <c r="Y18" i="14"/>
  <c r="Z18" i="14" s="1"/>
  <c r="Y15" i="14"/>
  <c r="Z15" i="14" s="1"/>
  <c r="Y12" i="14"/>
  <c r="Z12" i="14" s="1"/>
  <c r="Y10" i="14"/>
  <c r="Z10" i="14" s="1"/>
  <c r="Y8" i="14"/>
  <c r="Z8" i="14" s="1"/>
  <c r="Y6" i="14"/>
  <c r="Z6" i="14" s="1"/>
  <c r="Y14" i="14"/>
  <c r="Z14" i="14" s="1"/>
  <c r="H21" i="4"/>
  <c r="L15" i="4"/>
  <c r="W15" i="2"/>
  <c r="T15" i="14" s="1"/>
  <c r="V24" i="2"/>
  <c r="N8" i="4"/>
  <c r="O8" i="4" s="1"/>
  <c r="P8" i="4" s="1"/>
  <c r="J8" i="4"/>
  <c r="H13" i="2"/>
  <c r="L13" i="2" s="1"/>
  <c r="C13" i="5"/>
  <c r="L7" i="4"/>
  <c r="M7" i="4" s="1"/>
  <c r="W7" i="2"/>
  <c r="T7" i="14" s="1"/>
  <c r="N19" i="4"/>
  <c r="O19" i="4" s="1"/>
  <c r="P19" i="4" s="1"/>
  <c r="J19" i="4"/>
  <c r="M18" i="2"/>
  <c r="I18" i="2"/>
  <c r="N5" i="4"/>
  <c r="J5" i="4"/>
  <c r="G15" i="4"/>
  <c r="I15" i="4"/>
  <c r="G21" i="2"/>
  <c r="C5" i="5"/>
  <c r="H5" i="2"/>
  <c r="G23" i="2"/>
  <c r="Y21" i="2"/>
  <c r="X47" i="1" s="1"/>
  <c r="Z5" i="2"/>
  <c r="F13" i="14"/>
  <c r="I16" i="4"/>
  <c r="G16" i="4"/>
  <c r="I17" i="2"/>
  <c r="M17" i="2"/>
  <c r="E24" i="2"/>
  <c r="I24" i="2" s="1"/>
  <c r="L18" i="4"/>
  <c r="M18" i="4" s="1"/>
  <c r="W18" i="2"/>
  <c r="T18" i="14" s="1"/>
  <c r="F10" i="14"/>
  <c r="I13" i="4"/>
  <c r="L8" i="4"/>
  <c r="M8" i="4" s="1"/>
  <c r="W8" i="2"/>
  <c r="T8" i="14" s="1"/>
  <c r="M13" i="2"/>
  <c r="I13" i="2"/>
  <c r="I9" i="2"/>
  <c r="M9" i="2"/>
  <c r="L5" i="4"/>
  <c r="M5" i="4" s="1"/>
  <c r="W5" i="2"/>
  <c r="V21" i="2"/>
  <c r="V23" i="2"/>
  <c r="L9" i="4"/>
  <c r="M9" i="4" s="1"/>
  <c r="W9" i="2"/>
  <c r="T9" i="14" s="1"/>
  <c r="H17" i="2"/>
  <c r="L17" i="2" s="1"/>
  <c r="C17" i="5"/>
  <c r="M5" i="2"/>
  <c r="E21" i="2"/>
  <c r="I5" i="2"/>
  <c r="E23" i="2"/>
  <c r="I23" i="2" s="1"/>
  <c r="H12" i="2"/>
  <c r="L12" i="2" s="1"/>
  <c r="C18" i="5"/>
  <c r="H18" i="2"/>
  <c r="L18" i="2" s="1"/>
  <c r="N12" i="4"/>
  <c r="O12" i="4" s="1"/>
  <c r="P12" i="4" s="1"/>
  <c r="J12" i="4"/>
  <c r="L13" i="4"/>
  <c r="M13" i="4" s="1"/>
  <c r="W13" i="2"/>
  <c r="T13" i="14" s="1"/>
  <c r="I8" i="2"/>
  <c r="M8" i="2"/>
  <c r="H9" i="2"/>
  <c r="L9" i="2" s="1"/>
  <c r="C9" i="5"/>
  <c r="J7" i="14" l="1"/>
  <c r="O14" i="14"/>
  <c r="O20" i="14"/>
  <c r="J20" i="14"/>
  <c r="N81" i="1"/>
  <c r="G6" i="14"/>
  <c r="H6" i="14" s="1"/>
  <c r="L24" i="2"/>
  <c r="G5" i="14"/>
  <c r="H5" i="14" s="1"/>
  <c r="G10" i="14"/>
  <c r="H10" i="14" s="1"/>
  <c r="G19" i="14"/>
  <c r="H19" i="14" s="1"/>
  <c r="G7" i="14"/>
  <c r="H7" i="14" s="1"/>
  <c r="G9" i="14"/>
  <c r="H9" i="14" s="1"/>
  <c r="G14" i="14"/>
  <c r="H14" i="14" s="1"/>
  <c r="G8" i="14"/>
  <c r="H8" i="14" s="1"/>
  <c r="H24" i="2"/>
  <c r="N13" i="4"/>
  <c r="O13" i="4" s="1"/>
  <c r="P13" i="4" s="1"/>
  <c r="J13" i="4"/>
  <c r="N18" i="4"/>
  <c r="O18" i="4" s="1"/>
  <c r="P18" i="4" s="1"/>
  <c r="J18" i="4"/>
  <c r="N6" i="4"/>
  <c r="O6" i="4" s="1"/>
  <c r="P6" i="4" s="1"/>
  <c r="J6" i="4"/>
  <c r="G15" i="14"/>
  <c r="H15" i="14" s="1"/>
  <c r="Z21" i="2"/>
  <c r="AA5" i="2"/>
  <c r="J10" i="14"/>
  <c r="O10" i="14"/>
  <c r="O5" i="14"/>
  <c r="J5" i="14"/>
  <c r="N16" i="4"/>
  <c r="O16" i="4" s="1"/>
  <c r="P16" i="4" s="1"/>
  <c r="J16" i="4"/>
  <c r="G11" i="14"/>
  <c r="H11" i="14" s="1"/>
  <c r="G13" i="14"/>
  <c r="H13" i="14" s="1"/>
  <c r="G18" i="14"/>
  <c r="H18" i="14" s="1"/>
  <c r="J9" i="14"/>
  <c r="O9" i="14"/>
  <c r="O5" i="4"/>
  <c r="M21" i="2"/>
  <c r="I21" i="2"/>
  <c r="N21" i="2"/>
  <c r="X21" i="2"/>
  <c r="X46" i="1" s="1"/>
  <c r="W21" i="2"/>
  <c r="T5" i="14"/>
  <c r="G12" i="14"/>
  <c r="H12" i="14" s="1"/>
  <c r="L21" i="4"/>
  <c r="M21" i="4" s="1"/>
  <c r="L23" i="4"/>
  <c r="M23" i="4" s="1"/>
  <c r="M15" i="4"/>
  <c r="L24" i="4"/>
  <c r="M24" i="4" s="1"/>
  <c r="G20" i="14"/>
  <c r="H20" i="14" s="1"/>
  <c r="G16" i="14"/>
  <c r="H16" i="14" s="1"/>
  <c r="O13" i="14"/>
  <c r="J13" i="14"/>
  <c r="B17" i="14"/>
  <c r="N80" i="1"/>
  <c r="N85" i="1" s="1"/>
  <c r="J12" i="14"/>
  <c r="O12" i="14"/>
  <c r="N7" i="4"/>
  <c r="O7" i="4" s="1"/>
  <c r="P7" i="4" s="1"/>
  <c r="J7" i="4"/>
  <c r="N15" i="4"/>
  <c r="J15" i="4"/>
  <c r="J8" i="14"/>
  <c r="O8" i="14"/>
  <c r="L5" i="2"/>
  <c r="H21" i="2"/>
  <c r="H23" i="2"/>
  <c r="S7" i="1"/>
  <c r="J18" i="14"/>
  <c r="O18" i="14"/>
  <c r="G17" i="14"/>
  <c r="H17" i="14" s="1"/>
  <c r="O17" i="14"/>
  <c r="J17" i="14"/>
  <c r="C21" i="5"/>
  <c r="N14" i="4"/>
  <c r="O14" i="4" s="1"/>
  <c r="P14" i="4" s="1"/>
  <c r="J14" i="4"/>
  <c r="B25" i="1"/>
  <c r="I47" i="1"/>
  <c r="S47" i="1"/>
  <c r="I46" i="1"/>
  <c r="S14" i="2"/>
  <c r="P13" i="2"/>
  <c r="B5" i="7"/>
  <c r="P16" i="2"/>
  <c r="P8" i="2"/>
  <c r="O53" i="1"/>
  <c r="I8" i="1"/>
  <c r="P11" i="2"/>
  <c r="S20" i="2"/>
  <c r="P19" i="2"/>
  <c r="S12" i="2"/>
  <c r="O52" i="1"/>
  <c r="P15" i="2"/>
  <c r="S15" i="2"/>
  <c r="P14" i="2"/>
  <c r="S7" i="2"/>
  <c r="P6" i="2"/>
  <c r="S16" i="2"/>
  <c r="P17" i="2"/>
  <c r="P9" i="2"/>
  <c r="O21" i="2"/>
  <c r="P20" i="2"/>
  <c r="P12" i="2"/>
  <c r="O54" i="1"/>
  <c r="S19" i="2"/>
  <c r="I7" i="1"/>
  <c r="S6" i="2"/>
  <c r="O56" i="1"/>
  <c r="P7" i="2"/>
  <c r="O55" i="1"/>
  <c r="S8" i="2"/>
  <c r="P10" i="2"/>
  <c r="P5" i="2"/>
  <c r="P18" i="2"/>
  <c r="S11" i="2"/>
  <c r="S18" i="2"/>
  <c r="S5" i="2"/>
  <c r="S17" i="2"/>
  <c r="S13" i="2"/>
  <c r="S9" i="2"/>
  <c r="S10" i="2"/>
  <c r="N11" i="4"/>
  <c r="O11" i="4" s="1"/>
  <c r="P11" i="4" s="1"/>
  <c r="J11" i="4"/>
  <c r="J24" i="4" l="1"/>
  <c r="J21" i="4"/>
  <c r="D17" i="5"/>
  <c r="R17" i="2"/>
  <c r="P20" i="14"/>
  <c r="P13" i="14"/>
  <c r="P11" i="14"/>
  <c r="P9" i="14"/>
  <c r="P7" i="14"/>
  <c r="P5" i="14"/>
  <c r="P19" i="14"/>
  <c r="P16" i="14"/>
  <c r="P18" i="14"/>
  <c r="P15" i="14"/>
  <c r="P12" i="14"/>
  <c r="P10" i="14"/>
  <c r="P8" i="14"/>
  <c r="P6" i="14"/>
  <c r="P14" i="14"/>
  <c r="P17" i="14"/>
  <c r="AC46" i="1"/>
  <c r="AA21" i="2"/>
  <c r="AH46" i="1" s="1"/>
  <c r="AH47" i="1"/>
  <c r="D18" i="5"/>
  <c r="R18" i="2"/>
  <c r="D19" i="5"/>
  <c r="R19" i="2"/>
  <c r="D13" i="5"/>
  <c r="R13" i="2"/>
  <c r="P6" i="7"/>
  <c r="P7" i="7" s="1"/>
  <c r="P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O6" i="7"/>
  <c r="O7" i="7" s="1"/>
  <c r="O8" i="7" s="1"/>
  <c r="O9" i="7" s="1"/>
  <c r="O10" i="7" s="1"/>
  <c r="O11" i="7" s="1"/>
  <c r="O12" i="7" s="1"/>
  <c r="O13" i="7" s="1"/>
  <c r="O14" i="7" s="1"/>
  <c r="O15" i="7" s="1"/>
  <c r="O16" i="7" s="1"/>
  <c r="O17" i="7" s="1"/>
  <c r="O18" i="7" s="1"/>
  <c r="N6" i="7"/>
  <c r="M6" i="7"/>
  <c r="M7" i="7" s="1"/>
  <c r="M8" i="7" s="1"/>
  <c r="M9" i="7" s="1"/>
  <c r="M10" i="7" s="1"/>
  <c r="M11" i="7" s="1"/>
  <c r="M12" i="7" s="1"/>
  <c r="M13" i="7" s="1"/>
  <c r="M14" i="7" s="1"/>
  <c r="M15" i="7" s="1"/>
  <c r="M16" i="7" s="1"/>
  <c r="M17" i="7" s="1"/>
  <c r="M18" i="7" s="1"/>
  <c r="R6" i="7"/>
  <c r="R7" i="7" s="1"/>
  <c r="R8" i="7" s="1"/>
  <c r="R9" i="7" s="1"/>
  <c r="R10" i="7" s="1"/>
  <c r="R11" i="7" s="1"/>
  <c r="R12" i="7" s="1"/>
  <c r="R13" i="7" s="1"/>
  <c r="R14" i="7" s="1"/>
  <c r="R15" i="7" s="1"/>
  <c r="R16" i="7" s="1"/>
  <c r="R17" i="7" s="1"/>
  <c r="R18" i="7" s="1"/>
  <c r="D5" i="5"/>
  <c r="P21" i="2"/>
  <c r="R5" i="2"/>
  <c r="P23" i="2"/>
  <c r="D6" i="5"/>
  <c r="R6" i="2"/>
  <c r="L21" i="2"/>
  <c r="L23" i="2"/>
  <c r="D10" i="5"/>
  <c r="R10" i="2"/>
  <c r="R11" i="2"/>
  <c r="D11" i="5"/>
  <c r="S81" i="1"/>
  <c r="AA81" i="1" s="1"/>
  <c r="AE83" i="1"/>
  <c r="S82" i="1"/>
  <c r="AA82" i="1" s="1"/>
  <c r="AE80" i="1"/>
  <c r="S83" i="1"/>
  <c r="AA83" i="1" s="1"/>
  <c r="AE82" i="1"/>
  <c r="S80" i="1"/>
  <c r="S84" i="1"/>
  <c r="AA84" i="1" s="1"/>
  <c r="AE81" i="1"/>
  <c r="AE84" i="1"/>
  <c r="N23" i="4"/>
  <c r="D12" i="5"/>
  <c r="R12" i="2"/>
  <c r="D14" i="5"/>
  <c r="R14" i="2"/>
  <c r="D20" i="5"/>
  <c r="R20" i="2"/>
  <c r="N21" i="4"/>
  <c r="J23" i="4"/>
  <c r="S21" i="2"/>
  <c r="D7" i="5"/>
  <c r="R7" i="2"/>
  <c r="D15" i="5"/>
  <c r="R15" i="2"/>
  <c r="P24" i="2"/>
  <c r="D8" i="5"/>
  <c r="R8" i="2"/>
  <c r="O15" i="4"/>
  <c r="N24" i="4"/>
  <c r="U18" i="14"/>
  <c r="V18" i="14" s="1"/>
  <c r="U15" i="14"/>
  <c r="V15" i="14" s="1"/>
  <c r="U12" i="14"/>
  <c r="V12" i="14" s="1"/>
  <c r="U10" i="14"/>
  <c r="V10" i="14" s="1"/>
  <c r="U8" i="14"/>
  <c r="V8" i="14" s="1"/>
  <c r="U6" i="14"/>
  <c r="V6" i="14" s="1"/>
  <c r="U14" i="14"/>
  <c r="V14" i="14" s="1"/>
  <c r="U17" i="14"/>
  <c r="V17" i="14" s="1"/>
  <c r="U20" i="14"/>
  <c r="V20" i="14" s="1"/>
  <c r="U13" i="14"/>
  <c r="V13" i="14" s="1"/>
  <c r="U11" i="14"/>
  <c r="V11" i="14" s="1"/>
  <c r="U9" i="14"/>
  <c r="V9" i="14" s="1"/>
  <c r="U7" i="14"/>
  <c r="V7" i="14" s="1"/>
  <c r="U5" i="14"/>
  <c r="V5" i="14" s="1"/>
  <c r="U16" i="14"/>
  <c r="V16" i="14" s="1"/>
  <c r="U19" i="14"/>
  <c r="V19" i="14" s="1"/>
  <c r="P5" i="4"/>
  <c r="O23" i="4"/>
  <c r="P23" i="4" s="1"/>
  <c r="R9" i="2"/>
  <c r="D9" i="5"/>
  <c r="D16" i="5"/>
  <c r="R16" i="2"/>
  <c r="B24" i="1"/>
  <c r="B23" i="1"/>
  <c r="S46" i="1"/>
  <c r="K18" i="14"/>
  <c r="K15" i="14"/>
  <c r="K12" i="14"/>
  <c r="K10" i="14"/>
  <c r="K8" i="14"/>
  <c r="K6" i="14"/>
  <c r="K14" i="14"/>
  <c r="K17" i="14"/>
  <c r="K20" i="14"/>
  <c r="K13" i="14"/>
  <c r="K11" i="14"/>
  <c r="K9" i="14"/>
  <c r="K7" i="14"/>
  <c r="K5" i="14"/>
  <c r="K16" i="14"/>
  <c r="K19" i="14"/>
  <c r="AE85" i="1" l="1"/>
  <c r="L8" i="14"/>
  <c r="M8" i="14"/>
  <c r="Q6" i="14"/>
  <c r="R6" i="14"/>
  <c r="L9" i="14"/>
  <c r="M9" i="14"/>
  <c r="L10" i="14"/>
  <c r="M10" i="14"/>
  <c r="B17" i="7"/>
  <c r="M19" i="7"/>
  <c r="M20" i="7" s="1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Q8" i="14"/>
  <c r="R8" i="14"/>
  <c r="R7" i="14"/>
  <c r="Q7" i="14"/>
  <c r="L7" i="14"/>
  <c r="M7" i="14"/>
  <c r="G17" i="7"/>
  <c r="R19" i="7"/>
  <c r="R20" i="7" s="1"/>
  <c r="R21" i="7" s="1"/>
  <c r="R22" i="7" s="1"/>
  <c r="R23" i="7" s="1"/>
  <c r="R24" i="7" s="1"/>
  <c r="R25" i="7" s="1"/>
  <c r="R26" i="7" s="1"/>
  <c r="R27" i="7" s="1"/>
  <c r="R28" i="7" s="1"/>
  <c r="R29" i="7" s="1"/>
  <c r="R30" i="7" s="1"/>
  <c r="L11" i="14"/>
  <c r="M11" i="14"/>
  <c r="Q10" i="14"/>
  <c r="R10" i="14"/>
  <c r="M13" i="14"/>
  <c r="L13" i="14"/>
  <c r="Q12" i="14"/>
  <c r="R12" i="14"/>
  <c r="M18" i="14"/>
  <c r="L18" i="14"/>
  <c r="P19" i="7"/>
  <c r="P20" i="7" s="1"/>
  <c r="P21" i="7" s="1"/>
  <c r="P22" i="7" s="1"/>
  <c r="P23" i="7" s="1"/>
  <c r="P24" i="7" s="1"/>
  <c r="P25" i="7" s="1"/>
  <c r="P26" i="7" s="1"/>
  <c r="P27" i="7" s="1"/>
  <c r="P28" i="7" s="1"/>
  <c r="P29" i="7" s="1"/>
  <c r="P30" i="7" s="1"/>
  <c r="E17" i="7"/>
  <c r="R15" i="14"/>
  <c r="Q15" i="14"/>
  <c r="R13" i="14"/>
  <c r="Q13" i="14"/>
  <c r="P15" i="4"/>
  <c r="O24" i="4"/>
  <c r="P24" i="4" s="1"/>
  <c r="R5" i="14"/>
  <c r="Q5" i="14"/>
  <c r="Q6" i="7"/>
  <c r="N7" i="7"/>
  <c r="M15" i="14"/>
  <c r="L15" i="14"/>
  <c r="S85" i="1"/>
  <c r="AA80" i="1"/>
  <c r="R18" i="14"/>
  <c r="Q18" i="14"/>
  <c r="R20" i="14"/>
  <c r="Q20" i="14"/>
  <c r="R9" i="14"/>
  <c r="Q9" i="14"/>
  <c r="R11" i="14"/>
  <c r="Q11" i="14"/>
  <c r="M17" i="14"/>
  <c r="L17" i="14"/>
  <c r="M16" i="14"/>
  <c r="L16" i="14"/>
  <c r="M14" i="14"/>
  <c r="L14" i="14"/>
  <c r="O21" i="4"/>
  <c r="P21" i="4" s="1"/>
  <c r="R17" i="14"/>
  <c r="Q17" i="14"/>
  <c r="R16" i="14"/>
  <c r="Q16" i="14"/>
  <c r="L12" i="14"/>
  <c r="M12" i="14"/>
  <c r="D17" i="7"/>
  <c r="O19" i="7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M20" i="14"/>
  <c r="L20" i="14"/>
  <c r="M19" i="14"/>
  <c r="L19" i="14"/>
  <c r="L5" i="14"/>
  <c r="M5" i="14"/>
  <c r="L6" i="14"/>
  <c r="M6" i="14"/>
  <c r="D21" i="5"/>
  <c r="R14" i="14"/>
  <c r="Q14" i="14"/>
  <c r="R19" i="14"/>
  <c r="Q19" i="14"/>
  <c r="N8" i="7" l="1"/>
  <c r="Q7" i="7"/>
  <c r="O31" i="7"/>
  <c r="O32" i="7" s="1"/>
  <c r="O33" i="7" s="1"/>
  <c r="O34" i="7" s="1"/>
  <c r="O35" i="7" s="1"/>
  <c r="O36" i="7" s="1"/>
  <c r="O37" i="7" s="1"/>
  <c r="O38" i="7" s="1"/>
  <c r="O39" i="7" s="1"/>
  <c r="O40" i="7" s="1"/>
  <c r="O41" i="7" s="1"/>
  <c r="O42" i="7" s="1"/>
  <c r="D18" i="7"/>
  <c r="M31" i="7"/>
  <c r="M32" i="7" s="1"/>
  <c r="M33" i="7" s="1"/>
  <c r="M34" i="7" s="1"/>
  <c r="M35" i="7" s="1"/>
  <c r="M36" i="7" s="1"/>
  <c r="M37" i="7" s="1"/>
  <c r="M38" i="7" s="1"/>
  <c r="M39" i="7" s="1"/>
  <c r="M40" i="7" s="1"/>
  <c r="M41" i="7" s="1"/>
  <c r="M42" i="7" s="1"/>
  <c r="B18" i="7"/>
  <c r="E18" i="7"/>
  <c r="P31" i="7"/>
  <c r="P32" i="7" s="1"/>
  <c r="P33" i="7" s="1"/>
  <c r="P34" i="7" s="1"/>
  <c r="P35" i="7" s="1"/>
  <c r="P36" i="7" s="1"/>
  <c r="P37" i="7" s="1"/>
  <c r="P38" i="7" s="1"/>
  <c r="P39" i="7" s="1"/>
  <c r="P40" i="7" s="1"/>
  <c r="P41" i="7" s="1"/>
  <c r="P42" i="7" s="1"/>
  <c r="R31" i="7"/>
  <c r="R32" i="7" s="1"/>
  <c r="R33" i="7" s="1"/>
  <c r="R34" i="7" s="1"/>
  <c r="R35" i="7" s="1"/>
  <c r="R36" i="7" s="1"/>
  <c r="R37" i="7" s="1"/>
  <c r="R38" i="7" s="1"/>
  <c r="R39" i="7" s="1"/>
  <c r="R40" i="7" s="1"/>
  <c r="R41" i="7" s="1"/>
  <c r="R42" i="7" s="1"/>
  <c r="G18" i="7"/>
  <c r="D19" i="7" l="1"/>
  <c r="O43" i="7"/>
  <c r="O44" i="7" s="1"/>
  <c r="O45" i="7" s="1"/>
  <c r="O46" i="7" s="1"/>
  <c r="O47" i="7" s="1"/>
  <c r="O48" i="7" s="1"/>
  <c r="O49" i="7" s="1"/>
  <c r="O50" i="7" s="1"/>
  <c r="O51" i="7" s="1"/>
  <c r="O52" i="7" s="1"/>
  <c r="O53" i="7" s="1"/>
  <c r="O54" i="7" s="1"/>
  <c r="M43" i="7"/>
  <c r="M44" i="7" s="1"/>
  <c r="M45" i="7" s="1"/>
  <c r="M46" i="7" s="1"/>
  <c r="M47" i="7" s="1"/>
  <c r="M48" i="7" s="1"/>
  <c r="M49" i="7" s="1"/>
  <c r="M50" i="7" s="1"/>
  <c r="M51" i="7" s="1"/>
  <c r="M52" i="7" s="1"/>
  <c r="M53" i="7" s="1"/>
  <c r="M54" i="7" s="1"/>
  <c r="B19" i="7"/>
  <c r="R43" i="7"/>
  <c r="R44" i="7" s="1"/>
  <c r="R45" i="7" s="1"/>
  <c r="R46" i="7" s="1"/>
  <c r="R47" i="7" s="1"/>
  <c r="R48" i="7" s="1"/>
  <c r="R49" i="7" s="1"/>
  <c r="R50" i="7" s="1"/>
  <c r="R51" i="7" s="1"/>
  <c r="R52" i="7" s="1"/>
  <c r="R53" i="7" s="1"/>
  <c r="R54" i="7" s="1"/>
  <c r="G19" i="7"/>
  <c r="P43" i="7"/>
  <c r="P44" i="7" s="1"/>
  <c r="P45" i="7" s="1"/>
  <c r="P46" i="7" s="1"/>
  <c r="P47" i="7" s="1"/>
  <c r="P48" i="7" s="1"/>
  <c r="P49" i="7" s="1"/>
  <c r="P50" i="7" s="1"/>
  <c r="P51" i="7" s="1"/>
  <c r="P52" i="7" s="1"/>
  <c r="P53" i="7" s="1"/>
  <c r="P54" i="7" s="1"/>
  <c r="E19" i="7"/>
  <c r="N9" i="7"/>
  <c r="Q8" i="7"/>
  <c r="P55" i="7" l="1"/>
  <c r="P56" i="7" s="1"/>
  <c r="P57" i="7" s="1"/>
  <c r="P58" i="7" s="1"/>
  <c r="P59" i="7" s="1"/>
  <c r="P60" i="7" s="1"/>
  <c r="P61" i="7" s="1"/>
  <c r="P62" i="7" s="1"/>
  <c r="P63" i="7" s="1"/>
  <c r="P64" i="7" s="1"/>
  <c r="P65" i="7" s="1"/>
  <c r="P66" i="7" s="1"/>
  <c r="E20" i="7"/>
  <c r="M55" i="7"/>
  <c r="M56" i="7" s="1"/>
  <c r="M57" i="7" s="1"/>
  <c r="M58" i="7" s="1"/>
  <c r="M59" i="7" s="1"/>
  <c r="M60" i="7" s="1"/>
  <c r="M61" i="7" s="1"/>
  <c r="M62" i="7" s="1"/>
  <c r="M63" i="7" s="1"/>
  <c r="M64" i="7" s="1"/>
  <c r="M65" i="7" s="1"/>
  <c r="M66" i="7" s="1"/>
  <c r="B20" i="7"/>
  <c r="O55" i="7"/>
  <c r="O56" i="7" s="1"/>
  <c r="O57" i="7" s="1"/>
  <c r="O58" i="7" s="1"/>
  <c r="O59" i="7" s="1"/>
  <c r="O60" i="7" s="1"/>
  <c r="O61" i="7" s="1"/>
  <c r="O62" i="7" s="1"/>
  <c r="O63" i="7" s="1"/>
  <c r="O64" i="7" s="1"/>
  <c r="O65" i="7" s="1"/>
  <c r="O66" i="7" s="1"/>
  <c r="D20" i="7"/>
  <c r="R55" i="7"/>
  <c r="R56" i="7" s="1"/>
  <c r="R57" i="7" s="1"/>
  <c r="R58" i="7" s="1"/>
  <c r="R59" i="7" s="1"/>
  <c r="R60" i="7" s="1"/>
  <c r="R61" i="7" s="1"/>
  <c r="R62" i="7" s="1"/>
  <c r="R63" i="7" s="1"/>
  <c r="R64" i="7" s="1"/>
  <c r="R65" i="7" s="1"/>
  <c r="R66" i="7" s="1"/>
  <c r="G20" i="7"/>
  <c r="N10" i="7"/>
  <c r="Q9" i="7"/>
  <c r="R67" i="7" l="1"/>
  <c r="R68" i="7" s="1"/>
  <c r="R69" i="7" s="1"/>
  <c r="R70" i="7" s="1"/>
  <c r="R71" i="7" s="1"/>
  <c r="R72" i="7" s="1"/>
  <c r="R73" i="7" s="1"/>
  <c r="R74" i="7" s="1"/>
  <c r="R75" i="7" s="1"/>
  <c r="R76" i="7" s="1"/>
  <c r="R77" i="7" s="1"/>
  <c r="R78" i="7" s="1"/>
  <c r="G21" i="7"/>
  <c r="B21" i="7"/>
  <c r="M67" i="7"/>
  <c r="M68" i="7" s="1"/>
  <c r="M69" i="7" s="1"/>
  <c r="M70" i="7" s="1"/>
  <c r="M71" i="7" s="1"/>
  <c r="M72" i="7" s="1"/>
  <c r="M73" i="7" s="1"/>
  <c r="M74" i="7" s="1"/>
  <c r="M75" i="7" s="1"/>
  <c r="M76" i="7" s="1"/>
  <c r="M77" i="7" s="1"/>
  <c r="M78" i="7" s="1"/>
  <c r="O67" i="7"/>
  <c r="O68" i="7" s="1"/>
  <c r="O69" i="7" s="1"/>
  <c r="O70" i="7" s="1"/>
  <c r="O71" i="7" s="1"/>
  <c r="O72" i="7" s="1"/>
  <c r="O73" i="7" s="1"/>
  <c r="O74" i="7" s="1"/>
  <c r="O75" i="7" s="1"/>
  <c r="O76" i="7" s="1"/>
  <c r="O77" i="7" s="1"/>
  <c r="O78" i="7" s="1"/>
  <c r="D21" i="7"/>
  <c r="Q10" i="7"/>
  <c r="N11" i="7"/>
  <c r="P67" i="7"/>
  <c r="P68" i="7" s="1"/>
  <c r="P69" i="7" s="1"/>
  <c r="P70" i="7" s="1"/>
  <c r="P71" i="7" s="1"/>
  <c r="P72" i="7" s="1"/>
  <c r="P73" i="7" s="1"/>
  <c r="P74" i="7" s="1"/>
  <c r="P75" i="7" s="1"/>
  <c r="P76" i="7" s="1"/>
  <c r="P77" i="7" s="1"/>
  <c r="P78" i="7" s="1"/>
  <c r="E21" i="7"/>
  <c r="Q11" i="7" l="1"/>
  <c r="N12" i="7"/>
  <c r="O79" i="7"/>
  <c r="O80" i="7" s="1"/>
  <c r="O81" i="7" s="1"/>
  <c r="O82" i="7" s="1"/>
  <c r="O83" i="7" s="1"/>
  <c r="O84" i="7" s="1"/>
  <c r="O85" i="7" s="1"/>
  <c r="O86" i="7" s="1"/>
  <c r="O87" i="7" s="1"/>
  <c r="O88" i="7" s="1"/>
  <c r="O89" i="7" s="1"/>
  <c r="O90" i="7" s="1"/>
  <c r="D22" i="7"/>
  <c r="M79" i="7"/>
  <c r="M80" i="7" s="1"/>
  <c r="M81" i="7" s="1"/>
  <c r="M82" i="7" s="1"/>
  <c r="M83" i="7" s="1"/>
  <c r="M84" i="7" s="1"/>
  <c r="M85" i="7" s="1"/>
  <c r="M86" i="7" s="1"/>
  <c r="M87" i="7" s="1"/>
  <c r="M88" i="7" s="1"/>
  <c r="M89" i="7" s="1"/>
  <c r="M90" i="7" s="1"/>
  <c r="B22" i="7"/>
  <c r="P79" i="7"/>
  <c r="P80" i="7" s="1"/>
  <c r="P81" i="7" s="1"/>
  <c r="P82" i="7" s="1"/>
  <c r="P83" i="7" s="1"/>
  <c r="P84" i="7" s="1"/>
  <c r="P85" i="7" s="1"/>
  <c r="P86" i="7" s="1"/>
  <c r="P87" i="7" s="1"/>
  <c r="P88" i="7" s="1"/>
  <c r="P89" i="7" s="1"/>
  <c r="P90" i="7" s="1"/>
  <c r="E22" i="7"/>
  <c r="R79" i="7"/>
  <c r="R80" i="7" s="1"/>
  <c r="R81" i="7" s="1"/>
  <c r="R82" i="7" s="1"/>
  <c r="R83" i="7" s="1"/>
  <c r="R84" i="7" s="1"/>
  <c r="R85" i="7" s="1"/>
  <c r="R86" i="7" s="1"/>
  <c r="R87" i="7" s="1"/>
  <c r="R88" i="7" s="1"/>
  <c r="R89" i="7" s="1"/>
  <c r="R90" i="7" s="1"/>
  <c r="G22" i="7"/>
  <c r="P91" i="7" l="1"/>
  <c r="P92" i="7" s="1"/>
  <c r="P93" i="7" s="1"/>
  <c r="P94" i="7" s="1"/>
  <c r="P95" i="7" s="1"/>
  <c r="P96" i="7" s="1"/>
  <c r="P97" i="7" s="1"/>
  <c r="P98" i="7" s="1"/>
  <c r="P99" i="7" s="1"/>
  <c r="P100" i="7" s="1"/>
  <c r="P101" i="7" s="1"/>
  <c r="P102" i="7" s="1"/>
  <c r="E23" i="7"/>
  <c r="M91" i="7"/>
  <c r="M92" i="7" s="1"/>
  <c r="M93" i="7" s="1"/>
  <c r="M94" i="7" s="1"/>
  <c r="M95" i="7" s="1"/>
  <c r="M96" i="7" s="1"/>
  <c r="M97" i="7" s="1"/>
  <c r="M98" i="7" s="1"/>
  <c r="M99" i="7" s="1"/>
  <c r="M100" i="7" s="1"/>
  <c r="M101" i="7" s="1"/>
  <c r="M102" i="7" s="1"/>
  <c r="B23" i="7"/>
  <c r="N13" i="7"/>
  <c r="Q12" i="7"/>
  <c r="O91" i="7"/>
  <c r="O92" i="7" s="1"/>
  <c r="O93" i="7" s="1"/>
  <c r="O94" i="7" s="1"/>
  <c r="O95" i="7" s="1"/>
  <c r="O96" i="7" s="1"/>
  <c r="O97" i="7" s="1"/>
  <c r="O98" i="7" s="1"/>
  <c r="O99" i="7" s="1"/>
  <c r="O100" i="7" s="1"/>
  <c r="O101" i="7" s="1"/>
  <c r="O102" i="7" s="1"/>
  <c r="D23" i="7"/>
  <c r="R91" i="7"/>
  <c r="R92" i="7" s="1"/>
  <c r="R93" i="7" s="1"/>
  <c r="R94" i="7" s="1"/>
  <c r="R95" i="7" s="1"/>
  <c r="R96" i="7" s="1"/>
  <c r="R97" i="7" s="1"/>
  <c r="R98" i="7" s="1"/>
  <c r="R99" i="7" s="1"/>
  <c r="R100" i="7" s="1"/>
  <c r="R101" i="7" s="1"/>
  <c r="R102" i="7" s="1"/>
  <c r="G23" i="7"/>
  <c r="R103" i="7" l="1"/>
  <c r="R104" i="7" s="1"/>
  <c r="R105" i="7" s="1"/>
  <c r="R106" i="7" s="1"/>
  <c r="R107" i="7" s="1"/>
  <c r="R108" i="7" s="1"/>
  <c r="R109" i="7" s="1"/>
  <c r="R110" i="7" s="1"/>
  <c r="R111" i="7" s="1"/>
  <c r="R112" i="7" s="1"/>
  <c r="R113" i="7" s="1"/>
  <c r="R114" i="7" s="1"/>
  <c r="G24" i="7"/>
  <c r="Q13" i="7"/>
  <c r="N14" i="7"/>
  <c r="O103" i="7"/>
  <c r="O104" i="7" s="1"/>
  <c r="O105" i="7" s="1"/>
  <c r="O106" i="7" s="1"/>
  <c r="O107" i="7" s="1"/>
  <c r="O108" i="7" s="1"/>
  <c r="O109" i="7" s="1"/>
  <c r="O110" i="7" s="1"/>
  <c r="O111" i="7" s="1"/>
  <c r="O112" i="7" s="1"/>
  <c r="O113" i="7" s="1"/>
  <c r="O114" i="7" s="1"/>
  <c r="D24" i="7"/>
  <c r="M103" i="7"/>
  <c r="M104" i="7" s="1"/>
  <c r="M105" i="7" s="1"/>
  <c r="M106" i="7" s="1"/>
  <c r="M107" i="7" s="1"/>
  <c r="M108" i="7" s="1"/>
  <c r="M109" i="7" s="1"/>
  <c r="M110" i="7" s="1"/>
  <c r="M111" i="7" s="1"/>
  <c r="M112" i="7" s="1"/>
  <c r="M113" i="7" s="1"/>
  <c r="M114" i="7" s="1"/>
  <c r="B24" i="7"/>
  <c r="P103" i="7"/>
  <c r="P104" i="7" s="1"/>
  <c r="P105" i="7" s="1"/>
  <c r="P106" i="7" s="1"/>
  <c r="P107" i="7" s="1"/>
  <c r="P108" i="7" s="1"/>
  <c r="P109" i="7" s="1"/>
  <c r="P110" i="7" s="1"/>
  <c r="P111" i="7" s="1"/>
  <c r="P112" i="7" s="1"/>
  <c r="P113" i="7" s="1"/>
  <c r="P114" i="7" s="1"/>
  <c r="E24" i="7"/>
  <c r="M115" i="7" l="1"/>
  <c r="M116" i="7" s="1"/>
  <c r="M117" i="7" s="1"/>
  <c r="M118" i="7" s="1"/>
  <c r="M119" i="7" s="1"/>
  <c r="M120" i="7" s="1"/>
  <c r="M121" i="7" s="1"/>
  <c r="M122" i="7" s="1"/>
  <c r="M123" i="7" s="1"/>
  <c r="M124" i="7" s="1"/>
  <c r="M125" i="7" s="1"/>
  <c r="M126" i="7" s="1"/>
  <c r="B26" i="7" s="1"/>
  <c r="B25" i="7"/>
  <c r="P115" i="7"/>
  <c r="P116" i="7" s="1"/>
  <c r="P117" i="7" s="1"/>
  <c r="P118" i="7" s="1"/>
  <c r="P119" i="7" s="1"/>
  <c r="P120" i="7" s="1"/>
  <c r="P121" i="7" s="1"/>
  <c r="P122" i="7" s="1"/>
  <c r="P123" i="7" s="1"/>
  <c r="P124" i="7" s="1"/>
  <c r="P125" i="7" s="1"/>
  <c r="P126" i="7" s="1"/>
  <c r="E26" i="7" s="1"/>
  <c r="E25" i="7"/>
  <c r="G25" i="7"/>
  <c r="R115" i="7"/>
  <c r="R116" i="7" s="1"/>
  <c r="R117" i="7" s="1"/>
  <c r="R118" i="7" s="1"/>
  <c r="R119" i="7" s="1"/>
  <c r="R120" i="7" s="1"/>
  <c r="R121" i="7" s="1"/>
  <c r="R122" i="7" s="1"/>
  <c r="R123" i="7" s="1"/>
  <c r="R124" i="7" s="1"/>
  <c r="R125" i="7" s="1"/>
  <c r="R126" i="7" s="1"/>
  <c r="G26" i="7" s="1"/>
  <c r="O115" i="7"/>
  <c r="O116" i="7" s="1"/>
  <c r="O117" i="7" s="1"/>
  <c r="O118" i="7" s="1"/>
  <c r="O119" i="7" s="1"/>
  <c r="O120" i="7" s="1"/>
  <c r="O121" i="7" s="1"/>
  <c r="O122" i="7" s="1"/>
  <c r="O123" i="7" s="1"/>
  <c r="O124" i="7" s="1"/>
  <c r="O125" i="7" s="1"/>
  <c r="O126" i="7" s="1"/>
  <c r="D26" i="7" s="1"/>
  <c r="D25" i="7"/>
  <c r="Q14" i="7"/>
  <c r="N15" i="7"/>
  <c r="N16" i="7" l="1"/>
  <c r="Q15" i="7"/>
  <c r="N17" i="7" l="1"/>
  <c r="Q16" i="7"/>
  <c r="Q17" i="7" l="1"/>
  <c r="N18" i="7"/>
  <c r="N19" i="7" l="1"/>
  <c r="Q18" i="7"/>
  <c r="F17" i="7" s="1"/>
  <c r="I17" i="7" s="1"/>
  <c r="C17" i="7"/>
  <c r="H17" i="7" s="1"/>
  <c r="Q19" i="7" l="1"/>
  <c r="N20" i="7"/>
  <c r="Q20" i="7" l="1"/>
  <c r="N21" i="7"/>
  <c r="N22" i="7" l="1"/>
  <c r="Q21" i="7"/>
  <c r="N23" i="7" l="1"/>
  <c r="Q22" i="7"/>
  <c r="Q23" i="7" l="1"/>
  <c r="N24" i="7"/>
  <c r="N25" i="7" l="1"/>
  <c r="Q24" i="7"/>
  <c r="Q25" i="7" l="1"/>
  <c r="N26" i="7"/>
  <c r="Q26" i="7" l="1"/>
  <c r="N27" i="7"/>
  <c r="N28" i="7" l="1"/>
  <c r="Q27" i="7"/>
  <c r="N29" i="7" l="1"/>
  <c r="Q28" i="7"/>
  <c r="Q29" i="7" l="1"/>
  <c r="N30" i="7"/>
  <c r="Q30" i="7" l="1"/>
  <c r="F18" i="7" s="1"/>
  <c r="I18" i="7" s="1"/>
  <c r="C18" i="7"/>
  <c r="H18" i="7" s="1"/>
  <c r="N31" i="7"/>
  <c r="N32" i="7" l="1"/>
  <c r="Q31" i="7"/>
  <c r="N33" i="7" l="1"/>
  <c r="Q32" i="7"/>
  <c r="Q33" i="7" l="1"/>
  <c r="N34" i="7"/>
  <c r="N35" i="7" l="1"/>
  <c r="Q34" i="7"/>
  <c r="Q35" i="7" l="1"/>
  <c r="N36" i="7"/>
  <c r="Q36" i="7" l="1"/>
  <c r="N37" i="7"/>
  <c r="N38" i="7" l="1"/>
  <c r="Q37" i="7"/>
  <c r="Q38" i="7" l="1"/>
  <c r="N39" i="7"/>
  <c r="N40" i="7" l="1"/>
  <c r="Q39" i="7"/>
  <c r="N41" i="7" l="1"/>
  <c r="Q40" i="7"/>
  <c r="N42" i="7" l="1"/>
  <c r="Q41" i="7"/>
  <c r="N43" i="7" l="1"/>
  <c r="C19" i="7"/>
  <c r="H19" i="7" s="1"/>
  <c r="Q42" i="7"/>
  <c r="F19" i="7" s="1"/>
  <c r="I19" i="7" s="1"/>
  <c r="Q43" i="7" l="1"/>
  <c r="N44" i="7"/>
  <c r="Q44" i="7" l="1"/>
  <c r="N45" i="7"/>
  <c r="N46" i="7" l="1"/>
  <c r="Q45" i="7"/>
  <c r="Q46" i="7" l="1"/>
  <c r="N47" i="7"/>
  <c r="N48" i="7" l="1"/>
  <c r="Q47" i="7"/>
  <c r="N49" i="7" l="1"/>
  <c r="Q48" i="7"/>
  <c r="N50" i="7" l="1"/>
  <c r="Q49" i="7"/>
  <c r="N51" i="7" l="1"/>
  <c r="Q50" i="7"/>
  <c r="Q51" i="7" l="1"/>
  <c r="N52" i="7"/>
  <c r="Q52" i="7" l="1"/>
  <c r="N53" i="7"/>
  <c r="Q53" i="7" l="1"/>
  <c r="N54" i="7"/>
  <c r="Q54" i="7" l="1"/>
  <c r="F20" i="7" s="1"/>
  <c r="I20" i="7" s="1"/>
  <c r="N55" i="7"/>
  <c r="C20" i="7"/>
  <c r="H20" i="7" s="1"/>
  <c r="N56" i="7" l="1"/>
  <c r="Q55" i="7"/>
  <c r="N57" i="7" l="1"/>
  <c r="Q56" i="7"/>
  <c r="N58" i="7" l="1"/>
  <c r="Q57" i="7"/>
  <c r="N59" i="7" l="1"/>
  <c r="Q58" i="7"/>
  <c r="Q59" i="7" l="1"/>
  <c r="N60" i="7"/>
  <c r="Q60" i="7" l="1"/>
  <c r="N61" i="7"/>
  <c r="N62" i="7" l="1"/>
  <c r="Q61" i="7"/>
  <c r="Q62" i="7" l="1"/>
  <c r="N63" i="7"/>
  <c r="N64" i="7" l="1"/>
  <c r="Q63" i="7"/>
  <c r="N65" i="7" l="1"/>
  <c r="Q64" i="7"/>
  <c r="N66" i="7" l="1"/>
  <c r="Q65" i="7"/>
  <c r="C21" i="7" l="1"/>
  <c r="H21" i="7" s="1"/>
  <c r="Q66" i="7"/>
  <c r="F21" i="7" s="1"/>
  <c r="I21" i="7" s="1"/>
  <c r="N67" i="7"/>
  <c r="N68" i="7" l="1"/>
  <c r="Q67" i="7"/>
  <c r="Q68" i="7" l="1"/>
  <c r="N69" i="7"/>
  <c r="N70" i="7" l="1"/>
  <c r="Q69" i="7"/>
  <c r="Q70" i="7" l="1"/>
  <c r="N71" i="7"/>
  <c r="Q71" i="7" l="1"/>
  <c r="N72" i="7"/>
  <c r="N73" i="7" l="1"/>
  <c r="Q72" i="7"/>
  <c r="Q73" i="7" l="1"/>
  <c r="N74" i="7"/>
  <c r="N75" i="7" l="1"/>
  <c r="Q74" i="7"/>
  <c r="Q75" i="7" l="1"/>
  <c r="N76" i="7"/>
  <c r="Q76" i="7" l="1"/>
  <c r="N77" i="7"/>
  <c r="N78" i="7" l="1"/>
  <c r="Q77" i="7"/>
  <c r="C22" i="7" l="1"/>
  <c r="H22" i="7" s="1"/>
  <c r="N79" i="7"/>
  <c r="Q78" i="7"/>
  <c r="F22" i="7" s="1"/>
  <c r="I22" i="7" s="1"/>
  <c r="N80" i="7" l="1"/>
  <c r="Q79" i="7"/>
  <c r="N81" i="7" l="1"/>
  <c r="Q80" i="7"/>
  <c r="Q81" i="7" l="1"/>
  <c r="N82" i="7"/>
  <c r="Q82" i="7" l="1"/>
  <c r="N83" i="7"/>
  <c r="Q83" i="7" l="1"/>
  <c r="N84" i="7"/>
  <c r="Q84" i="7" l="1"/>
  <c r="N85" i="7"/>
  <c r="N86" i="7" l="1"/>
  <c r="Q85" i="7"/>
  <c r="Q86" i="7" l="1"/>
  <c r="N87" i="7"/>
  <c r="N88" i="7" l="1"/>
  <c r="Q87" i="7"/>
  <c r="N89" i="7" l="1"/>
  <c r="Q88" i="7"/>
  <c r="Q89" i="7" l="1"/>
  <c r="N90" i="7"/>
  <c r="Q90" i="7" l="1"/>
  <c r="F23" i="7" s="1"/>
  <c r="I23" i="7" s="1"/>
  <c r="C23" i="7"/>
  <c r="H23" i="7" s="1"/>
  <c r="N91" i="7"/>
  <c r="Q91" i="7" l="1"/>
  <c r="N92" i="7"/>
  <c r="Q92" i="7" l="1"/>
  <c r="N93" i="7"/>
  <c r="N94" i="7" l="1"/>
  <c r="Q93" i="7"/>
  <c r="Q94" i="7" l="1"/>
  <c r="N95" i="7"/>
  <c r="N96" i="7" l="1"/>
  <c r="Q95" i="7"/>
  <c r="N97" i="7" l="1"/>
  <c r="Q96" i="7"/>
  <c r="Q97" i="7" l="1"/>
  <c r="N98" i="7"/>
  <c r="Q98" i="7" l="1"/>
  <c r="N99" i="7"/>
  <c r="Q99" i="7" l="1"/>
  <c r="N100" i="7"/>
  <c r="Q100" i="7" l="1"/>
  <c r="N101" i="7"/>
  <c r="N102" i="7" l="1"/>
  <c r="Q101" i="7"/>
  <c r="C24" i="7" l="1"/>
  <c r="H24" i="7" s="1"/>
  <c r="Q102" i="7"/>
  <c r="F24" i="7" s="1"/>
  <c r="I24" i="7" s="1"/>
  <c r="N103" i="7"/>
  <c r="N104" i="7" l="1"/>
  <c r="Q103" i="7"/>
  <c r="N105" i="7" l="1"/>
  <c r="Q104" i="7"/>
  <c r="Q105" i="7" l="1"/>
  <c r="N106" i="7"/>
  <c r="Q106" i="7" l="1"/>
  <c r="N107" i="7"/>
  <c r="Q107" i="7" l="1"/>
  <c r="N108" i="7"/>
  <c r="Q108" i="7" l="1"/>
  <c r="N109" i="7"/>
  <c r="N110" i="7" l="1"/>
  <c r="Q109" i="7"/>
  <c r="Q110" i="7" l="1"/>
  <c r="N111" i="7"/>
  <c r="N112" i="7" l="1"/>
  <c r="Q111" i="7"/>
  <c r="N113" i="7" l="1"/>
  <c r="Q112" i="7"/>
  <c r="Q113" i="7" l="1"/>
  <c r="N114" i="7"/>
  <c r="Q114" i="7" l="1"/>
  <c r="F25" i="7" s="1"/>
  <c r="I25" i="7" s="1"/>
  <c r="N115" i="7"/>
  <c r="C25" i="7"/>
  <c r="H25" i="7" s="1"/>
  <c r="Q115" i="7" l="1"/>
  <c r="N116" i="7"/>
  <c r="Q116" i="7" l="1"/>
  <c r="N117" i="7"/>
  <c r="N118" i="7" l="1"/>
  <c r="Q117" i="7"/>
  <c r="Q118" i="7" l="1"/>
  <c r="N119" i="7"/>
  <c r="N120" i="7" l="1"/>
  <c r="Q119" i="7"/>
  <c r="N121" i="7" l="1"/>
  <c r="Q120" i="7"/>
  <c r="Q121" i="7" l="1"/>
  <c r="N122" i="7"/>
  <c r="Q122" i="7" l="1"/>
  <c r="N123" i="7"/>
  <c r="Q123" i="7" l="1"/>
  <c r="N124" i="7"/>
  <c r="Q124" i="7" l="1"/>
  <c r="N125" i="7"/>
  <c r="N126" i="7" l="1"/>
  <c r="Q125" i="7"/>
  <c r="Q126" i="7" l="1"/>
  <c r="C26" i="7"/>
  <c r="H26" i="7" s="1"/>
  <c r="B29" i="7" l="1"/>
  <c r="F26" i="7"/>
  <c r="I26" i="7" s="1"/>
  <c r="B28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Planilha</author>
  </authors>
  <commentList>
    <comment ref="E4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Soma dos proventos pagos por cota nos últimos 12 meses (Yahoo Finance). JCP vem bruto (antes dos 15% de IR). Base da meta de renda.</t>
        </r>
      </text>
    </comment>
  </commentList>
</comments>
</file>

<file path=xl/sharedStrings.xml><?xml version="1.0" encoding="utf-8"?>
<sst xmlns="http://schemas.openxmlformats.org/spreadsheetml/2006/main" count="647" uniqueCount="395">
  <si>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Painel de investimentos</t>
    </r>
  </si>
  <si>
    <t>Filtros</t>
  </si>
  <si>
    <t>PATRIMÔNIO TOTAL</t>
  </si>
  <si>
    <t>RENDA VARIÁVEL</t>
  </si>
  <si>
    <t>LUCRO / PREJUÍZO</t>
  </si>
  <si>
    <t>PROVENTOS RECEBIDOS</t>
  </si>
  <si>
    <t>MAIOR POSIÇÃO</t>
  </si>
  <si>
    <t>MELHOR ATIVO</t>
  </si>
  <si>
    <t>Tipo de ativo</t>
  </si>
  <si>
    <t>Selecionado</t>
  </si>
  <si>
    <t>Todos</t>
  </si>
  <si>
    <t>Carteira e proventos</t>
  </si>
  <si>
    <t>Atalhos</t>
  </si>
  <si>
    <t>✚  Lançar compra ou provento</t>
  </si>
  <si>
    <t>◧  Carteira completa</t>
  </si>
  <si>
    <t>◎  Meta de renda por ativo</t>
  </si>
  <si>
    <t>∑  Análise quantitativa</t>
  </si>
  <si>
    <t>λ  Modelos matemáticos</t>
  </si>
  <si>
    <t>↗  Projeção futura</t>
  </si>
  <si>
    <t>⚙  Premissas e metas</t>
  </si>
  <si>
    <t>⚠  Verificar dados</t>
  </si>
  <si>
    <t>Meta de renda</t>
  </si>
  <si>
    <t>Alocação e meta de renda</t>
  </si>
  <si>
    <t>cada ativo deve pagar R$ 1.099/mês</t>
  </si>
  <si>
    <t>RENDA MENSAL</t>
  </si>
  <si>
    <t>META MENSAL</t>
  </si>
  <si>
    <t>PROGRESSO DA META</t>
  </si>
  <si>
    <t>ATIVOS NA META</t>
  </si>
  <si>
    <t>APORTE P/ META</t>
  </si>
  <si>
    <t>TEMPO ATÉ A META</t>
  </si>
  <si>
    <t>Destaques</t>
  </si>
  <si>
    <t>rankings no filtro escolhido</t>
  </si>
  <si>
    <t>Maiores posições</t>
  </si>
  <si>
    <t>Maiores altas</t>
  </si>
  <si>
    <t>Maiores quedas</t>
  </si>
  <si>
    <t>#</t>
  </si>
  <si>
    <t>ATIVO</t>
  </si>
  <si>
    <t>POSIÇÃO</t>
  </si>
  <si>
    <t>PARTICIPAÇÃO</t>
  </si>
  <si>
    <t>VALORIZAÇÃO</t>
  </si>
  <si>
    <t>LUCRO</t>
  </si>
  <si>
    <t>Alocação por classe</t>
  </si>
  <si>
    <t>valores de outras classes e pesos ideais: aba Premissas</t>
  </si>
  <si>
    <t>CLASSE</t>
  </si>
  <si>
    <t>VALOR (R$)</t>
  </si>
  <si>
    <t>PESO ATUAL</t>
  </si>
  <si>
    <t>PESO IDEAL</t>
  </si>
  <si>
    <t>DESVIO</t>
  </si>
  <si>
    <t>APORTE P/ IDEAL (R$)</t>
  </si>
  <si>
    <t>Ações</t>
  </si>
  <si>
    <t>FIIs</t>
  </si>
  <si>
    <t>TOTAL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</si>
  <si>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Carteira</t>
    </r>
  </si>
  <si>
    <t>Cada ação/FII em uma linha só: posição, proventos, peso e meta de renda — calculado, não digite aqui.</t>
  </si>
  <si>
    <t>Ticker</t>
  </si>
  <si>
    <t>Tipo</t>
  </si>
  <si>
    <t>Qtd atual</t>
  </si>
  <si>
    <t>Preço médio (R$)</t>
  </si>
  <si>
    <t>Valor investido (R$)</t>
  </si>
  <si>
    <t>Cotação (R$)</t>
  </si>
  <si>
    <t>Posição atual (R$)</t>
  </si>
  <si>
    <t>Lucro / prejuízo (R$)</t>
  </si>
  <si>
    <t>Valorização</t>
  </si>
  <si>
    <t>Proventos recebidos (R$)</t>
  </si>
  <si>
    <t>Proventos 12m (R$)</t>
  </si>
  <si>
    <t>Retorno total (R$)</t>
  </si>
  <si>
    <t>Retorno total %</t>
  </si>
  <si>
    <t>Yield on cost</t>
  </si>
  <si>
    <t>DY atual</t>
  </si>
  <si>
    <t>Peso atual</t>
  </si>
  <si>
    <t>Peso ideal</t>
  </si>
  <si>
    <t>Desvio do peso</t>
  </si>
  <si>
    <t>Aporte p/ peso ideal (R$)</t>
  </si>
  <si>
    <t>Provento 12m por cota (R$)</t>
  </si>
  <si>
    <t>Provento mensal por cota (R$)</t>
  </si>
  <si>
    <t>Renda mensal (R$)</t>
  </si>
  <si>
    <t>% da meta</t>
  </si>
  <si>
    <t>Cotas p/ meta</t>
  </si>
  <si>
    <t>Cotas faltantes</t>
  </si>
  <si>
    <t>Aporte p/ meta (R$)</t>
  </si>
  <si>
    <t>Meses p/ meta</t>
  </si>
  <si>
    <t>Segmento</t>
  </si>
  <si>
    <t>No filtro</t>
  </si>
  <si>
    <t>Subtotal ações</t>
  </si>
  <si>
    <t>Subtotal FIIs</t>
  </si>
  <si>
    <t>Como ler</t>
  </si>
  <si>
    <t>• Linhas em cinza: ativos do catálogo que você ainda não tem (a mesma lista serve de catálogo e de carteira).</t>
  </si>
  <si>
    <t>• Meta de renda: cotas p/ meta = meta mensal ÷ provento mensal por cota; aporte = cotas faltantes × cotação.</t>
  </si>
  <si>
    <t>• Tipo, segmento, cotação, provento 12m e peso ideal vêm de dados/ativos.csv (aba Ativos, oculta).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</si>
  <si>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Análises Dinâmicas</t>
    </r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</si>
  <si>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Meta de Renda por Ativo</t>
    </r>
  </si>
  <si>
    <t>Cada ação e cada FII deve pagar a meta mensal da aba Premissas — cotas e custo para chegar lá. Calculado, não digite aqui.</t>
  </si>
  <si>
    <t>Rendimento mensal</t>
  </si>
  <si>
    <t>Meta mensal (R$)</t>
  </si>
  <si>
    <t>Cotas necessárias</t>
  </si>
  <si>
    <t>Custo total da meta (R$)</t>
  </si>
  <si>
    <t>Cotas que você tem</t>
  </si>
  <si>
    <t>Renda mensal atual (R$)</t>
  </si>
  <si>
    <t>Custo faltante (R$)</t>
  </si>
  <si>
    <t>Meses (aporte só neste ativo)</t>
  </si>
  <si>
    <t>• Cotas necessárias = meta mensal ÷ provento mensal por cota (provento dos últimos 12 meses ÷ 12), arredondado para cima.</t>
  </si>
  <si>
    <t>• Custo total = cotas necessárias × cotação de hoje; custo faltante considera as cotas que você já tem.</t>
  </si>
  <si>
    <t>• Meses: tempo até a meta se todo o aporte mensal (Premissas) fosse para este ativo. O total considera a carteira inteira.</t>
  </si>
  <si>
    <t>• Ativo sem proventos nos últimos 12 meses não tem como atingir a meta de renda ('sem proventos').</t>
  </si>
  <si>
    <t>• Para mudar a meta, edite meta_mensal_por_ativo em dados/config.json (ou a aba Premissas).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</si>
  <si>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Análise Quantitativa</t>
    </r>
  </si>
  <si>
    <t>Histórico semanal até 28/09/2026 (Yahoo Finance) • pesos: pesos ideais (ainda sem lançamentos) • calculado por gestao.py — não digite aqui.</t>
  </si>
  <si>
    <t>Qualidade dos dados</t>
  </si>
  <si>
    <t>Semanas de histórico</t>
  </si>
  <si>
    <t>Última cotação</t>
  </si>
  <si>
    <t>Retorno 12m (preço)</t>
  </si>
  <si>
    <t>Retorno 12m (c/ proventos)</t>
  </si>
  <si>
    <t>Volatilidade anual</t>
  </si>
  <si>
    <t>Sharpe (vs CDI)</t>
  </si>
  <si>
    <t>Queda máx. 3a</t>
  </si>
  <si>
    <t>Beta (Ibov)</t>
  </si>
  <si>
    <t>Correlação Ibov</t>
  </si>
  <si>
    <t>Volatilidade EWMA (λ)</t>
  </si>
  <si>
    <t>VaR 95% semanal</t>
  </si>
  <si>
    <t>CVaR 95% semanal</t>
  </si>
  <si>
    <t>Sortino</t>
  </si>
  <si>
    <t>Retorno esperado CAPM</t>
  </si>
  <si>
    <t>Alfa de Jensen</t>
  </si>
  <si>
    <t>Assimetria</t>
  </si>
  <si>
    <t>Curtose (excesso)</t>
  </si>
  <si>
    <t>Normalidade (p Jarque-Bera)</t>
  </si>
  <si>
    <t>Autocorrelação 1 sem.</t>
  </si>
  <si>
    <t>Taxa instantânea f′(t) (anual)</t>
  </si>
  <si>
    <t>Curvatura f″(t)</t>
  </si>
  <si>
    <t>R² polinômio grau 3</t>
  </si>
  <si>
    <t>Leitura da tendência</t>
  </si>
  <si>
    <t>Tendência anual (regressão 3a)</t>
  </si>
  <si>
    <t>R² da regressão</t>
  </si>
  <si>
    <t>Preço vs tendência</t>
  </si>
  <si>
    <t>Preço projetado 12m (R$)</t>
  </si>
  <si>
    <t>Faixa mín. 12m (R$)</t>
  </si>
  <si>
    <t>Faixa máx. 12m (R$)</t>
  </si>
  <si>
    <t>Proventos 12m hist. (R$)</t>
  </si>
  <si>
    <t>Crescimento proventos a/a</t>
  </si>
  <si>
    <t>Peso na análise</t>
  </si>
  <si>
    <t>Contribuição ao risco</t>
  </si>
  <si>
    <t>Alta</t>
  </si>
  <si>
    <t>Queda perdendo força</t>
  </si>
  <si>
    <t>Alta acelerando</t>
  </si>
  <si>
    <t>Queda acelerando</t>
  </si>
  <si>
    <t>Média</t>
  </si>
  <si>
    <t>CARTEIRA</t>
  </si>
  <si>
    <t>Resumo da carteira</t>
  </si>
  <si>
    <t>Valor</t>
  </si>
  <si>
    <t>Leitura</t>
  </si>
  <si>
    <t>Base dos pesos</t>
  </si>
  <si>
    <t>pesos ideais (ainda sem lançamentos)</t>
  </si>
  <si>
    <t>Carteira real quando há lançamentos; senão, pesos ideais.</t>
  </si>
  <si>
    <t>Retorno anual médio (3a, c/ proventos)</t>
  </si>
  <si>
    <t>Média geométrica ponderada pelos pesos.</t>
  </si>
  <si>
    <t>Volatilidade anual da carteira</t>
  </si>
  <si>
    <t>Considera as correlações entre os ativos.</t>
  </si>
  <si>
    <t>Índice de diversificação</t>
  </si>
  <si>
    <t>Vol. média dos ativos ÷ vol. da carteira (&gt;1 = diversificação ajuda).</t>
  </si>
  <si>
    <t>Sharpe da carteira</t>
  </si>
  <si>
    <t>Retorno acima do CDI (14.00%) por unidade de risco.</t>
  </si>
  <si>
    <t>Beta da carteira</t>
  </si>
  <si>
    <t>1 = oscila como o Ibovespa; &lt;1 = mais defensiva.</t>
  </si>
  <si>
    <t>Queda máxima (3a)</t>
  </si>
  <si>
    <t>Pior perda do pico ao vale com os pesos atuais.</t>
  </si>
  <si>
    <t>Dividend yield da carteira</t>
  </si>
  <si>
    <t>Provento 12m ÷ cotação, ponderado.</t>
  </si>
  <si>
    <t>Retorno 12m da carteira</t>
  </si>
  <si>
    <t>Com proventos reinvestidos.</t>
  </si>
  <si>
    <t>Ibovespa 12m</t>
  </si>
  <si>
    <t>Referência de mercado.</t>
  </si>
  <si>
    <t>TIR realizada (seus lançamentos)</t>
  </si>
  <si>
    <t>Aparece quando houver lançamentos com data.</t>
  </si>
  <si>
    <t>CDI anual (premissa)</t>
  </si>
  <si>
    <t>dados/config.json → analise.cdi_anual</t>
  </si>
  <si>
    <t>Correlação dos retornos semanais (3 anos) — perto de 1 = andam juntos; perto de 0 = diversificam</t>
  </si>
  <si>
    <t>Correlação</t>
  </si>
  <si>
    <t>VALE3</t>
  </si>
  <si>
    <t>TAEE11</t>
  </si>
  <si>
    <t>PETR4</t>
  </si>
  <si>
    <t>BBAS3</t>
  </si>
  <si>
    <t>BRBI11</t>
  </si>
  <si>
    <t>BBDC4</t>
  </si>
  <si>
    <t>ITSA4</t>
  </si>
  <si>
    <t>CMIG4</t>
  </si>
  <si>
    <t>FIQE3</t>
  </si>
  <si>
    <t>KLBN11</t>
  </si>
  <si>
    <t>MXRF11</t>
  </si>
  <si>
    <t>BRCR11</t>
  </si>
  <si>
    <t>XPLG11</t>
  </si>
  <si>
    <t>XPML11</t>
  </si>
  <si>
    <t>SNAG11</t>
  </si>
  <si>
    <t>CPTS11</t>
  </si>
  <si>
    <t>• Derivadas: polinômio f(t) de grau 3 ajustado ao log-preço de 12 meses; f′(hoje) = taxa instantânea (e^f′ − 1 ao ano), f″(hoje) = curvatura (&gt;0 acelerando, &lt;0 perdendo força).</t>
  </si>
  <si>
    <t>• EWMA: σ²ₜ = λσ²ₜ₋₁ + (1−λ)r²ₜ (λ em config.json) — pesa mais as semanas recentes. VaR/CVaR 95%: perda semanal superada em 5% das semanas / perda média nessas semanas.</t>
  </si>
  <si>
    <t>• Jarque-Bera: p &lt; 0,05 = retornos não normais (caudas gordas se curtose &gt; 0). CAPM = CDI + β·(Ibov − CDI); alfa = retorno obtido − CAPM.</t>
  </si>
  <si>
    <t>• Tendência/R²: regressão log-linear de 3 anos. R² baixo = preço sem tendência clara; não use a projeção 12m isoladamente.</t>
  </si>
  <si>
    <t>• Faixa 12m: tendência ± 1 desvio-padrão dos resíduos (~68% dos casos históricos). Não é recomendação de compra ou venda.</t>
  </si>
  <si>
    <t>• Contribuição ao risco: parcela da volatilidade da carteira que vem de cada ativo (soma 100%).</t>
  </si>
  <si>
    <t>• Qualidade dos dados: Alta = 2,5+ anos de histórico, cotação recente e sem lacunas; Baixa = pouco histórico ou desatualizado.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</si>
  <si>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Modelos Matemáticos</t>
    </r>
  </si>
  <si>
    <t>Álgebra linear, Markowitz, Monte Carlo e economia — calculado por gestao.py a partir do histórico e da sua carteira.</t>
  </si>
  <si>
    <t>1. Economia — retorno real (equação de Fisher: 1 + nominal = (1 + real)(1 + inflação))</t>
  </si>
  <si>
    <t>Indicador</t>
  </si>
  <si>
    <t>Inflação anual (premissa)</t>
  </si>
  <si>
    <t>config.json → analise.inflacao_anual</t>
  </si>
  <si>
    <t>CDI real</t>
  </si>
  <si>
    <t>Ganho do CDI acima da inflação</t>
  </si>
  <si>
    <t>Retorno real da carteira (3a)</t>
  </si>
  <si>
    <t>Retorno médio histórico acima da inflação</t>
  </si>
  <si>
    <t>Dividend yield real</t>
  </si>
  <si>
    <t>Renda acima da inflação</t>
  </si>
  <si>
    <t>Prêmio de risco sobre o CDI</t>
  </si>
  <si>
    <t>Quanto a renda variável pagou a mais que o CDI</t>
  </si>
  <si>
    <t>2. Álgebra linear — autovalores da matriz de covariância Σ = VΛVᵀ (fatores de risco); número de condição 79 (alto = ativos redundantes)</t>
  </si>
  <si>
    <t>Fator</t>
  </si>
  <si>
    <t>Autovalor λ (variância)</t>
  </si>
  <si>
    <t>Volatilidade √λ</t>
  </si>
  <si>
    <t>% do risco</t>
  </si>
  <si>
    <t>% acumulado</t>
  </si>
  <si>
    <t>Fator 1</t>
  </si>
  <si>
    <t>Fator 2</t>
  </si>
  <si>
    <t>Fator 3</t>
  </si>
  <si>
    <t>Fator 4</t>
  </si>
  <si>
    <t>Fator 5</t>
  </si>
  <si>
    <t>Autovetores (cargas): quanto cada ativo pesa em cada fator — Fator 1 ≈ risco de mercado comum</t>
  </si>
  <si>
    <t>Ativo</t>
  </si>
  <si>
    <t>3. Otimização de Markowitz (sem venda a descoberto): mín. variância w ∝ Σ⁻¹1 • máx. Sharpe w ∝ Σ⁻¹(μ − CDI)</t>
  </si>
  <si>
    <t>μ esperado</t>
  </si>
  <si>
    <t>Pesos ideais</t>
  </si>
  <si>
    <t>Carteira analisada</t>
  </si>
  <si>
    <t>Mínima variância</t>
  </si>
  <si>
    <t>Máximo Sharpe</t>
  </si>
  <si>
    <t>Retorno esperado</t>
  </si>
  <si>
    <t>Volatilidade</t>
  </si>
  <si>
    <t>Sharpe</t>
  </si>
  <si>
    <t>4. Monte Carlo — 5.000 trajetórias de movimento browniano geométrico (μ = 11,1%, σ = 11,5%, aporte mensal das Premissas)</t>
  </si>
  <si>
    <t>Patrimônio em ações + FIIs por percentil (5% dos cenários ficam abaixo de P5)</t>
  </si>
  <si>
    <t>Ano</t>
  </si>
  <si>
    <t>P5 (R$)</t>
  </si>
  <si>
    <t>P25 (R$)</t>
  </si>
  <si>
    <t>Mediana (R$)</t>
  </si>
  <si>
    <t>P75 (R$)</t>
  </si>
  <si>
    <t>P95 (R$)</t>
  </si>
  <si>
    <t>CDI (R$)</t>
  </si>
  <si>
    <t>Aportado (R$)</t>
  </si>
  <si>
    <t>Prob. vencer CDI</t>
  </si>
  <si>
    <t>Prob. abaixo do aportado</t>
  </si>
  <si>
    <t>Probabilidade de atingir a meta de renda em 10 anos: 0%</t>
  </si>
  <si>
    <t>• μ esperado de cada ativo = 50% retorno histórico (3a) + 50% CAPM — o encolhimento reduz o erro de estimação.</t>
  </si>
  <si>
    <t>• Fatores: se o Fator 1 explica muito do risco, a carteira depende de um único movimento de mercado.</t>
  </si>
  <si>
    <t>• Markowitz usa o passado; trate as carteiras ótimas como referência para o peso ideal, não como ordem de compra.</t>
  </si>
  <si>
    <t>• Monte Carlo: μ = valorização base + DY (se reinvestir); σ = volatilidade da carteira. Não é garantia de retorno.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</si>
  <si>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Projeção Futura</t>
    </r>
  </si>
  <si>
    <t>Parte da posição atual (Carteira) e do aporte mensal (Premissas). Parâmetros em amarelo podem ser alterados aqui.</t>
  </si>
  <si>
    <t>Parâmetro</t>
  </si>
  <si>
    <t>Origem</t>
  </si>
  <si>
    <t>Patrimônio inicial (ações + FIIs)</t>
  </si>
  <si>
    <t>Carteira (posição atual)</t>
  </si>
  <si>
    <t>Mês</t>
  </si>
  <si>
    <t>Data</t>
  </si>
  <si>
    <t>Pessimista (R$)</t>
  </si>
  <si>
    <t>Base (R$)</t>
  </si>
  <si>
    <t>Otimista (R$)</t>
  </si>
  <si>
    <t>Renda mensal base (R$)</t>
  </si>
  <si>
    <t>Total aportado (R$)</t>
  </si>
  <si>
    <t>Aporte mensal</t>
  </si>
  <si>
    <t>Premissas</t>
  </si>
  <si>
    <t>Dividend yield anual</t>
  </si>
  <si>
    <t>Proventos 12m ÷ cotação, ponderado pela carteira</t>
  </si>
  <si>
    <t>Reinvestir proventos (1 = sim)</t>
  </si>
  <si>
    <t>config.json → analise</t>
  </si>
  <si>
    <t>Valorização anual — pessimista</t>
  </si>
  <si>
    <t>Base − 1 desvio-padrão no horizonte</t>
  </si>
  <si>
    <t>Valorização anual — base</t>
  </si>
  <si>
    <t>Tendência 3a × R² (limitada a −10%…+20%)</t>
  </si>
  <si>
    <t>Valorização anual — otimista</t>
  </si>
  <si>
    <t>Base + 1 desvio-padrão no horizonte</t>
  </si>
  <si>
    <t>CDI anual (comparação)</t>
  </si>
  <si>
    <t>config.json → analise.cdi_anual</t>
  </si>
  <si>
    <t>Meta de renda mensal total</t>
  </si>
  <si>
    <t>Meta por ativo × nº de ativos</t>
  </si>
  <si>
    <t>Base − CDI (R$)</t>
  </si>
  <si>
    <t>% da meta de renda</t>
  </si>
  <si>
    <t>Meses até a meta de renda (base)</t>
  </si>
  <si>
    <t>Renda mensal base no fim do horizonte</t>
  </si>
  <si>
    <t>• Cada mês: patrimônio × (1 + valorização)^(1/12) + aporte + proventos reinvestidos (se PJ_REINV = 1).</t>
  </si>
  <si>
    <t>• Cenários: base = tendência de 3 anos ponderada pela confiança (R²); pessimista/otimista = ± 1 desvio-padrão do retorno médio no horizonte (volatilidade ÷ √anos).</t>
  </si>
  <si>
    <t>• CDI: mesmo aporte aplicado ao CDI da premissa, sem IR — serve de régua para o custo de oportunidade.</t>
  </si>
  <si>
    <t>• Projeção é estimativa estatística a partir do passado; não é garantia de retorno.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</si>
  <si>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Novo Lançamento</t>
    </r>
  </si>
  <si>
    <t>Escolha o ticker, informe a quantidade e clique em Registrar — o resto vem do cadastro do ativo.</t>
  </si>
  <si>
    <t>cadastro-formulario-v3</t>
  </si>
  <si>
    <t>Amarelo = você preenche   •   Cinza ⟲ = automático   •   Botão Registrar grava na hora (habilite as macros ao abrir o arquivo)</t>
  </si>
  <si>
    <t>✚  Compra / venda de cotas</t>
  </si>
  <si>
    <t>◈  Provento recebido</t>
  </si>
  <si>
    <t>Últimos lançamentos</t>
  </si>
  <si>
    <t>Data  (vazio = hoje)</t>
  </si>
  <si>
    <t>Data pagamento  (vazio = hoje)</t>
  </si>
  <si>
    <t>Operação</t>
  </si>
  <si>
    <t>Cotas</t>
  </si>
  <si>
    <t>Preço (R$)</t>
  </si>
  <si>
    <t>Operação  (vazio = compra)</t>
  </si>
  <si>
    <t>Tipo de provento</t>
  </si>
  <si>
    <t>Quantidade de cotas</t>
  </si>
  <si>
    <t>Valor por cota (R$)</t>
  </si>
  <si>
    <t>Preço por cota  (vazio = cotação)</t>
  </si>
  <si>
    <t>Qtd de cotas  (vazio = suas cotas)</t>
  </si>
  <si>
    <t>Custos / taxas (R$)</t>
  </si>
  <si>
    <t>AUTOMÁTICO  ⟲</t>
  </si>
  <si>
    <t>DADOS DO ATIVO  ⟲ automático</t>
  </si>
  <si>
    <t>Total recebido</t>
  </si>
  <si>
    <t>Cotação atual (R$)</t>
  </si>
  <si>
    <t>SÓ PARA TICKER NOVO</t>
  </si>
  <si>
    <t>Tipo do ativo (AÇÃO / FII)</t>
  </si>
  <si>
    <t>RESUMO</t>
  </si>
  <si>
    <t>Total do lançamento</t>
  </si>
  <si>
    <t>Cotas após o lançamento</t>
  </si>
  <si>
    <t>Histórico completo na aba Lançamentos • posição de cada ativo na aba Carteira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</si>
  <si>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Cadastro de Ativos</t>
    </r>
  </si>
  <si>
    <t>Gerado a partir de dados/ativos.csv — edite lá e rode gestao.py (ou atualizar.bat).</t>
  </si>
  <si>
    <t>Atualizado em</t>
  </si>
  <si>
    <t>AÇÃO</t>
  </si>
  <si>
    <t>Mineração</t>
  </si>
  <si>
    <t>28/09/2026</t>
  </si>
  <si>
    <t>Energia – Transmissão</t>
  </si>
  <si>
    <t>Petróleo &amp; Gás</t>
  </si>
  <si>
    <t>Bancos</t>
  </si>
  <si>
    <t>Banco de investimento</t>
  </si>
  <si>
    <t>Holding – Bancos</t>
  </si>
  <si>
    <t>Energia – Utilities</t>
  </si>
  <si>
    <t>Telecom / Tecnologia</t>
  </si>
  <si>
    <t>Papel &amp; Celulose</t>
  </si>
  <si>
    <t>FII</t>
  </si>
  <si>
    <t>Papel (recebíveis)</t>
  </si>
  <si>
    <t>Lajes corporativas</t>
  </si>
  <si>
    <t>Logística</t>
  </si>
  <si>
    <t>Shopping</t>
  </si>
  <si>
    <t>Fiagro</t>
  </si>
  <si>
    <t>29/09/2026</t>
  </si>
  <si>
    <t>Híbrido (papel)</t>
  </si>
  <si>
    <t>Observações</t>
  </si>
  <si>
    <t>• Cotação, provento 12m e 'Atualizado em' são preenchidos pelo Yahoo Finance a cada execução; 'manual' = não atualizado online.</t>
  </si>
  <si>
    <t>• Peso ideal: participação desejada de cada ativo dentro da renda variável — deve somar 100%.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</si>
  <si>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Lançamentos de Compra e Venda</t>
    </r>
  </si>
  <si>
    <t>Gerado a partir de dados/lancamentos.csv — edite lá e rode gestao.py (ou atualizar.bat).</t>
  </si>
  <si>
    <t>Quantidade</t>
  </si>
  <si>
    <t>Custos (R$)</t>
  </si>
  <si>
    <t>Total (R$)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</si>
  <si>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Proventos Recebidos</t>
    </r>
  </si>
  <si>
    <t>Gerado a partir de dados/proventos.csv — edite lá e rode gestao.py (ou atualizar.bat).</t>
  </si>
  <si>
    <t>Data pagamento</t>
  </si>
  <si>
    <t>Qtd de cotas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</si>
  <si>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Premissas</t>
    </r>
  </si>
  <si>
    <t>Gerado a partir de dados/config.json — edite lá e rode gestao.py (ou atualizar.bat).</t>
  </si>
  <si>
    <t>Uso</t>
  </si>
  <si>
    <t>Meta mensal por ativo</t>
  </si>
  <si>
    <t>Renda que cada ativo deve pagar por mês</t>
  </si>
  <si>
    <t>Quanto você investe por mês (tempo até a meta)</t>
  </si>
  <si>
    <t>Peso ideal da renda variável</t>
  </si>
  <si>
    <t>Ações + FIIs no patrimônio total</t>
  </si>
  <si>
    <t>Outras classes</t>
  </si>
  <si>
    <t>Valor (R$)</t>
  </si>
  <si>
    <t>Peso ideal no patrimônio</t>
  </si>
  <si>
    <t>Renda fixa (CDB Nubank)</t>
  </si>
  <si>
    <t>Internacional</t>
  </si>
  <si>
    <t>Cripto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</si>
  <si>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Pontos a Conferir</t>
    </r>
  </si>
  <si>
    <t>Checagens automáticas feitas a cada geração — corrija em dados/.</t>
  </si>
  <si>
    <t>Gravidade</t>
  </si>
  <si>
    <t>O que foi encontrado</t>
  </si>
  <si>
    <t>INFO</t>
  </si>
  <si>
    <t>Tendência de 3 anos com R² de 0,14: projeção por regressão pouco confiável.</t>
  </si>
  <si>
    <t>AVISO</t>
  </si>
  <si>
    <t>Proventos 12m caíram 30% sobre o ano anterior — o DY atual pode não se repetir.</t>
  </si>
  <si>
    <t>Tendência de 3 anos com R² de 0,03: projeção por regressão pouco confiável.</t>
  </si>
  <si>
    <t>Proventos 12m caíram 62% sobre o ano anterior — o DY atual pode não se repetir.</t>
  </si>
  <si>
    <t>Proventos 12m caíram 33% sobre o ano anterior — o DY atual pode não se repetir.</t>
  </si>
  <si>
    <t>Tendência de 3 anos com R² de 0,17: projeção por regressão pouco confiável.</t>
  </si>
  <si>
    <t>1 cotação(ões) espúria(s) do Yahoo no histórico foram ignoradas na análise.</t>
  </si>
  <si>
    <t>Proventos</t>
  </si>
  <si>
    <t>Posição</t>
  </si>
  <si>
    <t>Lucro</t>
  </si>
  <si>
    <t>Carteira por tipo de ativo</t>
  </si>
  <si>
    <t>Total Geral</t>
  </si>
  <si>
    <t>Total investido</t>
  </si>
  <si>
    <t>Lucro / prejuízo</t>
  </si>
  <si>
    <t>Posição atual</t>
  </si>
  <si>
    <t>Proventos por ativo</t>
  </si>
  <si>
    <t>(Tudo)</t>
  </si>
  <si>
    <t>(vazio)</t>
  </si>
  <si>
    <t>Proventos recebidos</t>
  </si>
  <si>
    <t>Lançamentos por ativo</t>
  </si>
  <si>
    <t>Valor movimentado</t>
  </si>
  <si>
    <t>Clique numa tabela para ver a lista de campos • o filtro 'Tipo' atualiza a tabela e o gráfico.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</si>
</sst>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&quot;R$&quot;\ #,##0.00;[Red]\-&quot;R$&quot;\ #,##0.00;&quot;-&quot;"/>
    <numFmt numFmtId="165" formatCode="0.0%;[Red]\-0.0%;&quot;-&quot;"/>
    <numFmt numFmtId="166" formatCode="&quot;R$&quot;\ #,##0;[Red]\-&quot;R$&quot;\ #,##0;&quot;-&quot;"/>
    <numFmt numFmtId="167" formatCode="#,##0;[Red]\-#,##0;&quot;-&quot;"/>
    <numFmt numFmtId="168" formatCode="&quot;R$&quot;\ #,##0.0000"/>
    <numFmt numFmtId="169" formatCode="0&quot; meses&quot;;;&quot;atingida&quot;"/>
    <numFmt numFmtId="171" formatCode="0.00;[Red]\-0.00;&quot;-&quot;"/>
    <numFmt numFmtId="172" formatCode="0.000"/>
    <numFmt numFmtId="173" formatCode="0.0000"/>
    <numFmt numFmtId="174" formatCode="mm/yyyy"/>
    <numFmt numFmtId="175" formatCode="&quot;R$ &quot;#,##0,&quot;k&quot;;\-&quot;R$ &quot;#,##0,&quot;k&quot;;&quot;R$ 0&quot;"/>
    <numFmt numFmtId="176" formatCode="0.0%"/>
    <numFmt numFmtId="177" formatCode="&quot;Atualizado em &quot;dd/mm/yyyy&quot;   •   cotações: Yahoo Finance   •   valores do filtro escolhido à esquerda&quot;"/>
    <numFmt numFmtId="178" formatCode="0%&quot; da meta atingida&quot;"/>
    <numFmt numFmtId="179" formatCode=";;;"/>
    <numFmt numFmtId="180" formatCode="#,##0&quot; cotas no filtro&quot;"/>
    <numFmt numFmtId="181" formatCode="&quot;▲ &quot;0.0%&quot; sobre o investido&quot;;&quot;▼ &quot;0.0%&quot; sobre o investido&quot;;&quot;sem variação&quot;"/>
    <numFmt numFmtId="182" formatCode="&quot;Renda mensal R$ &quot;#,##0.00"/>
    <numFmt numFmtId="183" formatCode="&quot;▲ &quot;0.0%&quot; de valorização&quot;;&quot;▼ &quot;0.0%&quot; de valorização&quot;"/>
    <numFmt numFmtId="184" formatCode="&quot;R$ &quot;#,##0&quot; por ano&quot;"/>
    <numFmt numFmtId="185" formatCode="&quot;R$ &quot;#,##0&quot; por ativo&quot;"/>
    <numFmt numFmtId="186" formatCode="0.0%&quot; da renda total&quot;"/>
    <numFmt numFmtId="187" formatCode="#,##0&quot; cotas faltantes&quot;"/>
    <numFmt numFmtId="188" formatCode="&quot;Aporte de R$ &quot;#,##0&quot;/mês&quot;"/>
    <numFmt numFmtId="189" formatCode="0.0&quot; anos&quot;"/>
    <numFmt numFmtId="190" formatCode="&quot;▲ &quot;0.0%;&quot;▼ &quot;0.0%;0.0%"/>
    <numFmt numFmtId="191" formatCode="&quot;R$&quot;\ #,##0"/>
  </numFmts>
  <fonts count="43">
    <font>
      <sz val="11"/>
      <color theme="1"/>
      <name val="Calibri"/>
      <family val="2"/>
      <scheme val="minor"/>
    </font>
    <font>
      <i/>
      <sz val="8"/>
      <color rgb="FF64748B"/>
      <name val="Segoe UI"/>
    </font>
    <font>
      <b/>
      <sz val="10"/>
      <color rgb="FFFFFFFF"/>
      <name val="Segoe UI"/>
    </font>
    <font>
      <sz val="10"/>
      <color rgb="FF0000FF"/>
      <name val="Segoe UI"/>
    </font>
    <font>
      <i/>
      <sz val="9"/>
      <color rgb="FF666666"/>
      <name val="Segoe UI"/>
    </font>
    <font>
      <b/>
      <sz val="10"/>
      <name val="Segoe UI"/>
    </font>
    <font>
      <sz val="9"/>
      <color rgb="FF444444"/>
      <name val="Segoe UI"/>
    </font>
    <font>
      <sz val="10"/>
      <color rgb="FF008000"/>
      <name val="Segoe UI"/>
    </font>
    <font>
      <sz val="10"/>
      <name val="Segoe UI"/>
    </font>
    <font>
      <b/>
      <sz val="10"/>
      <color rgb="FF64748B"/>
      <name val="Segoe UI"/>
    </font>
    <font>
      <b/>
      <sz val="10"/>
      <color rgb="FFD97706"/>
      <name val="Segoe UI"/>
    </font>
    <font>
      <b/>
      <sz val="11"/>
      <name val="Segoe UI"/>
    </font>
    <font>
      <sz val="1"/>
      <color rgb="FFFFFFFF"/>
      <name val="Calibri"/>
    </font>
    <font>
      <b/>
      <sz val="12"/>
      <color rgb="FFFFFFFF"/>
      <name val="Segoe UI"/>
    </font>
    <font>
      <sz val="9"/>
      <color rgb="FF64748B"/>
      <name val="Segoe UI"/>
    </font>
    <font>
      <b/>
      <sz val="10"/>
      <color rgb="FF0000FF"/>
      <name val="Segoe UI"/>
    </font>
    <font>
      <b/>
      <sz val="7"/>
      <color rgb="FF64748B"/>
      <name val="Segoe UI"/>
    </font>
    <font>
      <sz val="10"/>
      <color rgb="FF334155"/>
      <name val="Segoe UI"/>
    </font>
    <font>
      <b/>
      <sz val="12"/>
      <color rgb="FF2563EB"/>
      <name val="Segoe UI"/>
    </font>
    <font>
      <b/>
      <sz val="9"/>
      <color rgb="FF16A34A"/>
      <name val="Segoe UI"/>
    </font>
    <font>
      <b/>
      <sz val="8"/>
      <color rgb="FF64748B"/>
      <name val="Segoe UI"/>
    </font>
    <font>
      <sz val="9"/>
      <color rgb="FF0F172A"/>
      <name val="Segoe UI"/>
    </font>
    <font>
      <b/>
      <sz val="9"/>
      <color rgb="FF0F172A"/>
      <name val="Segoe UI"/>
    </font>
    <font>
      <b/>
      <sz val="9"/>
      <color rgb="FF86EFAC"/>
      <name val="Segoe UI"/>
    </font>
    <font>
      <sz val="8"/>
      <color rgb="FF64748B"/>
      <name val="Segoe UI"/>
    </font>
    <font>
      <b/>
      <sz val="11"/>
      <color rgb="FF0F172A"/>
      <name val="Segoe UI"/>
    </font>
    <font>
      <b/>
      <sz val="9"/>
      <color rgb="FF64748B"/>
      <name val="Segoe UI"/>
    </font>
    <font>
      <b/>
      <sz val="8"/>
      <color rgb="FF94A3B8"/>
      <name val="Segoe UI"/>
    </font>
    <font>
      <b/>
      <sz val="10"/>
      <color rgb="FF2E6DB4"/>
      <name val="Segoe UI"/>
    </font>
    <font>
      <b/>
      <sz val="9"/>
      <color rgb="FFFFFFFF"/>
      <name val="Segoe UI"/>
    </font>
    <font>
      <b/>
      <sz val="16"/>
      <color rgb="FF0F172A"/>
      <name val="Segoe UI"/>
    </font>
    <font>
      <b/>
      <sz val="9"/>
      <color rgb="FFD9772B"/>
      <name val="Segoe UI"/>
    </font>
    <font>
      <b/>
      <sz val="18"/>
      <color rgb="FF0F172A"/>
      <name val="Segoe UI"/>
    </font>
    <font>
      <sz val="8"/>
      <color rgb="FF15803D"/>
      <name val="Segoe UI"/>
    </font>
    <font>
      <sz val="9"/>
      <color rgb="FF334155"/>
      <name val="Segoe UI"/>
    </font>
    <font>
      <b/>
      <sz val="9"/>
      <color rgb="FF14213D"/>
      <name val="Segoe UI"/>
    </font>
    <font>
      <sz val="8"/>
      <color rgb="FFD9772B"/>
      <name val="Segoe UI"/>
    </font>
    <font>
      <b/>
      <sz val="10"/>
      <color rgb="FF0F172A"/>
      <name val="Segoe UI"/>
    </font>
    <font>
      <b/>
      <sz val="9"/>
      <color rgb="FF2E6DB4"/>
      <name val="Segoe UI"/>
    </font>
    <font>
      <b/>
      <sz val="13"/>
      <color rgb="FFFFFFFF"/>
      <name val="Segoe UI"/>
    </font>
    <font>
      <sz val="11"/>
      <color rgb="FF94A3B8"/>
      <name val="Segoe UI"/>
    </font>
    <font>
      <b/>
      <i/>
      <sz val="11"/>
      <color rgb="FF0F172A"/>
      <name val="Segoe UI"/>
      <family val="2"/>
    </font>
    <font>
      <b/>
      <sz val="11"/>
      <color rgb="FF0F172A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14213D"/>
      </patternFill>
    </fill>
    <fill>
      <patternFill patternType="solid">
        <fgColor rgb="FFFFFFFF"/>
      </patternFill>
    </fill>
    <fill>
      <patternFill patternType="solid">
        <fgColor rgb="FF1E293B"/>
      </patternFill>
    </fill>
    <fill>
      <patternFill patternType="solid">
        <fgColor rgb="FFFFF7D6"/>
      </patternFill>
    </fill>
    <fill>
      <patternFill patternType="solid">
        <fgColor rgb="FFE8EDF4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2563EB"/>
      </patternFill>
    </fill>
    <fill>
      <patternFill patternType="solid">
        <fgColor rgb="FFEFF4FB"/>
      </patternFill>
    </fill>
    <fill>
      <patternFill patternType="solid">
        <fgColor rgb="FF2E6DB4"/>
      </patternFill>
    </fill>
    <fill>
      <patternFill patternType="solid">
        <fgColor rgb="FFE8EEF7"/>
      </patternFill>
    </fill>
  </fills>
  <borders count="34">
    <border>
      <left/>
      <right/>
      <top/>
      <bottom/>
      <diagonal/>
    </border>
    <border>
      <left/>
      <right/>
      <top/>
      <bottom style="thin">
        <color rgb="FFE2E8F0"/>
      </bottom>
      <diagonal/>
    </border>
    <border>
      <left style="thin">
        <color rgb="FFD8DFE9"/>
      </left>
      <right style="thin">
        <color rgb="FFD8DFE9"/>
      </right>
      <top style="thin">
        <color rgb="FFD8DFE9"/>
      </top>
      <bottom style="thin">
        <color rgb="FFD8DFE9"/>
      </bottom>
      <diagonal/>
    </border>
    <border>
      <left/>
      <right/>
      <top style="thin">
        <color rgb="FFD8DFE9"/>
      </top>
      <bottom style="thin">
        <color rgb="FFD8DFE9"/>
      </bottom>
      <diagonal/>
    </border>
    <border>
      <left/>
      <right style="thin">
        <color rgb="FFD8DFE9"/>
      </right>
      <top style="thin">
        <color rgb="FFD8DFE9"/>
      </top>
      <bottom style="thin">
        <color rgb="FFD8DFE9"/>
      </bottom>
      <diagonal/>
    </border>
    <border>
      <left style="thin">
        <color rgb="FFE2E8F0"/>
      </left>
      <right/>
      <top/>
      <bottom/>
      <diagonal/>
    </border>
    <border>
      <left style="thin">
        <color rgb="FF93C5FD"/>
      </left>
      <right style="thin">
        <color rgb="FF93C5FD"/>
      </right>
      <top style="thin">
        <color rgb="FF93C5FD"/>
      </top>
      <bottom style="thin">
        <color rgb="FF93C5FD"/>
      </bottom>
      <diagonal/>
    </border>
    <border>
      <left/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 style="thin">
        <color rgb="FFEEF2F7"/>
      </top>
      <bottom style="thin">
        <color rgb="FFEEF2F7"/>
      </bottom>
      <diagonal/>
    </border>
    <border>
      <left style="thin">
        <color rgb="FFE2E8F0"/>
      </left>
      <right/>
      <top/>
      <bottom style="thin">
        <color rgb="FFE2E8F0"/>
      </bottom>
      <diagonal/>
    </border>
    <border>
      <left/>
      <right style="thin">
        <color rgb="FFE2E8F0"/>
      </right>
      <top/>
      <bottom style="thin">
        <color rgb="FFE2E8F0"/>
      </bottom>
      <diagonal/>
    </border>
    <border>
      <left/>
      <right/>
      <top/>
      <bottom style="thin">
        <color rgb="FFEEF2F7"/>
      </bottom>
      <diagonal/>
    </border>
    <border>
      <left style="thin">
        <color rgb="FFE2E8F0"/>
      </left>
      <right/>
      <top style="thin">
        <color rgb="FFE2E8F0"/>
      </top>
      <bottom/>
      <diagonal/>
    </border>
    <border>
      <left/>
      <right/>
      <top style="thin">
        <color rgb="FFE2E8F0"/>
      </top>
      <bottom/>
      <diagonal/>
    </border>
    <border>
      <left/>
      <right style="thin">
        <color rgb="FFE2E8F0"/>
      </right>
      <top style="thin">
        <color rgb="FFE2E8F0"/>
      </top>
      <bottom/>
      <diagonal/>
    </border>
    <border>
      <left/>
      <right/>
      <top/>
      <bottom/>
      <diagonal/>
    </border>
    <border>
      <left/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thin">
        <color rgb="FFE2E8F0"/>
      </right>
      <top/>
      <bottom style="medium">
        <color rgb="FFFFFFFF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/>
      <diagonal/>
    </border>
    <border>
      <left/>
      <right/>
      <top style="thin">
        <color rgb="FFE2E8F0"/>
      </top>
      <bottom/>
      <diagonal/>
    </border>
    <border>
      <left/>
      <right style="thin">
        <color rgb="FFE2E8F0"/>
      </right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  <border>
      <left/>
      <right/>
      <top/>
      <bottom style="thin">
        <color rgb="FFE2E8F0"/>
      </bottom>
      <diagonal/>
    </border>
    <border>
      <left/>
      <right style="thin">
        <color rgb="FFE2E8F0"/>
      </right>
      <top/>
      <bottom style="thin">
        <color rgb="FFE2E8F0"/>
      </bottom>
      <diagonal/>
    </border>
    <border>
      <left style="thin">
        <color rgb="FFE2E8F0"/>
      </left>
      <right/>
      <top/>
      <bottom style="thin">
        <color rgb="FFEEF2F6"/>
      </bottom>
      <diagonal/>
    </border>
    <border>
      <left/>
      <right/>
      <top/>
      <bottom style="thin">
        <color rgb="FFEEF2F6"/>
      </bottom>
      <diagonal/>
    </border>
    <border>
      <left/>
      <right/>
      <top/>
      <bottom style="thin">
        <color rgb="FFEEF2F6"/>
      </bottom>
      <diagonal/>
    </border>
    <border>
      <left/>
      <right style="thin">
        <color rgb="FFE2E8F0"/>
      </right>
      <top/>
      <bottom style="thin">
        <color rgb="FFEEF2F6"/>
      </bottom>
      <diagonal/>
    </border>
    <border>
      <left/>
      <right style="thin">
        <color rgb="FFE2E8F0"/>
      </right>
      <top/>
      <bottom style="thin">
        <color rgb="FFEEF2F6"/>
      </bottom>
      <diagonal/>
    </border>
    <border>
      <left/>
      <right/>
      <top/>
      <bottom style="thin">
        <color rgb="FFE2E8F0"/>
      </bottom>
      <diagonal/>
    </border>
    <border>
      <left/>
      <right style="thin">
        <color rgb="FFE2E8F0"/>
      </right>
      <top/>
      <bottom style="thin">
        <color rgb="FFE2E8F0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1" xfId="0" applyFill="1" applyBorder="1"/>
    <xf numFmtId="0" fontId="0" fillId="8" borderId="0" xfId="0" applyFill="1"/>
    <xf numFmtId="0" fontId="25" fillId="3" borderId="12" xfId="0" applyFont="1" applyFill="1" applyBorder="1" applyAlignment="1">
      <alignment vertical="center" indent="1"/>
    </xf>
    <xf numFmtId="0" fontId="0" fillId="3" borderId="13" xfId="0" applyFill="1" applyBorder="1"/>
    <xf numFmtId="0" fontId="0" fillId="3" borderId="14" xfId="0" applyFill="1" applyBorder="1"/>
    <xf numFmtId="0" fontId="0" fillId="3" borderId="5" xfId="0" applyFill="1" applyBorder="1"/>
    <xf numFmtId="0" fontId="0" fillId="3" borderId="15" xfId="0" applyFill="1" applyBorder="1"/>
    <xf numFmtId="0" fontId="0" fillId="3" borderId="7" xfId="0" applyFill="1" applyBorder="1"/>
    <xf numFmtId="0" fontId="26" fillId="3" borderId="5" xfId="0" applyFont="1" applyFill="1" applyBorder="1" applyAlignment="1">
      <alignment vertical="center" indent="1"/>
    </xf>
    <xf numFmtId="0" fontId="27" fillId="3" borderId="5" xfId="0" applyFont="1" applyFill="1" applyBorder="1" applyAlignment="1">
      <alignment vertical="center" indent="1"/>
    </xf>
    <xf numFmtId="0" fontId="25" fillId="8" borderId="0" xfId="0" applyFont="1" applyFill="1"/>
    <xf numFmtId="0" fontId="25" fillId="3" borderId="5" xfId="0" applyFont="1" applyFill="1" applyBorder="1" applyAlignment="1">
      <alignment vertical="center" indent="1"/>
    </xf>
    <xf numFmtId="0" fontId="24" fillId="8" borderId="0" xfId="0" applyFont="1" applyFill="1"/>
    <xf numFmtId="0" fontId="0" fillId="3" borderId="9" xfId="0" applyFill="1" applyBorder="1"/>
    <xf numFmtId="0" fontId="0" fillId="3" borderId="10" xfId="0" applyFill="1" applyBorder="1"/>
    <xf numFmtId="0" fontId="1" fillId="0" borderId="0" xfId="0" applyFont="1" applyAlignment="1">
      <alignment vertical="center" indent="1"/>
    </xf>
    <xf numFmtId="0" fontId="2" fillId="4" borderId="2" xfId="0" applyFont="1" applyFill="1" applyBorder="1" applyAlignment="1">
      <alignment horizontal="center" vertical="center" wrapText="1"/>
    </xf>
    <xf numFmtId="0" fontId="7" fillId="0" borderId="2" xfId="0" applyFont="1" applyBorder="1"/>
    <xf numFmtId="167" fontId="8" fillId="0" borderId="2" xfId="0" applyNumberFormat="1" applyFont="1" applyBorder="1"/>
    <xf numFmtId="164" fontId="8" fillId="0" borderId="2" xfId="0" applyNumberFormat="1" applyFont="1" applyBorder="1"/>
    <xf numFmtId="164" fontId="7" fillId="0" borderId="2" xfId="0" applyNumberFormat="1" applyFont="1" applyBorder="1"/>
    <xf numFmtId="165" fontId="8" fillId="0" borderId="2" xfId="0" applyNumberFormat="1" applyFont="1" applyBorder="1"/>
    <xf numFmtId="165" fontId="7" fillId="0" borderId="2" xfId="0" applyNumberFormat="1" applyFont="1" applyBorder="1"/>
    <xf numFmtId="168" fontId="8" fillId="0" borderId="2" xfId="0" applyNumberFormat="1" applyFont="1" applyBorder="1"/>
    <xf numFmtId="166" fontId="8" fillId="0" borderId="2" xfId="0" applyNumberFormat="1" applyFont="1" applyBorder="1"/>
    <xf numFmtId="169" fontId="8" fillId="0" borderId="2" xfId="0" applyNumberFormat="1" applyFont="1" applyBorder="1"/>
    <xf numFmtId="0" fontId="8" fillId="0" borderId="2" xfId="0" applyFont="1" applyBorder="1"/>
    <xf numFmtId="0" fontId="7" fillId="7" borderId="2" xfId="0" applyFont="1" applyFill="1" applyBorder="1"/>
    <xf numFmtId="167" fontId="8" fillId="7" borderId="2" xfId="0" applyNumberFormat="1" applyFont="1" applyFill="1" applyBorder="1"/>
    <xf numFmtId="164" fontId="8" fillId="7" borderId="2" xfId="0" applyNumberFormat="1" applyFont="1" applyFill="1" applyBorder="1"/>
    <xf numFmtId="164" fontId="7" fillId="7" borderId="2" xfId="0" applyNumberFormat="1" applyFont="1" applyFill="1" applyBorder="1"/>
    <xf numFmtId="165" fontId="8" fillId="7" borderId="2" xfId="0" applyNumberFormat="1" applyFont="1" applyFill="1" applyBorder="1"/>
    <xf numFmtId="165" fontId="7" fillId="7" borderId="2" xfId="0" applyNumberFormat="1" applyFont="1" applyFill="1" applyBorder="1"/>
    <xf numFmtId="168" fontId="8" fillId="7" borderId="2" xfId="0" applyNumberFormat="1" applyFont="1" applyFill="1" applyBorder="1"/>
    <xf numFmtId="166" fontId="8" fillId="7" borderId="2" xfId="0" applyNumberFormat="1" applyFont="1" applyFill="1" applyBorder="1"/>
    <xf numFmtId="169" fontId="8" fillId="7" borderId="2" xfId="0" applyNumberFormat="1" applyFont="1" applyFill="1" applyBorder="1"/>
    <xf numFmtId="0" fontId="8" fillId="7" borderId="2" xfId="0" applyFont="1" applyFill="1" applyBorder="1"/>
    <xf numFmtId="0" fontId="5" fillId="6" borderId="2" xfId="0" applyFont="1" applyFill="1" applyBorder="1"/>
    <xf numFmtId="164" fontId="5" fillId="6" borderId="2" xfId="0" applyNumberFormat="1" applyFont="1" applyFill="1" applyBorder="1"/>
    <xf numFmtId="165" fontId="5" fillId="6" borderId="2" xfId="0" applyNumberFormat="1" applyFont="1" applyFill="1" applyBorder="1"/>
    <xf numFmtId="167" fontId="5" fillId="6" borderId="2" xfId="0" applyNumberFormat="1" applyFont="1" applyFill="1" applyBorder="1"/>
    <xf numFmtId="169" fontId="5" fillId="6" borderId="2" xfId="0" applyNumberFormat="1" applyFont="1" applyFill="1" applyBorder="1"/>
    <xf numFmtId="0" fontId="5" fillId="0" borderId="0" xfId="0" applyFont="1"/>
    <xf numFmtId="0" fontId="6" fillId="0" borderId="0" xfId="0" applyFont="1"/>
    <xf numFmtId="168" fontId="7" fillId="0" borderId="2" xfId="0" applyNumberFormat="1" applyFont="1" applyBorder="1"/>
    <xf numFmtId="10" fontId="8" fillId="0" borderId="2" xfId="0" applyNumberFormat="1" applyFont="1" applyBorder="1"/>
    <xf numFmtId="167" fontId="7" fillId="0" borderId="2" xfId="0" applyNumberFormat="1" applyFont="1" applyBorder="1"/>
    <xf numFmtId="168" fontId="7" fillId="7" borderId="2" xfId="0" applyNumberFormat="1" applyFont="1" applyFill="1" applyBorder="1"/>
    <xf numFmtId="10" fontId="8" fillId="7" borderId="2" xfId="0" applyNumberFormat="1" applyFont="1" applyFill="1" applyBorder="1"/>
    <xf numFmtId="167" fontId="7" fillId="7" borderId="2" xfId="0" applyNumberFormat="1" applyFont="1" applyFill="1" applyBorder="1"/>
    <xf numFmtId="166" fontId="5" fillId="6" borderId="2" xfId="0" applyNumberFormat="1" applyFont="1" applyFill="1" applyBorder="1"/>
    <xf numFmtId="14" fontId="8" fillId="0" borderId="2" xfId="0" applyNumberFormat="1" applyFont="1" applyBorder="1"/>
    <xf numFmtId="171" fontId="8" fillId="0" borderId="2" xfId="0" applyNumberFormat="1" applyFont="1" applyBorder="1"/>
    <xf numFmtId="172" fontId="8" fillId="0" borderId="2" xfId="0" applyNumberFormat="1" applyFont="1" applyBorder="1"/>
    <xf numFmtId="14" fontId="8" fillId="7" borderId="2" xfId="0" applyNumberFormat="1" applyFont="1" applyFill="1" applyBorder="1"/>
    <xf numFmtId="171" fontId="8" fillId="7" borderId="2" xfId="0" applyNumberFormat="1" applyFont="1" applyFill="1" applyBorder="1"/>
    <xf numFmtId="172" fontId="8" fillId="7" borderId="2" xfId="0" applyNumberFormat="1" applyFont="1" applyFill="1" applyBorder="1"/>
    <xf numFmtId="171" fontId="5" fillId="6" borderId="2" xfId="0" applyNumberFormat="1" applyFont="1" applyFill="1" applyBorder="1"/>
    <xf numFmtId="0" fontId="5" fillId="0" borderId="2" xfId="0" applyFont="1" applyBorder="1"/>
    <xf numFmtId="0" fontId="4" fillId="0" borderId="2" xfId="0" applyFont="1" applyBorder="1"/>
    <xf numFmtId="0" fontId="11" fillId="0" borderId="0" xfId="0" applyFont="1"/>
    <xf numFmtId="0" fontId="5" fillId="7" borderId="2" xfId="0" applyFont="1" applyFill="1" applyBorder="1"/>
    <xf numFmtId="173" fontId="8" fillId="0" borderId="2" xfId="0" applyNumberFormat="1" applyFont="1" applyBorder="1"/>
    <xf numFmtId="173" fontId="8" fillId="7" borderId="2" xfId="0" applyNumberFormat="1" applyFont="1" applyFill="1" applyBorder="1"/>
    <xf numFmtId="165" fontId="8" fillId="6" borderId="2" xfId="0" applyNumberFormat="1" applyFont="1" applyFill="1" applyBorder="1"/>
    <xf numFmtId="171" fontId="8" fillId="6" borderId="2" xfId="0" applyNumberFormat="1" applyFont="1" applyFill="1" applyBorder="1"/>
    <xf numFmtId="166" fontId="7" fillId="0" borderId="2" xfId="0" applyNumberFormat="1" applyFont="1" applyBorder="1"/>
    <xf numFmtId="0" fontId="2" fillId="4" borderId="0" xfId="0" applyFont="1" applyFill="1"/>
    <xf numFmtId="1" fontId="8" fillId="0" borderId="0" xfId="0" applyNumberFormat="1" applyFont="1"/>
    <xf numFmtId="174" fontId="8" fillId="0" borderId="0" xfId="0" applyNumberFormat="1" applyFont="1"/>
    <xf numFmtId="166" fontId="8" fillId="0" borderId="0" xfId="0" applyNumberFormat="1" applyFont="1"/>
    <xf numFmtId="165" fontId="3" fillId="5" borderId="2" xfId="0" applyNumberFormat="1" applyFont="1" applyFill="1" applyBorder="1"/>
    <xf numFmtId="1" fontId="3" fillId="5" borderId="2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6" borderId="2" xfId="0" applyNumberFormat="1" applyFont="1" applyFill="1" applyBorder="1"/>
    <xf numFmtId="0" fontId="12" fillId="0" borderId="0" xfId="0" applyFont="1"/>
    <xf numFmtId="0" fontId="1" fillId="8" borderId="0" xfId="0" applyFont="1" applyFill="1"/>
    <xf numFmtId="0" fontId="14" fillId="3" borderId="5" xfId="0" applyFont="1" applyFill="1" applyBorder="1" applyAlignment="1">
      <alignment vertical="center" indent="1" shrinkToFit="1"/>
    </xf>
    <xf numFmtId="14" fontId="15" fillId="5" borderId="6" xfId="0" applyNumberFormat="1" applyFont="1" applyFill="1" applyBorder="1" applyAlignment="1">
      <alignment horizontal="right" vertical="center" indent="1" shrinkToFit="1"/>
    </xf>
    <xf numFmtId="0" fontId="20" fillId="7" borderId="1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left" vertical="center" indent="1" shrinkToFit="1"/>
    </xf>
    <xf numFmtId="14" fontId="21" fillId="3" borderId="11" xfId="0" applyNumberFormat="1" applyFont="1" applyFill="1" applyBorder="1" applyAlignment="1">
      <alignment horizontal="right"/>
    </xf>
    <xf numFmtId="0" fontId="22" fillId="3" borderId="11" xfId="0" applyFont="1" applyFill="1" applyBorder="1" applyAlignment="1">
      <alignment horizontal="center"/>
    </xf>
    <xf numFmtId="0" fontId="21" fillId="3" borderId="11" xfId="0" applyFont="1" applyFill="1" applyBorder="1" applyAlignment="1">
      <alignment horizontal="center"/>
    </xf>
    <xf numFmtId="167" fontId="21" fillId="3" borderId="11" xfId="0" applyNumberFormat="1" applyFont="1" applyFill="1" applyBorder="1" applyAlignment="1">
      <alignment horizontal="right"/>
    </xf>
    <xf numFmtId="164" fontId="21" fillId="3" borderId="11" xfId="0" applyNumberFormat="1" applyFont="1" applyFill="1" applyBorder="1" applyAlignment="1">
      <alignment horizontal="right"/>
    </xf>
    <xf numFmtId="167" fontId="15" fillId="5" borderId="6" xfId="0" applyNumberFormat="1" applyFont="1" applyFill="1" applyBorder="1" applyAlignment="1">
      <alignment horizontal="right" vertical="center" indent="1" shrinkToFit="1"/>
    </xf>
    <xf numFmtId="168" fontId="15" fillId="5" borderId="6" xfId="0" applyNumberFormat="1" applyFont="1" applyFill="1" applyBorder="1" applyAlignment="1">
      <alignment horizontal="right" vertical="center" indent="1" shrinkToFit="1"/>
    </xf>
    <xf numFmtId="164" fontId="15" fillId="5" borderId="6" xfId="0" applyNumberFormat="1" applyFont="1" applyFill="1" applyBorder="1" applyAlignment="1">
      <alignment horizontal="right" vertical="center" indent="1" shrinkToFit="1"/>
    </xf>
    <xf numFmtId="167" fontId="17" fillId="8" borderId="8" xfId="0" applyNumberFormat="1" applyFont="1" applyFill="1" applyBorder="1" applyAlignment="1">
      <alignment horizontal="right" vertical="center" indent="1" shrinkToFit="1"/>
    </xf>
    <xf numFmtId="0" fontId="17" fillId="8" borderId="8" xfId="0" applyFont="1" applyFill="1" applyBorder="1" applyAlignment="1">
      <alignment horizontal="left" vertical="center" indent="1" shrinkToFit="1"/>
    </xf>
    <xf numFmtId="164" fontId="18" fillId="8" borderId="8" xfId="0" applyNumberFormat="1" applyFont="1" applyFill="1" applyBorder="1" applyAlignment="1">
      <alignment horizontal="right" vertical="center" indent="1" shrinkToFit="1"/>
    </xf>
    <xf numFmtId="164" fontId="17" fillId="8" borderId="8" xfId="0" applyNumberFormat="1" applyFont="1" applyFill="1" applyBorder="1" applyAlignment="1">
      <alignment horizontal="right" vertical="center" indent="1" shrinkToFit="1"/>
    </xf>
    <xf numFmtId="0" fontId="3" fillId="5" borderId="2" xfId="0" applyFont="1" applyFill="1" applyBorder="1"/>
    <xf numFmtId="164" fontId="3" fillId="5" borderId="2" xfId="0" applyNumberFormat="1" applyFont="1" applyFill="1" applyBorder="1"/>
    <xf numFmtId="166" fontId="3" fillId="5" borderId="2" xfId="0" applyNumberFormat="1" applyFont="1" applyFill="1" applyBorder="1"/>
    <xf numFmtId="0" fontId="9" fillId="0" borderId="2" xfId="0" applyFont="1" applyBorder="1" applyAlignment="1">
      <alignment vertical="center" indent="1"/>
    </xf>
    <xf numFmtId="0" fontId="5" fillId="0" borderId="2" xfId="0" applyFont="1" applyBorder="1" applyAlignment="1">
      <alignment vertical="center" indent="1"/>
    </xf>
    <xf numFmtId="0" fontId="8" fillId="0" borderId="2" xfId="0" applyFont="1" applyBorder="1" applyAlignment="1">
      <alignment vertical="center" wrapText="1"/>
    </xf>
    <xf numFmtId="0" fontId="10" fillId="0" borderId="2" xfId="0" applyFont="1" applyBorder="1" applyAlignment="1">
      <alignment vertical="center" indent="1"/>
    </xf>
    <xf numFmtId="17" fontId="0" fillId="0" borderId="0" xfId="0" applyNumberFormat="1"/>
    <xf numFmtId="175" fontId="0" fillId="0" borderId="0" xfId="0" applyNumberFormat="1"/>
    <xf numFmtId="176" fontId="0" fillId="0" borderId="0" xfId="0" applyNumberFormat="1"/>
    <xf numFmtId="166" fontId="0" fillId="0" borderId="0" xfId="0" applyNumberFormat="1"/>
    <xf numFmtId="9" fontId="0" fillId="0" borderId="0" xfId="0" applyNumberFormat="1"/>
    <xf numFmtId="190" fontId="34" fillId="3" borderId="29" xfId="0" applyNumberFormat="1" applyFont="1" applyFill="1" applyBorder="1" applyAlignment="1">
      <alignment horizontal="right" indent="1"/>
    </xf>
    <xf numFmtId="0" fontId="0" fillId="0" borderId="28" xfId="0" applyBorder="1"/>
    <xf numFmtId="165" fontId="34" fillId="3" borderId="29" xfId="0" applyNumberFormat="1" applyFont="1" applyFill="1" applyBorder="1" applyAlignment="1">
      <alignment horizontal="right" indent="1"/>
    </xf>
    <xf numFmtId="0" fontId="20" fillId="3" borderId="21" xfId="0" applyFont="1" applyFill="1" applyBorder="1" applyAlignment="1">
      <alignment indent="1"/>
    </xf>
    <xf numFmtId="0" fontId="0" fillId="0" borderId="22" xfId="0" applyBorder="1"/>
    <xf numFmtId="0" fontId="0" fillId="0" borderId="23" xfId="0" applyBorder="1"/>
    <xf numFmtId="0" fontId="16" fillId="7" borderId="5" xfId="0" applyFont="1" applyFill="1" applyBorder="1" applyAlignment="1">
      <alignment horizontal="center"/>
    </xf>
    <xf numFmtId="0" fontId="22" fillId="3" borderId="27" xfId="0" applyFont="1" applyFill="1" applyBorder="1" applyAlignment="1">
      <alignment horizontal="left" indent="1"/>
    </xf>
    <xf numFmtId="166" fontId="34" fillId="3" borderId="30" xfId="0" applyNumberFormat="1" applyFont="1" applyFill="1" applyBorder="1" applyAlignment="1">
      <alignment horizontal="right" indent="1"/>
    </xf>
    <xf numFmtId="0" fontId="0" fillId="0" borderId="31" xfId="0" applyBorder="1"/>
    <xf numFmtId="0" fontId="32" fillId="3" borderId="17" xfId="0" applyFont="1" applyFill="1" applyBorder="1" applyAlignment="1">
      <alignment vertical="center" indent="1" shrinkToFit="1"/>
    </xf>
    <xf numFmtId="0" fontId="0" fillId="0" borderId="0" xfId="0"/>
    <xf numFmtId="0" fontId="0" fillId="0" borderId="16" xfId="0" applyBorder="1"/>
    <xf numFmtId="1" fontId="34" fillId="3" borderId="27" xfId="0" applyNumberFormat="1" applyFont="1" applyFill="1" applyBorder="1" applyAlignment="1">
      <alignment horizontal="center"/>
    </xf>
    <xf numFmtId="0" fontId="20" fillId="7" borderId="13" xfId="0" applyFont="1" applyFill="1" applyBorder="1" applyAlignment="1">
      <alignment horizontal="right" vertical="center" indent="1"/>
    </xf>
    <xf numFmtId="0" fontId="0" fillId="7" borderId="13" xfId="0" applyFill="1" applyBorder="1"/>
    <xf numFmtId="0" fontId="16" fillId="7" borderId="7" xfId="0" applyFont="1" applyFill="1" applyBorder="1" applyAlignment="1">
      <alignment horizontal="right" indent="1"/>
    </xf>
    <xf numFmtId="0" fontId="0" fillId="7" borderId="0" xfId="0" applyFill="1"/>
    <xf numFmtId="0" fontId="0" fillId="7" borderId="16" xfId="0" applyFill="1" applyBorder="1"/>
    <xf numFmtId="0" fontId="37" fillId="3" borderId="21" xfId="0" applyFont="1" applyFill="1" applyBorder="1" applyAlignment="1">
      <alignment vertical="center" indent="1"/>
    </xf>
    <xf numFmtId="0" fontId="38" fillId="3" borderId="29" xfId="0" applyFont="1" applyFill="1" applyBorder="1" applyAlignment="1">
      <alignment horizontal="left" indent="1"/>
    </xf>
    <xf numFmtId="1" fontId="34" fillId="3" borderId="9" xfId="0" applyNumberFormat="1" applyFont="1" applyFill="1" applyBorder="1" applyAlignment="1">
      <alignment horizontal="center"/>
    </xf>
    <xf numFmtId="176" fontId="34" fillId="3" borderId="10" xfId="0" applyNumberFormat="1" applyFont="1" applyFill="1" applyBorder="1" applyAlignment="1">
      <alignment horizontal="right" indent="1"/>
    </xf>
    <xf numFmtId="0" fontId="0" fillId="0" borderId="32" xfId="0" applyBorder="1"/>
    <xf numFmtId="0" fontId="0" fillId="0" borderId="33" xfId="0" applyBorder="1"/>
    <xf numFmtId="166" fontId="34" fillId="3" borderId="10" xfId="0" applyNumberFormat="1" applyFont="1" applyFill="1" applyBorder="1" applyAlignment="1">
      <alignment horizontal="right" indent="1"/>
    </xf>
    <xf numFmtId="176" fontId="34" fillId="3" borderId="29" xfId="0" applyNumberFormat="1" applyFont="1" applyFill="1" applyBorder="1" applyAlignment="1">
      <alignment horizontal="right" indent="1"/>
    </xf>
    <xf numFmtId="188" fontId="36" fillId="3" borderId="24" xfId="0" applyNumberFormat="1" applyFont="1" applyFill="1" applyBorder="1" applyAlignment="1">
      <alignment vertical="center" indent="1"/>
    </xf>
    <xf numFmtId="0" fontId="0" fillId="0" borderId="25" xfId="0" applyBorder="1"/>
    <xf numFmtId="0" fontId="0" fillId="0" borderId="26" xfId="0" applyBorder="1"/>
    <xf numFmtId="0" fontId="16" fillId="7" borderId="15" xfId="0" applyFont="1" applyFill="1" applyBorder="1" applyAlignment="1">
      <alignment horizontal="left" indent="1"/>
    </xf>
    <xf numFmtId="166" fontId="32" fillId="3" borderId="17" xfId="0" applyNumberFormat="1" applyFont="1" applyFill="1" applyBorder="1" applyAlignment="1">
      <alignment vertical="center" indent="1" shrinkToFit="1"/>
    </xf>
    <xf numFmtId="0" fontId="20" fillId="7" borderId="12" xfId="0" applyFont="1" applyFill="1" applyBorder="1" applyAlignment="1">
      <alignment horizontal="left" vertical="center" indent="1"/>
    </xf>
    <xf numFmtId="0" fontId="24" fillId="3" borderId="24" xfId="0" applyFont="1" applyFill="1" applyBorder="1" applyAlignment="1">
      <alignment vertical="center" indent="1"/>
    </xf>
    <xf numFmtId="0" fontId="38" fillId="3" borderId="1" xfId="0" applyFont="1" applyFill="1" applyBorder="1" applyAlignment="1">
      <alignment horizontal="left" indent="1"/>
    </xf>
    <xf numFmtId="0" fontId="31" fillId="8" borderId="0" xfId="0" applyFont="1" applyFill="1" applyAlignment="1">
      <alignment vertical="center"/>
    </xf>
    <xf numFmtId="166" fontId="34" fillId="3" borderId="29" xfId="0" applyNumberFormat="1" applyFont="1" applyFill="1" applyBorder="1" applyAlignment="1">
      <alignment horizontal="right" indent="1"/>
    </xf>
    <xf numFmtId="169" fontId="32" fillId="3" borderId="17" xfId="0" applyNumberFormat="1" applyFont="1" applyFill="1" applyBorder="1" applyAlignment="1">
      <alignment vertical="center" indent="1" shrinkToFit="1"/>
    </xf>
    <xf numFmtId="0" fontId="29" fillId="11" borderId="18" xfId="0" applyFont="1" applyFill="1" applyBorder="1" applyAlignment="1">
      <alignment vertical="center" indent="1"/>
    </xf>
    <xf numFmtId="0" fontId="0" fillId="11" borderId="19" xfId="0" applyFill="1" applyBorder="1"/>
    <xf numFmtId="0" fontId="0" fillId="11" borderId="20" xfId="0" applyFill="1" applyBorder="1"/>
    <xf numFmtId="178" fontId="30" fillId="3" borderId="17" xfId="0" applyNumberFormat="1" applyFont="1" applyFill="1" applyBorder="1" applyAlignment="1">
      <alignment vertical="center" indent="1"/>
    </xf>
    <xf numFmtId="0" fontId="16" fillId="7" borderId="15" xfId="0" applyFont="1" applyFill="1" applyBorder="1" applyAlignment="1">
      <alignment horizontal="right" indent="1"/>
    </xf>
    <xf numFmtId="165" fontId="35" fillId="12" borderId="1" xfId="0" applyNumberFormat="1" applyFont="1" applyFill="1" applyBorder="1" applyAlignment="1">
      <alignment horizontal="right" indent="1"/>
    </xf>
    <xf numFmtId="0" fontId="0" fillId="12" borderId="25" xfId="0" applyFill="1" applyBorder="1"/>
    <xf numFmtId="189" fontId="36" fillId="3" borderId="24" xfId="0" applyNumberFormat="1" applyFont="1" applyFill="1" applyBorder="1" applyAlignment="1">
      <alignment vertical="center" indent="1"/>
    </xf>
    <xf numFmtId="186" fontId="24" fillId="3" borderId="24" xfId="0" applyNumberFormat="1" applyFont="1" applyFill="1" applyBorder="1" applyAlignment="1">
      <alignment vertical="center" indent="1"/>
    </xf>
    <xf numFmtId="176" fontId="34" fillId="3" borderId="30" xfId="0" applyNumberFormat="1" applyFont="1" applyFill="1" applyBorder="1" applyAlignment="1">
      <alignment horizontal="right" indent="1"/>
    </xf>
    <xf numFmtId="166" fontId="35" fillId="12" borderId="10" xfId="0" applyNumberFormat="1" applyFont="1" applyFill="1" applyBorder="1" applyAlignment="1">
      <alignment horizontal="right" indent="1"/>
    </xf>
    <xf numFmtId="0" fontId="0" fillId="12" borderId="26" xfId="0" applyFill="1" applyBorder="1"/>
    <xf numFmtId="165" fontId="32" fillId="3" borderId="17" xfId="0" applyNumberFormat="1" applyFont="1" applyFill="1" applyBorder="1" applyAlignment="1">
      <alignment vertical="center" indent="1" shrinkToFit="1"/>
    </xf>
    <xf numFmtId="182" fontId="33" fillId="3" borderId="24" xfId="0" applyNumberFormat="1" applyFont="1" applyFill="1" applyBorder="1" applyAlignment="1">
      <alignment vertical="center" indent="1"/>
    </xf>
    <xf numFmtId="183" fontId="33" fillId="3" borderId="24" xfId="0" applyNumberFormat="1" applyFont="1" applyFill="1" applyBorder="1" applyAlignment="1">
      <alignment vertical="center" indent="1"/>
    </xf>
    <xf numFmtId="0" fontId="24" fillId="3" borderId="17" xfId="0" applyFont="1" applyFill="1" applyBorder="1" applyAlignment="1">
      <alignment vertical="center" indent="1"/>
    </xf>
    <xf numFmtId="177" fontId="24" fillId="8" borderId="0" xfId="0" applyNumberFormat="1" applyFont="1" applyFill="1" applyAlignment="1">
      <alignment horizontal="left" vertical="center"/>
    </xf>
    <xf numFmtId="0" fontId="35" fillId="12" borderId="1" xfId="0" applyFont="1" applyFill="1" applyBorder="1" applyAlignment="1">
      <alignment horizontal="right" indent="1"/>
    </xf>
    <xf numFmtId="0" fontId="0" fillId="7" borderId="14" xfId="0" applyFill="1" applyBorder="1"/>
    <xf numFmtId="0" fontId="35" fillId="12" borderId="9" xfId="0" applyFont="1" applyFill="1" applyBorder="1" applyAlignment="1">
      <alignment horizontal="left" indent="1"/>
    </xf>
    <xf numFmtId="0" fontId="28" fillId="10" borderId="7" xfId="0" applyFont="1" applyFill="1" applyBorder="1" applyAlignment="1">
      <alignment horizontal="left" vertical="center" indent="1"/>
    </xf>
    <xf numFmtId="0" fontId="0" fillId="10" borderId="0" xfId="0" applyFill="1"/>
    <xf numFmtId="0" fontId="0" fillId="10" borderId="16" xfId="0" applyFill="1" applyBorder="1"/>
    <xf numFmtId="166" fontId="34" fillId="3" borderId="1" xfId="0" applyNumberFormat="1" applyFont="1" applyFill="1" applyBorder="1" applyAlignment="1">
      <alignment horizontal="right" indent="1"/>
    </xf>
    <xf numFmtId="179" fontId="0" fillId="3" borderId="17" xfId="0" applyNumberFormat="1" applyFill="1" applyBorder="1"/>
    <xf numFmtId="184" fontId="33" fillId="3" borderId="24" xfId="0" applyNumberFormat="1" applyFont="1" applyFill="1" applyBorder="1" applyAlignment="1">
      <alignment vertical="center" indent="1"/>
    </xf>
    <xf numFmtId="180" fontId="24" fillId="3" borderId="24" xfId="0" applyNumberFormat="1" applyFont="1" applyFill="1" applyBorder="1" applyAlignment="1">
      <alignment vertical="center" indent="1"/>
    </xf>
    <xf numFmtId="0" fontId="23" fillId="2" borderId="0" xfId="0" applyFont="1" applyFill="1" applyAlignment="1">
      <alignment vertical="center"/>
    </xf>
    <xf numFmtId="166" fontId="35" fillId="12" borderId="1" xfId="0" applyNumberFormat="1" applyFont="1" applyFill="1" applyBorder="1" applyAlignment="1">
      <alignment horizontal="right" indent="1"/>
    </xf>
    <xf numFmtId="185" fontId="24" fillId="3" borderId="24" xfId="0" applyNumberFormat="1" applyFont="1" applyFill="1" applyBorder="1" applyAlignment="1">
      <alignment vertical="center" indent="1"/>
    </xf>
    <xf numFmtId="181" fontId="33" fillId="3" borderId="24" xfId="0" applyNumberFormat="1" applyFont="1" applyFill="1" applyBorder="1" applyAlignment="1">
      <alignment vertical="center" indent="1"/>
    </xf>
    <xf numFmtId="190" fontId="34" fillId="3" borderId="1" xfId="0" applyNumberFormat="1" applyFont="1" applyFill="1" applyBorder="1" applyAlignment="1">
      <alignment horizontal="right" indent="1"/>
    </xf>
    <xf numFmtId="187" fontId="24" fillId="3" borderId="24" xfId="0" applyNumberFormat="1" applyFont="1" applyFill="1" applyBorder="1" applyAlignment="1">
      <alignment vertical="center" indent="1"/>
    </xf>
    <xf numFmtId="0" fontId="4" fillId="0" borderId="2" xfId="0" applyFont="1" applyBorder="1"/>
    <xf numFmtId="0" fontId="0" fillId="0" borderId="3" xfId="0" applyBorder="1"/>
    <xf numFmtId="0" fontId="0" fillId="0" borderId="4" xfId="0" applyBorder="1"/>
    <xf numFmtId="0" fontId="16" fillId="3" borderId="5" xfId="0" applyFont="1" applyFill="1" applyBorder="1" applyAlignment="1">
      <alignment indent="1"/>
    </xf>
    <xf numFmtId="0" fontId="0" fillId="3" borderId="7" xfId="0" applyFill="1" applyBorder="1"/>
    <xf numFmtId="0" fontId="19" fillId="3" borderId="9" xfId="0" applyFont="1" applyFill="1" applyBorder="1" applyAlignment="1">
      <alignment vertical="center" wrapText="1" indent="1"/>
    </xf>
    <xf numFmtId="0" fontId="0" fillId="3" borderId="10" xfId="0" applyFill="1" applyBorder="1"/>
    <xf numFmtId="0" fontId="13" fillId="9" borderId="0" xfId="0" applyFont="1" applyFill="1" applyAlignment="1">
      <alignment vertical="center" indent="1"/>
    </xf>
    <xf numFmtId="0" fontId="0" fillId="9" borderId="0" xfId="0" applyFill="1"/>
    <xf numFmtId="0" fontId="13" fillId="4" borderId="0" xfId="0" applyFont="1" applyFill="1" applyAlignment="1">
      <alignment vertical="center" indent="1"/>
    </xf>
    <xf numFmtId="0" fontId="0" fillId="4" borderId="0" xfId="0" applyFill="1"/>
    <xf numFmtId="0" fontId="41" fillId="0" borderId="0" xfId="0" applyFont="1"/>
    <xf numFmtId="0" fontId="0" fillId="0" borderId="0" xfId="0" pivotButton="1"/>
    <xf numFmtId="191" fontId="0" fillId="0" borderId="0" xfId="0" applyNumberFormat="1"/>
    <xf numFmtId="0" fontId="42" fillId="0" borderId="0" xfId="0" applyFont="1"/>
  </cellXfs>
  <cellStyles count="1">
    <cellStyle name="Normal" xfId="0" builtinId="0"/>
  </cellStyles>
  <dxfs count="42"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b/>
        <color rgb="FFDC2626"/>
        <name val="Segoe UI"/>
      </font>
    </dxf>
    <dxf>
      <font>
        <b/>
        <color rgb="FFD97706"/>
        <name val="Segoe UI"/>
      </font>
    </dxf>
    <dxf>
      <font>
        <b/>
        <color rgb="FF16A34A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CBD5E1"/>
        <name val="Segoe UI"/>
      </font>
    </dxf>
    <dxf>
      <font>
        <color rgb="FF15803D"/>
        <name val="Segoe UI"/>
      </font>
    </dxf>
    <dxf>
      <font>
        <color rgb="FFDC2626"/>
        <name val="Segoe UI"/>
      </font>
    </dxf>
    <dxf>
      <font>
        <b/>
        <sz val="9"/>
        <color rgb="FF15803D"/>
        <name val="Segoe UI"/>
      </font>
    </dxf>
    <dxf>
      <font>
        <b/>
        <sz val="9"/>
        <color rgb="FFDC2626"/>
        <name val="Segoe UI"/>
      </font>
    </dxf>
    <dxf>
      <font>
        <color rgb="FF15803D"/>
        <name val="Segoe UI"/>
      </font>
    </dxf>
    <dxf>
      <font>
        <color rgb="FFDC2626"/>
        <name val="Segoe UI"/>
      </font>
    </dxf>
    <dxf>
      <font>
        <b/>
        <sz val="9"/>
        <color rgb="FF15803D"/>
        <name val="Segoe UI"/>
      </font>
    </dxf>
    <dxf>
      <font>
        <b/>
        <sz val="9"/>
        <color rgb="FFDC2626"/>
        <name val="Segoe UI"/>
      </font>
    </dxf>
    <dxf>
      <font>
        <color rgb="FF15803D"/>
        <name val="Segoe UI"/>
      </font>
    </dxf>
    <dxf>
      <font>
        <color rgb="FFDC2626"/>
        <name val="Segoe UI"/>
      </font>
    </dxf>
    <dxf>
      <font>
        <b/>
        <sz val="18"/>
        <color rgb="FF15803D"/>
        <name val="Segoe UI"/>
      </font>
    </dxf>
    <dxf>
      <font>
        <b/>
        <sz val="18"/>
        <color rgb="FFDC2626"/>
        <name val="Segoe UI"/>
      </font>
    </dxf>
    <dxf>
      <font>
        <b/>
        <color rgb="FFFCD34D"/>
        <name val="Segoe UI"/>
      </font>
    </dxf>
    <dxf>
      <font>
        <b/>
        <color rgb="FFFCA5A5"/>
        <name val="Segoe U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Proventos por mês (R$)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'Base Painel'!$B$1</c:f>
              <c:strCache>
                <c:ptCount val="1"/>
                <c:pt idx="0">
                  <c:v>Proventos</c:v>
                </c:pt>
              </c:strCache>
            </c:strRef>
          </c:tx>
          <c:spPr>
            <a:solidFill>
              <a:srgbClr val="2E6DB4"/>
            </a:solidFill>
            <a:ln>
              <a:solidFill>
                <a:srgbClr val="2E6DB4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0">
                    <a:solidFill>
                      <a:srgbClr val="334155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'Base Painel'!$A$2:$A$13</c:f>
              <c:numCache>
                <c:formatCode>mmm\-yy</c:formatCode>
                <c:ptCount val="12"/>
                <c:pt idx="0">
                  <c:v>45931</c:v>
                </c:pt>
                <c:pt idx="1">
                  <c:v>45962</c:v>
                </c:pt>
                <c:pt idx="2">
                  <c:v>45992</c:v>
                </c:pt>
                <c:pt idx="3">
                  <c:v>46023</c:v>
                </c:pt>
                <c:pt idx="4">
                  <c:v>46054</c:v>
                </c:pt>
                <c:pt idx="5">
                  <c:v>46082</c:v>
                </c:pt>
                <c:pt idx="6">
                  <c:v>46113</c:v>
                </c:pt>
                <c:pt idx="7">
                  <c:v>46143</c:v>
                </c:pt>
                <c:pt idx="8">
                  <c:v>46174</c:v>
                </c:pt>
                <c:pt idx="9">
                  <c:v>46204</c:v>
                </c:pt>
                <c:pt idx="10">
                  <c:v>46235</c:v>
                </c:pt>
                <c:pt idx="11">
                  <c:v>46266</c:v>
                </c:pt>
              </c:numCache>
            </c:numRef>
          </c:cat>
          <c:val>
            <c:numRef>
              <c:f>'Base Painel'!$B$2:$B$13</c:f>
              <c:numCache>
                <c:formatCode>"R$ "#,##0,"k";\-"R$ "#,##0,"k";"R$ 0"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B2-4F02-99BD-BDFD4A07E4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60"/>
        <c:axId val="10"/>
        <c:axId val="100"/>
      </c:barChart>
      <c:dateAx>
        <c:axId val="1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ln>
            <a:solidFill>
              <a:srgbClr val="E2E8F0"/>
            </a:solidFill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0"/>
        <c:crosses val="autoZero"/>
        <c:auto val="1"/>
        <c:lblOffset val="100"/>
        <c:baseTimeUnit val="months"/>
        <c:majorUnit val="1"/>
      </c:dateAx>
      <c:valAx>
        <c:axId val="100"/>
        <c:scaling>
          <c:orientation val="minMax"/>
        </c:scaling>
        <c:delete val="0"/>
        <c:axPos val="l"/>
        <c:majorGridlines>
          <c:spPr>
            <a:ln>
              <a:solidFill>
                <a:srgbClr val="EEF2F6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"/>
        <c:crosses val="autoZero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Posição por tipo (R$)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Painel'!$B$16</c:f>
              <c:strCache>
                <c:ptCount val="1"/>
                <c:pt idx="0">
                  <c:v>Posição</c:v>
                </c:pt>
              </c:strCache>
            </c:strRef>
          </c:tx>
          <c:spPr>
            <a:solidFill>
              <a:srgbClr val="D9772B"/>
            </a:solidFill>
            <a:ln>
              <a:solidFill>
                <a:srgbClr val="D9772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0">
                    <a:solidFill>
                      <a:srgbClr val="334155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Painel'!$A$17:$A$18</c:f>
              <c:strCache>
                <c:ptCount val="2"/>
                <c:pt idx="0">
                  <c:v>Ações</c:v>
                </c:pt>
                <c:pt idx="1">
                  <c:v>FIIs</c:v>
                </c:pt>
              </c:strCache>
            </c:strRef>
          </c:cat>
          <c:val>
            <c:numRef>
              <c:f>'Base Painel'!$B$17:$B$18</c:f>
              <c:numCache>
                <c:formatCode>"R$ "#,##0,"k";\-"R$ "#,##0,"k";"R$ 0"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39-4CE2-81BB-F437325649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6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solidFill>
              <a:srgbClr val="E2E8F0"/>
            </a:solidFill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6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"/>
        <c:crosses val="max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Posição por ativo (R$)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Painel'!$H$4</c:f>
              <c:strCache>
                <c:ptCount val="1"/>
                <c:pt idx="0">
                  <c:v>Posição</c:v>
                </c:pt>
              </c:strCache>
            </c:strRef>
          </c:tx>
          <c:spPr>
            <a:solidFill>
              <a:srgbClr val="2E6DB4"/>
            </a:solidFill>
            <a:ln>
              <a:solidFill>
                <a:srgbClr val="2E6DB4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0">
                    <a:solidFill>
                      <a:srgbClr val="334155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Painel'!$G$5:$G$20</c:f>
              <c:strCache>
                <c:ptCount val="16"/>
                <c:pt idx="0">
                  <c:v>CPTS11</c:v>
                </c:pt>
                <c:pt idx="1">
                  <c:v>SNAG11</c:v>
                </c:pt>
                <c:pt idx="2">
                  <c:v>XPML11</c:v>
                </c:pt>
                <c:pt idx="3">
                  <c:v>XPLG11</c:v>
                </c:pt>
                <c:pt idx="4">
                  <c:v>BRCR11</c:v>
                </c:pt>
                <c:pt idx="5">
                  <c:v>MXRF11</c:v>
                </c:pt>
                <c:pt idx="6">
                  <c:v>KLBN11</c:v>
                </c:pt>
                <c:pt idx="7">
                  <c:v>FIQE3</c:v>
                </c:pt>
                <c:pt idx="8">
                  <c:v>CMIG4</c:v>
                </c:pt>
                <c:pt idx="9">
                  <c:v>ITSA4</c:v>
                </c:pt>
                <c:pt idx="10">
                  <c:v>BBDC4</c:v>
                </c:pt>
                <c:pt idx="11">
                  <c:v>BRBI11</c:v>
                </c:pt>
                <c:pt idx="12">
                  <c:v>BBAS3</c:v>
                </c:pt>
                <c:pt idx="13">
                  <c:v>PETR4</c:v>
                </c:pt>
                <c:pt idx="14">
                  <c:v>TAEE11</c:v>
                </c:pt>
                <c:pt idx="15">
                  <c:v>VALE3</c:v>
                </c:pt>
              </c:strCache>
            </c:strRef>
          </c:cat>
          <c:val>
            <c:numRef>
              <c:f>'Base Painel'!$H$5:$H$20</c:f>
              <c:numCache>
                <c:formatCode>"R$ "#,##0,"k";\-"R$ "#,##0,"k";"R$ 0"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AC-4E92-BCE5-C4E7AA78256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6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solidFill>
              <a:srgbClr val="E2E8F0"/>
            </a:solidFill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6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"/>
        <c:crosses val="max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Patrimônio por classe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Painel!$N$79</c:f>
              <c:strCache>
                <c:ptCount val="1"/>
                <c:pt idx="0">
                  <c:v>VALOR (R$)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6DB4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6E6-4A1D-B5BD-A81B747A617A}"/>
              </c:ext>
            </c:extLst>
          </c:dPt>
          <c:dPt>
            <c:idx val="1"/>
            <c:bubble3D val="0"/>
            <c:spPr>
              <a:solidFill>
                <a:srgbClr val="D9772B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6E6-4A1D-B5BD-A81B747A617A}"/>
              </c:ext>
            </c:extLst>
          </c:dPt>
          <c:dPt>
            <c:idx val="2"/>
            <c:bubble3D val="0"/>
            <c:spPr>
              <a:solidFill>
                <a:srgbClr val="0F948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6E6-4A1D-B5BD-A81B747A617A}"/>
              </c:ext>
            </c:extLst>
          </c:dPt>
          <c:dPt>
            <c:idx val="3"/>
            <c:bubble3D val="0"/>
            <c:spPr>
              <a:solidFill>
                <a:srgbClr val="94A3B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6E6-4A1D-B5BD-A81B747A617A}"/>
              </c:ext>
            </c:extLst>
          </c:dPt>
          <c:dPt>
            <c:idx val="4"/>
            <c:bubble3D val="0"/>
            <c:spPr>
              <a:solidFill>
                <a:srgbClr val="14213D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36E6-4A1D-B5BD-A81B747A61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solidFill>
                      <a:srgbClr val="FFFFFF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Painel!$I$80:$I$84</c:f>
              <c:strCache>
                <c:ptCount val="5"/>
                <c:pt idx="0">
                  <c:v>Ações</c:v>
                </c:pt>
                <c:pt idx="1">
                  <c:v>FIIs</c:v>
                </c:pt>
                <c:pt idx="2">
                  <c:v>Renda fixa (CDB Nubank)</c:v>
                </c:pt>
                <c:pt idx="3">
                  <c:v>Internacional</c:v>
                </c:pt>
                <c:pt idx="4">
                  <c:v>Cripto</c:v>
                </c:pt>
              </c:strCache>
            </c:strRef>
          </c:cat>
          <c:val>
            <c:numRef>
              <c:f>Painel!$N$80:$N$84</c:f>
              <c:numCache>
                <c:formatCode>"R$"\ #,##0;[Red]\-"R$"\ #,##0;"-"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E6-4A1D-B5BD-A81B747A617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1"/>
          <c:showLeaderLines val="0"/>
        </c:dLbls>
        <c:firstSliceAng val="0"/>
        <c:holeSize val="60"/>
      </c:doughnutChart>
      <c:spPr>
        <a:noFill/>
        <a:ln>
          <a:noFill/>
          <a:prstDash val="solid"/>
        </a:ln>
      </c:spPr>
    </c:plotArea>
    <c:legend>
      <c:legendPos val="r"/>
      <c:overlay val="1"/>
      <c:txPr>
        <a:bodyPr/>
        <a:lstStyle/>
        <a:p>
          <a:pPr>
            <a:defRPr sz="800" b="0">
              <a:solidFill>
                <a:srgbClr val="64748B"/>
              </a:solidFill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Progresso da meta por ativo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Painel'!$V$4</c:f>
              <c:strCache>
                <c:ptCount val="1"/>
                <c:pt idx="0">
                  <c:v>% da meta</c:v>
                </c:pt>
              </c:strCache>
            </c:strRef>
          </c:tx>
          <c:spPr>
            <a:solidFill>
              <a:srgbClr val="D9772B"/>
            </a:solidFill>
            <a:ln>
              <a:solidFill>
                <a:srgbClr val="D9772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0">
                    <a:solidFill>
                      <a:srgbClr val="334155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Painel'!$U$5:$U$20</c:f>
              <c:strCache>
                <c:ptCount val="16"/>
                <c:pt idx="0">
                  <c:v>CPTS11</c:v>
                </c:pt>
                <c:pt idx="1">
                  <c:v>SNAG11</c:v>
                </c:pt>
                <c:pt idx="2">
                  <c:v>XPML11</c:v>
                </c:pt>
                <c:pt idx="3">
                  <c:v>XPLG11</c:v>
                </c:pt>
                <c:pt idx="4">
                  <c:v>BRCR11</c:v>
                </c:pt>
                <c:pt idx="5">
                  <c:v>MXRF11</c:v>
                </c:pt>
                <c:pt idx="6">
                  <c:v>KLBN11</c:v>
                </c:pt>
                <c:pt idx="7">
                  <c:v>FIQE3</c:v>
                </c:pt>
                <c:pt idx="8">
                  <c:v>CMIG4</c:v>
                </c:pt>
                <c:pt idx="9">
                  <c:v>ITSA4</c:v>
                </c:pt>
                <c:pt idx="10">
                  <c:v>BBDC4</c:v>
                </c:pt>
                <c:pt idx="11">
                  <c:v>BRBI11</c:v>
                </c:pt>
                <c:pt idx="12">
                  <c:v>BBAS3</c:v>
                </c:pt>
                <c:pt idx="13">
                  <c:v>PETR4</c:v>
                </c:pt>
                <c:pt idx="14">
                  <c:v>TAEE11</c:v>
                </c:pt>
                <c:pt idx="15">
                  <c:v>VALE3</c:v>
                </c:pt>
              </c:strCache>
            </c:strRef>
          </c:cat>
          <c:val>
            <c:numRef>
              <c:f>'Base Painel'!$V$5:$V$20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0-4759-8C90-ECDDB37542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6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solidFill>
              <a:srgbClr val="E2E8F0"/>
            </a:solidFill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6"/>
              </a:solidFill>
              <a:prstDash val="solid"/>
            </a:ln>
          </c:spPr>
        </c:majorGridlines>
        <c:numFmt formatCode="0%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"/>
        <c:crosses val="max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Proventos por ativo (R$)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Painel'!$Z$4</c:f>
              <c:strCache>
                <c:ptCount val="1"/>
                <c:pt idx="0">
                  <c:v>Proventos</c:v>
                </c:pt>
              </c:strCache>
            </c:strRef>
          </c:tx>
          <c:spPr>
            <a:solidFill>
              <a:srgbClr val="2E6DB4"/>
            </a:solidFill>
            <a:ln>
              <a:solidFill>
                <a:srgbClr val="2E6DB4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0">
                    <a:solidFill>
                      <a:srgbClr val="334155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Painel'!$Y$5:$Y$20</c:f>
              <c:strCache>
                <c:ptCount val="16"/>
                <c:pt idx="0">
                  <c:v>CPTS11</c:v>
                </c:pt>
                <c:pt idx="1">
                  <c:v>SNAG11</c:v>
                </c:pt>
                <c:pt idx="2">
                  <c:v>XPML11</c:v>
                </c:pt>
                <c:pt idx="3">
                  <c:v>XPLG11</c:v>
                </c:pt>
                <c:pt idx="4">
                  <c:v>BRCR11</c:v>
                </c:pt>
                <c:pt idx="5">
                  <c:v>MXRF11</c:v>
                </c:pt>
                <c:pt idx="6">
                  <c:v>KLBN11</c:v>
                </c:pt>
                <c:pt idx="7">
                  <c:v>FIQE3</c:v>
                </c:pt>
                <c:pt idx="8">
                  <c:v>CMIG4</c:v>
                </c:pt>
                <c:pt idx="9">
                  <c:v>ITSA4</c:v>
                </c:pt>
                <c:pt idx="10">
                  <c:v>BBDC4</c:v>
                </c:pt>
                <c:pt idx="11">
                  <c:v>BRBI11</c:v>
                </c:pt>
                <c:pt idx="12">
                  <c:v>BBAS3</c:v>
                </c:pt>
                <c:pt idx="13">
                  <c:v>PETR4</c:v>
                </c:pt>
                <c:pt idx="14">
                  <c:v>TAEE11</c:v>
                </c:pt>
                <c:pt idx="15">
                  <c:v>VALE3</c:v>
                </c:pt>
              </c:strCache>
            </c:strRef>
          </c:cat>
          <c:val>
            <c:numRef>
              <c:f>'Base Painel'!$Z$5:$Z$20</c:f>
              <c:numCache>
                <c:formatCode>"R$ "#,##0,"k";\-"R$ "#,##0,"k";"R$ 0"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C-489B-8FAE-255EA43C0C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6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solidFill>
              <a:srgbClr val="E2E8F0"/>
            </a:solidFill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6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"/>
        <c:crosses val="max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 de investimentos.xlsm]Análises!ptGrafico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Posição por ativo (filtre pelo tipo)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2563EB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 &quot;#,##0,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Análises!$S$7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563EB"/>
            </a:solidFill>
            <a:ln>
              <a:noFill/>
            </a:ln>
            <a:effectLst/>
          </c:spPr>
          <c:invertIfNegative val="0"/>
          <c:dLbls>
            <c:numFmt formatCode="&quot;R$ &quot;#,##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Análises!$R$8:$R$24</c:f>
              <c:strCache>
                <c:ptCount val="16"/>
                <c:pt idx="0">
                  <c:v>XPML11</c:v>
                </c:pt>
                <c:pt idx="1">
                  <c:v>SNAG11</c:v>
                </c:pt>
                <c:pt idx="2">
                  <c:v>MXRF11</c:v>
                </c:pt>
                <c:pt idx="3">
                  <c:v>BBDC4</c:v>
                </c:pt>
                <c:pt idx="4">
                  <c:v>VALE3</c:v>
                </c:pt>
                <c:pt idx="5">
                  <c:v>BRBI11</c:v>
                </c:pt>
                <c:pt idx="6">
                  <c:v>KLBN11</c:v>
                </c:pt>
                <c:pt idx="7">
                  <c:v>BRCR11</c:v>
                </c:pt>
                <c:pt idx="8">
                  <c:v>PETR4</c:v>
                </c:pt>
                <c:pt idx="9">
                  <c:v>CMIG4</c:v>
                </c:pt>
                <c:pt idx="10">
                  <c:v>TAEE11</c:v>
                </c:pt>
                <c:pt idx="11">
                  <c:v>CPTS11</c:v>
                </c:pt>
                <c:pt idx="12">
                  <c:v>XPLG11</c:v>
                </c:pt>
                <c:pt idx="13">
                  <c:v>FIQE3</c:v>
                </c:pt>
                <c:pt idx="14">
                  <c:v>BBAS3</c:v>
                </c:pt>
                <c:pt idx="15">
                  <c:v>ITSA4</c:v>
                </c:pt>
              </c:strCache>
            </c:strRef>
          </c:cat>
          <c:val>
            <c:numRef>
              <c:f>Análises!$S$8:$S$24</c:f>
              <c:numCache>
                <c:formatCode>"R$"\ #,##0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DD-42C5-B6A7-3CA3A600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20610688"/>
        <c:axId val="1770757808"/>
      </c:barChart>
      <c:catAx>
        <c:axId val="17206106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57808"/>
        <c:crosses val="autoZero"/>
        <c:auto val="1"/>
        <c:lblAlgn val="ctr"/>
        <c:lblOffset val="100"/>
        <c:noMultiLvlLbl val="0"/>
      </c:catAx>
      <c:valAx>
        <c:axId val="1770757808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1"/>
        <c:majorTickMark val="none"/>
        <c:minorTickMark val="none"/>
        <c:tickLblPos val="nextTo"/>
        <c:crossAx val="17206106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t>Monte Carlo: faixa de patrimônio (P5, mediana, P95) x CDI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Modelos!$B$68</c:f>
              <c:strCache>
                <c:ptCount val="1"/>
                <c:pt idx="0">
                  <c:v>P5 (R$)</c:v>
                </c:pt>
              </c:strCache>
            </c:strRef>
          </c:tx>
          <c:spPr>
            <a:ln w="28000">
              <a:solidFill>
                <a:srgbClr val="CBD5E1"/>
              </a:solidFill>
              <a:prstDash val="solid"/>
            </a:ln>
          </c:spPr>
          <c:marker>
            <c:symbol val="none"/>
          </c:marker>
          <c:cat>
            <c:numRef>
              <c:f>Modelos!$A$69:$A$78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Modelos!$B$69:$B$78</c:f>
              <c:numCache>
                <c:formatCode>"R$"\ #,##0;[Red]\-"R$"\ #,##0;"-"</c:formatCode>
                <c:ptCount val="10"/>
                <c:pt idx="0">
                  <c:v>34078.625284797032</c:v>
                </c:pt>
                <c:pt idx="1">
                  <c:v>68193.748942198494</c:v>
                </c:pt>
                <c:pt idx="2">
                  <c:v>104239.29674516671</c:v>
                </c:pt>
                <c:pt idx="3">
                  <c:v>141572.9680295329</c:v>
                </c:pt>
                <c:pt idx="4">
                  <c:v>181318.7109114241</c:v>
                </c:pt>
                <c:pt idx="5">
                  <c:v>224263.91683504789</c:v>
                </c:pt>
                <c:pt idx="6">
                  <c:v>268059.97510635247</c:v>
                </c:pt>
                <c:pt idx="7">
                  <c:v>316967.86274140392</c:v>
                </c:pt>
                <c:pt idx="8">
                  <c:v>368507.20786099968</c:v>
                </c:pt>
                <c:pt idx="9">
                  <c:v>419650.13247880549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9C4-4C4B-A19E-4FB44E144F3D}"/>
            </c:ext>
          </c:extLst>
        </c:ser>
        <c:ser>
          <c:idx val="1"/>
          <c:order val="1"/>
          <c:tx>
            <c:strRef>
              <c:f>Modelos!$D$68</c:f>
              <c:strCache>
                <c:ptCount val="1"/>
                <c:pt idx="0">
                  <c:v>Mediana (R$)</c:v>
                </c:pt>
              </c:strCache>
            </c:strRef>
          </c:tx>
          <c:spPr>
            <a:ln w="28000">
              <a:solidFill>
                <a:srgbClr val="2563EB"/>
              </a:solidFill>
              <a:prstDash val="solid"/>
            </a:ln>
          </c:spPr>
          <c:marker>
            <c:symbol val="none"/>
          </c:marker>
          <c:cat>
            <c:numRef>
              <c:f>Modelos!$A$69:$A$78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Modelos!$D$69:$D$78</c:f>
              <c:numCache>
                <c:formatCode>"R$"\ #,##0;[Red]\-"R$"\ #,##0;"-"</c:formatCode>
                <c:ptCount val="10"/>
                <c:pt idx="0">
                  <c:v>37699.91580056266</c:v>
                </c:pt>
                <c:pt idx="1">
                  <c:v>79220.228504001308</c:v>
                </c:pt>
                <c:pt idx="2">
                  <c:v>125497.9029562316</c:v>
                </c:pt>
                <c:pt idx="3">
                  <c:v>176326.36544982361</c:v>
                </c:pt>
                <c:pt idx="4">
                  <c:v>232676.68840769571</c:v>
                </c:pt>
                <c:pt idx="5">
                  <c:v>293997.22779769439</c:v>
                </c:pt>
                <c:pt idx="6">
                  <c:v>362483.32760482357</c:v>
                </c:pt>
                <c:pt idx="7">
                  <c:v>440290.06946718867</c:v>
                </c:pt>
                <c:pt idx="8">
                  <c:v>522986.0625239457</c:v>
                </c:pt>
                <c:pt idx="9">
                  <c:v>613746.71288058953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9C4-4C4B-A19E-4FB44E144F3D}"/>
            </c:ext>
          </c:extLst>
        </c:ser>
        <c:ser>
          <c:idx val="2"/>
          <c:order val="2"/>
          <c:tx>
            <c:strRef>
              <c:f>Modelos!$F$68</c:f>
              <c:strCache>
                <c:ptCount val="1"/>
                <c:pt idx="0">
                  <c:v>P95 (R$)</c:v>
                </c:pt>
              </c:strCache>
            </c:strRef>
          </c:tx>
          <c:spPr>
            <a:ln w="28000">
              <a:solidFill>
                <a:srgbClr val="CBD5E1"/>
              </a:solidFill>
              <a:prstDash val="solid"/>
            </a:ln>
          </c:spPr>
          <c:marker>
            <c:symbol val="none"/>
          </c:marker>
          <c:cat>
            <c:numRef>
              <c:f>Modelos!$A$69:$A$78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Modelos!$F$69:$F$78</c:f>
              <c:numCache>
                <c:formatCode>"R$"\ #,##0;[Red]\-"R$"\ #,##0;"-"</c:formatCode>
                <c:ptCount val="10"/>
                <c:pt idx="0">
                  <c:v>41935.676364339721</c:v>
                </c:pt>
                <c:pt idx="1">
                  <c:v>92705.214253276732</c:v>
                </c:pt>
                <c:pt idx="2">
                  <c:v>152561.1114256116</c:v>
                </c:pt>
                <c:pt idx="3">
                  <c:v>223080.00068376501</c:v>
                </c:pt>
                <c:pt idx="4">
                  <c:v>304720.37168820348</c:v>
                </c:pt>
                <c:pt idx="5">
                  <c:v>398179.2230636297</c:v>
                </c:pt>
                <c:pt idx="6">
                  <c:v>501114.15430932911</c:v>
                </c:pt>
                <c:pt idx="7">
                  <c:v>624290.12445573567</c:v>
                </c:pt>
                <c:pt idx="8">
                  <c:v>759773.88727990224</c:v>
                </c:pt>
                <c:pt idx="9">
                  <c:v>913060.05620916537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C4-4C4B-A19E-4FB44E144F3D}"/>
            </c:ext>
          </c:extLst>
        </c:ser>
        <c:ser>
          <c:idx val="3"/>
          <c:order val="3"/>
          <c:tx>
            <c:strRef>
              <c:f>Modelos!$G$68</c:f>
              <c:strCache>
                <c:ptCount val="1"/>
                <c:pt idx="0">
                  <c:v>CDI (R$)</c:v>
                </c:pt>
              </c:strCache>
            </c:strRef>
          </c:tx>
          <c:spPr>
            <a:ln w="28000">
              <a:solidFill>
                <a:srgbClr val="D97706"/>
              </a:solidFill>
              <a:prstDash val="dash"/>
            </a:ln>
          </c:spPr>
          <c:marker>
            <c:symbol val="none"/>
          </c:marker>
          <c:cat>
            <c:numRef>
              <c:f>Modelos!$A$69:$A$78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Modelos!$G$69:$G$78</c:f>
              <c:numCache>
                <c:formatCode>"R$"\ #,##0;[Red]\-"R$"\ #,##0;"-"</c:formatCode>
                <c:ptCount val="10"/>
                <c:pt idx="0">
                  <c:v>38255.366035185587</c:v>
                </c:pt>
                <c:pt idx="1">
                  <c:v>81866.483315297126</c:v>
                </c:pt>
                <c:pt idx="2">
                  <c:v>131583.15701462419</c:v>
                </c:pt>
                <c:pt idx="3">
                  <c:v>188260.165031857</c:v>
                </c:pt>
                <c:pt idx="4">
                  <c:v>252871.95417150241</c:v>
                </c:pt>
                <c:pt idx="5">
                  <c:v>326529.39379069809</c:v>
                </c:pt>
                <c:pt idx="6">
                  <c:v>410498.87495658098</c:v>
                </c:pt>
                <c:pt idx="7">
                  <c:v>506224.08348568768</c:v>
                </c:pt>
                <c:pt idx="8">
                  <c:v>615350.82120886887</c:v>
                </c:pt>
                <c:pt idx="9">
                  <c:v>739755.30221329536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9C4-4C4B-A19E-4FB44E144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&quot;R$ &quot;#,##0,&quot;k&quot;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t>Patrimônio projetado (ações + FIIs)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Projeção!$B$16</c:f>
              <c:strCache>
                <c:ptCount val="1"/>
                <c:pt idx="0">
                  <c:v>Pessimista (R$)</c:v>
                </c:pt>
              </c:strCache>
            </c:strRef>
          </c:tx>
          <c:spPr>
            <a:ln w="28000">
              <a:solidFill>
                <a:srgbClr val="CBD5E1"/>
              </a:solidFill>
              <a:prstDash val="solid"/>
            </a:ln>
          </c:spPr>
          <c:marker>
            <c:symbol val="none"/>
          </c:marker>
          <c:cat>
            <c:numRef>
              <c:f>Projeção!$A$17:$A$26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Projeção!$B$17:$B$26</c:f>
              <c:numCache>
                <c:formatCode>"R$"\ #,##0;[Red]\-"R$"\ #,##0;"-"</c:formatCode>
                <c:ptCount val="10"/>
                <c:pt idx="0">
                  <c:v>37260.05399582567</c:v>
                </c:pt>
                <c:pt idx="1">
                  <c:v>77404.367531057913</c:v>
                </c:pt>
                <c:pt idx="2">
                  <c:v>120656.20794426765</c:v>
                </c:pt>
                <c:pt idx="3">
                  <c:v>167256.12545158641</c:v>
                </c:pt>
                <c:pt idx="4">
                  <c:v>217463.29099512921</c:v>
                </c:pt>
                <c:pt idx="5">
                  <c:v>271556.93765278271</c:v>
                </c:pt>
                <c:pt idx="6">
                  <c:v>329837.91362593073</c:v>
                </c:pt>
                <c:pt idx="7">
                  <c:v>392630.35544223903</c:v>
                </c:pt>
                <c:pt idx="8">
                  <c:v>460283.49067921733</c:v>
                </c:pt>
                <c:pt idx="9">
                  <c:v>533173.58023461618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B5-4524-981A-196A5AD6AB80}"/>
            </c:ext>
          </c:extLst>
        </c:ser>
        <c:ser>
          <c:idx val="1"/>
          <c:order val="1"/>
          <c:tx>
            <c:strRef>
              <c:f>Projeção!$C$16</c:f>
              <c:strCache>
                <c:ptCount val="1"/>
                <c:pt idx="0">
                  <c:v>Base (R$)</c:v>
                </c:pt>
              </c:strCache>
            </c:strRef>
          </c:tx>
          <c:spPr>
            <a:ln w="28000">
              <a:solidFill>
                <a:srgbClr val="2563EB"/>
              </a:solidFill>
              <a:prstDash val="solid"/>
            </a:ln>
          </c:spPr>
          <c:marker>
            <c:symbol val="none"/>
          </c:marker>
          <c:cat>
            <c:numRef>
              <c:f>Projeção!$A$17:$A$26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Projeção!$C$17:$C$26</c:f>
              <c:numCache>
                <c:formatCode>"R$"\ #,##0;[Red]\-"R$"\ #,##0;"-"</c:formatCode>
                <c:ptCount val="10"/>
                <c:pt idx="0">
                  <c:v>37895.394934868782</c:v>
                </c:pt>
                <c:pt idx="1">
                  <c:v>80232.805562252019</c:v>
                </c:pt>
                <c:pt idx="2">
                  <c:v>127532.9152909507</c:v>
                </c:pt>
                <c:pt idx="3">
                  <c:v>180377.44090536979</c:v>
                </c:pt>
                <c:pt idx="4">
                  <c:v>239416.28676493152</c:v>
                </c:pt>
                <c:pt idx="5">
                  <c:v>305375.53760316817</c:v>
                </c:pt>
                <c:pt idx="6">
                  <c:v>379066.38822532352</c:v>
                </c:pt>
                <c:pt idx="7">
                  <c:v>461395.11992566678</c:v>
                </c:pt>
                <c:pt idx="8">
                  <c:v>553374.24631872331</c:v>
                </c:pt>
                <c:pt idx="9">
                  <c:v>656134.96566057904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B5-4524-981A-196A5AD6AB80}"/>
            </c:ext>
          </c:extLst>
        </c:ser>
        <c:ser>
          <c:idx val="2"/>
          <c:order val="2"/>
          <c:tx>
            <c:strRef>
              <c:f>Projeção!$D$16</c:f>
              <c:strCache>
                <c:ptCount val="1"/>
                <c:pt idx="0">
                  <c:v>Otimista (R$)</c:v>
                </c:pt>
              </c:strCache>
            </c:strRef>
          </c:tx>
          <c:spPr>
            <a:ln w="28000">
              <a:solidFill>
                <a:srgbClr val="1E3A8A"/>
              </a:solidFill>
              <a:prstDash val="solid"/>
            </a:ln>
          </c:spPr>
          <c:marker>
            <c:symbol val="none"/>
          </c:marker>
          <c:cat>
            <c:numRef>
              <c:f>Projeção!$A$17:$A$26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Projeção!$D$17:$D$26</c:f>
              <c:numCache>
                <c:formatCode>"R$"\ #,##0;[Red]\-"R$"\ #,##0;"-"</c:formatCode>
                <c:ptCount val="10"/>
                <c:pt idx="0">
                  <c:v>38522.567067992808</c:v>
                </c:pt>
                <c:pt idx="1">
                  <c:v>83093.796726448258</c:v>
                </c:pt>
                <c:pt idx="2">
                  <c:v>134663.4262830771</c:v>
                </c:pt>
                <c:pt idx="3">
                  <c:v>194330.31707758343</c:v>
                </c:pt>
                <c:pt idx="4">
                  <c:v>263365.86935305881</c:v>
                </c:pt>
                <c:pt idx="5">
                  <c:v>343241.11363876751</c:v>
                </c:pt>
                <c:pt idx="6">
                  <c:v>435658.05591574166</c:v>
                </c:pt>
                <c:pt idx="7">
                  <c:v>542585.94447750098</c:v>
                </c:pt>
                <c:pt idx="8">
                  <c:v>666303.23127118789</c:v>
                </c:pt>
                <c:pt idx="9">
                  <c:v>809446.12184412766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B5-4524-981A-196A5AD6AB80}"/>
            </c:ext>
          </c:extLst>
        </c:ser>
        <c:ser>
          <c:idx val="3"/>
          <c:order val="3"/>
          <c:tx>
            <c:strRef>
              <c:f>Projeção!$E$16</c:f>
              <c:strCache>
                <c:ptCount val="1"/>
                <c:pt idx="0">
                  <c:v>CDI (R$)</c:v>
                </c:pt>
              </c:strCache>
            </c:strRef>
          </c:tx>
          <c:spPr>
            <a:ln w="28000">
              <a:solidFill>
                <a:srgbClr val="D97706"/>
              </a:solidFill>
              <a:prstDash val="dash"/>
            </a:ln>
          </c:spPr>
          <c:marker>
            <c:symbol val="none"/>
          </c:marker>
          <c:cat>
            <c:numRef>
              <c:f>Projeção!$A$17:$A$26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Projeção!$E$17:$E$26</c:f>
              <c:numCache>
                <c:formatCode>"R$"\ #,##0;[Red]\-"R$"\ #,##0;"-"</c:formatCode>
                <c:ptCount val="10"/>
                <c:pt idx="0">
                  <c:v>38255.366035185587</c:v>
                </c:pt>
                <c:pt idx="1">
                  <c:v>81866.483315297126</c:v>
                </c:pt>
                <c:pt idx="2">
                  <c:v>131583.15701462419</c:v>
                </c:pt>
                <c:pt idx="3">
                  <c:v>188260.16503185703</c:v>
                </c:pt>
                <c:pt idx="4">
                  <c:v>252871.95417150244</c:v>
                </c:pt>
                <c:pt idx="5">
                  <c:v>326529.39379069814</c:v>
                </c:pt>
                <c:pt idx="6">
                  <c:v>410498.87495658104</c:v>
                </c:pt>
                <c:pt idx="7">
                  <c:v>506224.08348568768</c:v>
                </c:pt>
                <c:pt idx="8">
                  <c:v>615350.82120886887</c:v>
                </c:pt>
                <c:pt idx="9">
                  <c:v>739755.30221329536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B5-4524-981A-196A5AD6A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Ano</a:t>
                </a:r>
              </a:p>
            </c:rich>
          </c:tx>
          <c:overlay val="1"/>
        </c:title>
        <c:numFmt formatCode="0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&quot;R$ &quot;#,##0,&quot;k&quot;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arteira!A1"/><Relationship Id="rId13" Type="http://schemas.openxmlformats.org/officeDocument/2006/relationships/hyperlink" Target="#Proje&#231;&#227;o!A1"/><Relationship Id="rId18" Type="http://schemas.openxmlformats.org/officeDocument/2006/relationships/hyperlink" Target="#Verificar!A1"/><Relationship Id="rId3" Type="http://schemas.openxmlformats.org/officeDocument/2006/relationships/chart" Target="../charts/chart3.xml"/><Relationship Id="rId7" Type="http://schemas.openxmlformats.org/officeDocument/2006/relationships/hyperlink" Target="#Painel!A1"/><Relationship Id="rId12" Type="http://schemas.openxmlformats.org/officeDocument/2006/relationships/hyperlink" Target="#Modelos!A1"/><Relationship Id="rId17" Type="http://schemas.openxmlformats.org/officeDocument/2006/relationships/hyperlink" Target="#Premissas!A1"/><Relationship Id="rId2" Type="http://schemas.openxmlformats.org/officeDocument/2006/relationships/chart" Target="../charts/chart2.xml"/><Relationship Id="rId16" Type="http://schemas.openxmlformats.org/officeDocument/2006/relationships/hyperlink" Target="#Proventos!A1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Quant!A1"/><Relationship Id="rId5" Type="http://schemas.openxmlformats.org/officeDocument/2006/relationships/chart" Target="../charts/chart5.xml"/><Relationship Id="rId15" Type="http://schemas.openxmlformats.org/officeDocument/2006/relationships/hyperlink" Target="#Lan&#231;amentos!A1"/><Relationship Id="rId10" Type="http://schemas.openxmlformats.org/officeDocument/2006/relationships/hyperlink" Target="#Meta!A1"/><Relationship Id="rId4" Type="http://schemas.openxmlformats.org/officeDocument/2006/relationships/chart" Target="../charts/chart4.xml"/><Relationship Id="rId9" Type="http://schemas.openxmlformats.org/officeDocument/2006/relationships/hyperlink" Target="#An&#225;lises!A1"/><Relationship Id="rId14" Type="http://schemas.openxmlformats.org/officeDocument/2006/relationships/hyperlink" Target="#Cadastro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13" Type="http://schemas.openxmlformats.org/officeDocument/2006/relationships/chart" Target="../charts/chart7.xml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Proje&#231;&#227;o!A1"/><Relationship Id="rId13" Type="http://schemas.openxmlformats.org/officeDocument/2006/relationships/hyperlink" Target="#Verificar!A1"/><Relationship Id="rId3" Type="http://schemas.openxmlformats.org/officeDocument/2006/relationships/hyperlink" Target="#Carteira!A1"/><Relationship Id="rId7" Type="http://schemas.openxmlformats.org/officeDocument/2006/relationships/hyperlink" Target="#Modelos!A1"/><Relationship Id="rId12" Type="http://schemas.openxmlformats.org/officeDocument/2006/relationships/hyperlink" Target="#Premissas!A1"/><Relationship Id="rId2" Type="http://schemas.openxmlformats.org/officeDocument/2006/relationships/hyperlink" Target="#Painel!A1"/><Relationship Id="rId1" Type="http://schemas.openxmlformats.org/officeDocument/2006/relationships/chart" Target="../charts/chart8.xml"/><Relationship Id="rId6" Type="http://schemas.openxmlformats.org/officeDocument/2006/relationships/hyperlink" Target="#Quant!A1"/><Relationship Id="rId11" Type="http://schemas.openxmlformats.org/officeDocument/2006/relationships/hyperlink" Target="#Proventos!A1"/><Relationship Id="rId5" Type="http://schemas.openxmlformats.org/officeDocument/2006/relationships/hyperlink" Target="#Meta!A1"/><Relationship Id="rId10" Type="http://schemas.openxmlformats.org/officeDocument/2006/relationships/hyperlink" Target="#Lan&#231;amentos!A1"/><Relationship Id="rId4" Type="http://schemas.openxmlformats.org/officeDocument/2006/relationships/hyperlink" Target="#An&#225;lises!A1"/><Relationship Id="rId9" Type="http://schemas.openxmlformats.org/officeDocument/2006/relationships/hyperlink" Target="#Cadast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Proje&#231;&#227;o!A1"/><Relationship Id="rId13" Type="http://schemas.openxmlformats.org/officeDocument/2006/relationships/hyperlink" Target="#Verificar!A1"/><Relationship Id="rId3" Type="http://schemas.openxmlformats.org/officeDocument/2006/relationships/hyperlink" Target="#Carteira!A1"/><Relationship Id="rId7" Type="http://schemas.openxmlformats.org/officeDocument/2006/relationships/hyperlink" Target="#Modelos!A1"/><Relationship Id="rId12" Type="http://schemas.openxmlformats.org/officeDocument/2006/relationships/hyperlink" Target="#Premissas!A1"/><Relationship Id="rId2" Type="http://schemas.openxmlformats.org/officeDocument/2006/relationships/hyperlink" Target="#Painel!A1"/><Relationship Id="rId1" Type="http://schemas.openxmlformats.org/officeDocument/2006/relationships/chart" Target="../charts/chart9.xml"/><Relationship Id="rId6" Type="http://schemas.openxmlformats.org/officeDocument/2006/relationships/hyperlink" Target="#Quant!A1"/><Relationship Id="rId11" Type="http://schemas.openxmlformats.org/officeDocument/2006/relationships/hyperlink" Target="#Proventos!A1"/><Relationship Id="rId5" Type="http://schemas.openxmlformats.org/officeDocument/2006/relationships/hyperlink" Target="#Meta!A1"/><Relationship Id="rId10" Type="http://schemas.openxmlformats.org/officeDocument/2006/relationships/hyperlink" Target="#Lan&#231;amentos!A1"/><Relationship Id="rId4" Type="http://schemas.openxmlformats.org/officeDocument/2006/relationships/hyperlink" Target="#An&#225;lises!A1"/><Relationship Id="rId9" Type="http://schemas.openxmlformats.org/officeDocument/2006/relationships/hyperlink" Target="#Cadast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10</xdr:row>
      <xdr:rowOff>0</xdr:rowOff>
    </xdr:from>
    <xdr:ext cx="3348000" cy="3770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18</xdr:col>
      <xdr:colOff>0</xdr:colOff>
      <xdr:row>10</xdr:row>
      <xdr:rowOff>0</xdr:rowOff>
    </xdr:from>
    <xdr:ext cx="3348000" cy="37708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28</xdr:col>
      <xdr:colOff>0</xdr:colOff>
      <xdr:row>10</xdr:row>
      <xdr:rowOff>0</xdr:rowOff>
    </xdr:from>
    <xdr:ext cx="3348000" cy="37708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8</xdr:col>
      <xdr:colOff>0</xdr:colOff>
      <xdr:row>27</xdr:row>
      <xdr:rowOff>0</xdr:rowOff>
    </xdr:from>
    <xdr:ext cx="3348000" cy="27675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18</xdr:col>
      <xdr:colOff>0</xdr:colOff>
      <xdr:row>27</xdr:row>
      <xdr:rowOff>0</xdr:rowOff>
    </xdr:from>
    <xdr:ext cx="3348000" cy="27675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28</xdr:col>
      <xdr:colOff>0</xdr:colOff>
      <xdr:row>27</xdr:row>
      <xdr:rowOff>0</xdr:rowOff>
    </xdr:from>
    <xdr:ext cx="3348000" cy="27675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twoCellAnchor editAs="absolute">
    <xdr:from>
      <xdr:col>1</xdr:col>
      <xdr:colOff>31750</xdr:colOff>
      <xdr:row>1</xdr:row>
      <xdr:rowOff>12700</xdr:rowOff>
    </xdr:from>
    <xdr:to>
      <xdr:col>2</xdr:col>
      <xdr:colOff>323215</xdr:colOff>
      <xdr:row>1</xdr:row>
      <xdr:rowOff>311150</xdr:rowOff>
    </xdr:to>
    <xdr:sp macro="" textlink="">
      <xdr:nvSpPr>
        <xdr:cNvPr id="8" name="nav_Painel">
          <a:hlinkClick xmlns:r="http://schemas.openxmlformats.org/officeDocument/2006/relationships" r:id="rId7" tooltip="Ir para Painel"/>
          <a:extLst>
            <a:ext uri="{FF2B5EF4-FFF2-40B4-BE49-F238E27FC236}">
              <a16:creationId xmlns:a16="http://schemas.microsoft.com/office/drawing/2014/main" id="{3F92F1DD-144A-B2AF-280A-2A0D4DF504D6}"/>
            </a:ext>
          </a:extLst>
        </xdr:cNvPr>
        <xdr:cNvSpPr/>
      </xdr:nvSpPr>
      <xdr:spPr>
        <a:xfrm>
          <a:off x="127000" y="5175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82550</xdr:colOff>
      <xdr:row>1</xdr:row>
      <xdr:rowOff>285750</xdr:rowOff>
    </xdr:from>
    <xdr:to>
      <xdr:col>2</xdr:col>
      <xdr:colOff>272415</xdr:colOff>
      <xdr:row>2</xdr:row>
      <xdr:rowOff>0</xdr:rowOff>
    </xdr:to>
    <xdr:sp macro="" textlink="">
      <xdr:nvSpPr>
        <xdr:cNvPr id="9" name="nav_ativa">
          <a:extLst>
            <a:ext uri="{FF2B5EF4-FFF2-40B4-BE49-F238E27FC236}">
              <a16:creationId xmlns:a16="http://schemas.microsoft.com/office/drawing/2014/main" id="{F1DE9654-0D36-6270-11D0-B5776CEC53D5}"/>
            </a:ext>
          </a:extLst>
        </xdr:cNvPr>
        <xdr:cNvSpPr/>
      </xdr:nvSpPr>
      <xdr:spPr>
        <a:xfrm>
          <a:off x="177800" y="790575"/>
          <a:ext cx="59944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399415</xdr:colOff>
      <xdr:row>1</xdr:row>
      <xdr:rowOff>12700</xdr:rowOff>
    </xdr:from>
    <xdr:to>
      <xdr:col>5</xdr:col>
      <xdr:colOff>29210</xdr:colOff>
      <xdr:row>1</xdr:row>
      <xdr:rowOff>311150</xdr:rowOff>
    </xdr:to>
    <xdr:sp macro="" textlink="">
      <xdr:nvSpPr>
        <xdr:cNvPr id="10" name="nav_Carteira">
          <a:hlinkClick xmlns:r="http://schemas.openxmlformats.org/officeDocument/2006/relationships" r:id="rId8" tooltip="Ir para Carteira"/>
          <a:extLst>
            <a:ext uri="{FF2B5EF4-FFF2-40B4-BE49-F238E27FC236}">
              <a16:creationId xmlns:a16="http://schemas.microsoft.com/office/drawing/2014/main" id="{33991491-0256-2F21-AF6D-3035EE0B000D}"/>
            </a:ext>
          </a:extLst>
        </xdr:cNvPr>
        <xdr:cNvSpPr/>
      </xdr:nvSpPr>
      <xdr:spPr>
        <a:xfrm>
          <a:off x="904240" y="5175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5</xdr:col>
      <xdr:colOff>105410</xdr:colOff>
      <xdr:row>1</xdr:row>
      <xdr:rowOff>12700</xdr:rowOff>
    </xdr:from>
    <xdr:to>
      <xdr:col>8</xdr:col>
      <xdr:colOff>11430</xdr:colOff>
      <xdr:row>1</xdr:row>
      <xdr:rowOff>311150</xdr:rowOff>
    </xdr:to>
    <xdr:sp macro="" textlink="">
      <xdr:nvSpPr>
        <xdr:cNvPr id="11" name="nav_Análises">
          <a:hlinkClick xmlns:r="http://schemas.openxmlformats.org/officeDocument/2006/relationships" r:id="rId9" tooltip="Ir para Análises"/>
          <a:extLst>
            <a:ext uri="{FF2B5EF4-FFF2-40B4-BE49-F238E27FC236}">
              <a16:creationId xmlns:a16="http://schemas.microsoft.com/office/drawing/2014/main" id="{08409E17-13ED-5BF7-C8B7-CFF7C6EC6C84}"/>
            </a:ext>
          </a:extLst>
        </xdr:cNvPr>
        <xdr:cNvSpPr/>
      </xdr:nvSpPr>
      <xdr:spPr>
        <a:xfrm>
          <a:off x="1838960" y="5175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8</xdr:col>
      <xdr:colOff>87630</xdr:colOff>
      <xdr:row>1</xdr:row>
      <xdr:rowOff>12700</xdr:rowOff>
    </xdr:from>
    <xdr:to>
      <xdr:col>9</xdr:col>
      <xdr:colOff>278765</xdr:colOff>
      <xdr:row>1</xdr:row>
      <xdr:rowOff>311150</xdr:rowOff>
    </xdr:to>
    <xdr:sp macro="" textlink="">
      <xdr:nvSpPr>
        <xdr:cNvPr id="12" name="nav_Meta">
          <a:hlinkClick xmlns:r="http://schemas.openxmlformats.org/officeDocument/2006/relationships" r:id="rId10" tooltip="Ir para Meta"/>
          <a:extLst>
            <a:ext uri="{FF2B5EF4-FFF2-40B4-BE49-F238E27FC236}">
              <a16:creationId xmlns:a16="http://schemas.microsoft.com/office/drawing/2014/main" id="{BAE018F5-5C36-3499-3117-31640DCA2303}"/>
            </a:ext>
          </a:extLst>
        </xdr:cNvPr>
        <xdr:cNvSpPr/>
      </xdr:nvSpPr>
      <xdr:spPr>
        <a:xfrm>
          <a:off x="2773680" y="5175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10</xdr:col>
      <xdr:colOff>2540</xdr:colOff>
      <xdr:row>1</xdr:row>
      <xdr:rowOff>12700</xdr:rowOff>
    </xdr:from>
    <xdr:to>
      <xdr:col>11</xdr:col>
      <xdr:colOff>272415</xdr:colOff>
      <xdr:row>1</xdr:row>
      <xdr:rowOff>311150</xdr:rowOff>
    </xdr:to>
    <xdr:sp macro="" textlink="">
      <xdr:nvSpPr>
        <xdr:cNvPr id="13" name="nav_Quant">
          <a:hlinkClick xmlns:r="http://schemas.openxmlformats.org/officeDocument/2006/relationships" r:id="rId11" tooltip="Ir para Quant"/>
          <a:extLst>
            <a:ext uri="{FF2B5EF4-FFF2-40B4-BE49-F238E27FC236}">
              <a16:creationId xmlns:a16="http://schemas.microsoft.com/office/drawing/2014/main" id="{BCB62878-5A13-EAC4-DD35-D61413C643B3}"/>
            </a:ext>
          </a:extLst>
        </xdr:cNvPr>
        <xdr:cNvSpPr/>
      </xdr:nvSpPr>
      <xdr:spPr>
        <a:xfrm>
          <a:off x="3393440" y="5175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11</xdr:col>
      <xdr:colOff>348615</xdr:colOff>
      <xdr:row>1</xdr:row>
      <xdr:rowOff>12700</xdr:rowOff>
    </xdr:from>
    <xdr:to>
      <xdr:col>14</xdr:col>
      <xdr:colOff>71120</xdr:colOff>
      <xdr:row>1</xdr:row>
      <xdr:rowOff>311150</xdr:rowOff>
    </xdr:to>
    <xdr:sp macro="" textlink="">
      <xdr:nvSpPr>
        <xdr:cNvPr id="14" name="nav_Modelos">
          <a:hlinkClick xmlns:r="http://schemas.openxmlformats.org/officeDocument/2006/relationships" r:id="rId12" tooltip="Ir para Modelos"/>
          <a:extLst>
            <a:ext uri="{FF2B5EF4-FFF2-40B4-BE49-F238E27FC236}">
              <a16:creationId xmlns:a16="http://schemas.microsoft.com/office/drawing/2014/main" id="{1BB00E55-DAB0-66C7-75C4-04AEA68E0020}"/>
            </a:ext>
          </a:extLst>
        </xdr:cNvPr>
        <xdr:cNvSpPr/>
      </xdr:nvSpPr>
      <xdr:spPr>
        <a:xfrm>
          <a:off x="4091940" y="5175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14</xdr:col>
      <xdr:colOff>147320</xdr:colOff>
      <xdr:row>1</xdr:row>
      <xdr:rowOff>12700</xdr:rowOff>
    </xdr:from>
    <xdr:to>
      <xdr:col>16</xdr:col>
      <xdr:colOff>300990</xdr:colOff>
      <xdr:row>1</xdr:row>
      <xdr:rowOff>311150</xdr:rowOff>
    </xdr:to>
    <xdr:sp macro="" textlink="">
      <xdr:nvSpPr>
        <xdr:cNvPr id="15" name="nav_Projeção">
          <a:hlinkClick xmlns:r="http://schemas.openxmlformats.org/officeDocument/2006/relationships" r:id="rId13" tooltip="Ir para Projeção"/>
          <a:extLst>
            <a:ext uri="{FF2B5EF4-FFF2-40B4-BE49-F238E27FC236}">
              <a16:creationId xmlns:a16="http://schemas.microsoft.com/office/drawing/2014/main" id="{866F10EE-4480-18D7-4C30-C770A9FFB035}"/>
            </a:ext>
          </a:extLst>
        </xdr:cNvPr>
        <xdr:cNvSpPr/>
      </xdr:nvSpPr>
      <xdr:spPr>
        <a:xfrm>
          <a:off x="4947920" y="5175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17</xdr:col>
      <xdr:colOff>24765</xdr:colOff>
      <xdr:row>1</xdr:row>
      <xdr:rowOff>12700</xdr:rowOff>
    </xdr:from>
    <xdr:to>
      <xdr:col>19</xdr:col>
      <xdr:colOff>178435</xdr:colOff>
      <xdr:row>1</xdr:row>
      <xdr:rowOff>311150</xdr:rowOff>
    </xdr:to>
    <xdr:sp macro="" textlink="">
      <xdr:nvSpPr>
        <xdr:cNvPr id="16" name="nav_Cadastro">
          <a:hlinkClick xmlns:r="http://schemas.openxmlformats.org/officeDocument/2006/relationships" r:id="rId14" tooltip="Ir para Cadastro"/>
          <a:extLst>
            <a:ext uri="{FF2B5EF4-FFF2-40B4-BE49-F238E27FC236}">
              <a16:creationId xmlns:a16="http://schemas.microsoft.com/office/drawing/2014/main" id="{F6CB3519-DC74-2AD5-5187-DD599BF0B5FA}"/>
            </a:ext>
          </a:extLst>
        </xdr:cNvPr>
        <xdr:cNvSpPr/>
      </xdr:nvSpPr>
      <xdr:spPr>
        <a:xfrm>
          <a:off x="5882640" y="5175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19</xdr:col>
      <xdr:colOff>254635</xdr:colOff>
      <xdr:row>1</xdr:row>
      <xdr:rowOff>12700</xdr:rowOff>
    </xdr:from>
    <xdr:to>
      <xdr:col>22</xdr:col>
      <xdr:colOff>292100</xdr:colOff>
      <xdr:row>1</xdr:row>
      <xdr:rowOff>311150</xdr:rowOff>
    </xdr:to>
    <xdr:sp macro="" textlink="">
      <xdr:nvSpPr>
        <xdr:cNvPr id="17" name="nav_Lançamentos">
          <a:hlinkClick xmlns:r="http://schemas.openxmlformats.org/officeDocument/2006/relationships" r:id="rId15" tooltip="Ir para Lançamentos"/>
          <a:extLst>
            <a:ext uri="{FF2B5EF4-FFF2-40B4-BE49-F238E27FC236}">
              <a16:creationId xmlns:a16="http://schemas.microsoft.com/office/drawing/2014/main" id="{BCC50BF9-3413-203A-C88F-FA7B83934149}"/>
            </a:ext>
          </a:extLst>
        </xdr:cNvPr>
        <xdr:cNvSpPr/>
      </xdr:nvSpPr>
      <xdr:spPr>
        <a:xfrm>
          <a:off x="6817360" y="5175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23</xdr:col>
      <xdr:colOff>15875</xdr:colOff>
      <xdr:row>1</xdr:row>
      <xdr:rowOff>12700</xdr:rowOff>
    </xdr:from>
    <xdr:to>
      <xdr:col>25</xdr:col>
      <xdr:colOff>248285</xdr:colOff>
      <xdr:row>1</xdr:row>
      <xdr:rowOff>311150</xdr:rowOff>
    </xdr:to>
    <xdr:sp macro="" textlink="">
      <xdr:nvSpPr>
        <xdr:cNvPr id="18" name="nav_Proventos">
          <a:hlinkClick xmlns:r="http://schemas.openxmlformats.org/officeDocument/2006/relationships" r:id="rId16" tooltip="Ir para Proventos"/>
          <a:extLst>
            <a:ext uri="{FF2B5EF4-FFF2-40B4-BE49-F238E27FC236}">
              <a16:creationId xmlns:a16="http://schemas.microsoft.com/office/drawing/2014/main" id="{F0B8ED02-05DD-F116-6661-778199523EF9}"/>
            </a:ext>
          </a:extLst>
        </xdr:cNvPr>
        <xdr:cNvSpPr/>
      </xdr:nvSpPr>
      <xdr:spPr>
        <a:xfrm>
          <a:off x="7988300" y="5175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25</xdr:col>
      <xdr:colOff>324485</xdr:colOff>
      <xdr:row>1</xdr:row>
      <xdr:rowOff>12700</xdr:rowOff>
    </xdr:from>
    <xdr:to>
      <xdr:col>28</xdr:col>
      <xdr:colOff>204470</xdr:colOff>
      <xdr:row>1</xdr:row>
      <xdr:rowOff>311150</xdr:rowOff>
    </xdr:to>
    <xdr:sp macro="" textlink="">
      <xdr:nvSpPr>
        <xdr:cNvPr id="19" name="nav_Premissas">
          <a:hlinkClick xmlns:r="http://schemas.openxmlformats.org/officeDocument/2006/relationships" r:id="rId17" tooltip="Ir para Premissas"/>
          <a:extLst>
            <a:ext uri="{FF2B5EF4-FFF2-40B4-BE49-F238E27FC236}">
              <a16:creationId xmlns:a16="http://schemas.microsoft.com/office/drawing/2014/main" id="{5CDBE25E-9F9C-282D-75A0-1FC3534321CE}"/>
            </a:ext>
          </a:extLst>
        </xdr:cNvPr>
        <xdr:cNvSpPr/>
      </xdr:nvSpPr>
      <xdr:spPr>
        <a:xfrm>
          <a:off x="9001760" y="5175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28</xdr:col>
      <xdr:colOff>280670</xdr:colOff>
      <xdr:row>1</xdr:row>
      <xdr:rowOff>12700</xdr:rowOff>
    </xdr:from>
    <xdr:to>
      <xdr:col>31</xdr:col>
      <xdr:colOff>160655</xdr:colOff>
      <xdr:row>1</xdr:row>
      <xdr:rowOff>311150</xdr:rowOff>
    </xdr:to>
    <xdr:sp macro="" textlink="">
      <xdr:nvSpPr>
        <xdr:cNvPr id="20" name="nav_Verificar">
          <a:hlinkClick xmlns:r="http://schemas.openxmlformats.org/officeDocument/2006/relationships" r:id="rId18" tooltip="Ir para Verificar"/>
          <a:extLst>
            <a:ext uri="{FF2B5EF4-FFF2-40B4-BE49-F238E27FC236}">
              <a16:creationId xmlns:a16="http://schemas.microsoft.com/office/drawing/2014/main" id="{7348F887-1587-DACD-F92A-14A017F494BD}"/>
            </a:ext>
          </a:extLst>
        </xdr:cNvPr>
        <xdr:cNvSpPr/>
      </xdr:nvSpPr>
      <xdr:spPr>
        <a:xfrm>
          <a:off x="10015220" y="5175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 editAs="oneCell">
    <xdr:from>
      <xdr:col>27</xdr:col>
      <xdr:colOff>25400</xdr:colOff>
      <xdr:row>0</xdr:row>
      <xdr:rowOff>38100</xdr:rowOff>
    </xdr:from>
    <xdr:to>
      <xdr:col>31</xdr:col>
      <xdr:colOff>327025</xdr:colOff>
      <xdr:row>0</xdr:row>
      <xdr:rowOff>466725</xdr:rowOff>
    </xdr:to>
    <xdr:sp macro="IrCadastro" textlink="">
      <xdr:nvSpPr>
        <xdr:cNvPr id="21" name="btn_IrCadastro">
          <a:extLst>
            <a:ext uri="{FF2B5EF4-FFF2-40B4-BE49-F238E27FC236}">
              <a16:creationId xmlns:a16="http://schemas.microsoft.com/office/drawing/2014/main" id="{95480469-A58B-62E9-3089-8561EEBF01A2}"/>
            </a:ext>
          </a:extLst>
        </xdr:cNvPr>
        <xdr:cNvSpPr/>
      </xdr:nvSpPr>
      <xdr:spPr>
        <a:xfrm>
          <a:off x="9407525" y="38100"/>
          <a:ext cx="1711325" cy="428625"/>
        </a:xfrm>
        <a:prstGeom prst="roundRect">
          <a:avLst>
            <a:gd name="adj" fmla="val 25000"/>
          </a:avLst>
        </a:prstGeom>
        <a:solidFill>
          <a:srgbClr val="C9A4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14213D"/>
              </a:solidFill>
              <a:latin typeface="Segoe UI" panose="020B0502040204020203" pitchFamily="34" charset="0"/>
            </a:rPr>
            <a:t>✚  Novo lançamento</a:t>
          </a:r>
        </a:p>
      </xdr:txBody>
    </xdr:sp>
    <xdr:clientData/>
  </xdr:twoCellAnchor>
  <xdr:twoCellAnchor editAs="oneCell">
    <xdr:from>
      <xdr:col>32</xdr:col>
      <xdr:colOff>25400</xdr:colOff>
      <xdr:row>1</xdr:row>
      <xdr:rowOff>38100</xdr:rowOff>
    </xdr:from>
    <xdr:to>
      <xdr:col>36</xdr:col>
      <xdr:colOff>327025</xdr:colOff>
      <xdr:row>1</xdr:row>
      <xdr:rowOff>285750</xdr:rowOff>
    </xdr:to>
    <xdr:sp macro="AtualizarTudo" textlink="">
      <xdr:nvSpPr>
        <xdr:cNvPr id="22" name="btn_AtualizarTudo">
          <a:extLst>
            <a:ext uri="{FF2B5EF4-FFF2-40B4-BE49-F238E27FC236}">
              <a16:creationId xmlns:a16="http://schemas.microsoft.com/office/drawing/2014/main" id="{B9A0FEE2-D605-81F4-1F95-391F8D7BEF10}"/>
            </a:ext>
          </a:extLst>
        </xdr:cNvPr>
        <xdr:cNvSpPr/>
      </xdr:nvSpPr>
      <xdr:spPr>
        <a:xfrm>
          <a:off x="11169650" y="542925"/>
          <a:ext cx="1711325" cy="24765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14213D"/>
              </a:solidFill>
              <a:latin typeface="Segoe UI" panose="020B0502040204020203" pitchFamily="34" charset="0"/>
            </a:rPr>
            <a:t>⟳  Atualizar</a:t>
          </a:r>
        </a:p>
      </xdr:txBody>
    </xdr:sp>
    <xdr:clientData/>
  </xdr:twoCellAnchor>
  <xdr:twoCellAnchor editAs="oneCell">
    <xdr:from>
      <xdr:col>5</xdr:col>
      <xdr:colOff>25400</xdr:colOff>
      <xdr:row>4</xdr:row>
      <xdr:rowOff>38100</xdr:rowOff>
    </xdr:from>
    <xdr:to>
      <xdr:col>6</xdr:col>
      <xdr:colOff>384175</xdr:colOff>
      <xdr:row>4</xdr:row>
      <xdr:rowOff>266700</xdr:rowOff>
    </xdr:to>
    <xdr:sp macro="FiltrarTodos" textlink="">
      <xdr:nvSpPr>
        <xdr:cNvPr id="23" name="btn_FiltrarTodos">
          <a:extLst>
            <a:ext uri="{FF2B5EF4-FFF2-40B4-BE49-F238E27FC236}">
              <a16:creationId xmlns:a16="http://schemas.microsoft.com/office/drawing/2014/main" id="{04C2F74A-3F5C-DE17-949F-1CC534B1C899}"/>
            </a:ext>
          </a:extLst>
        </xdr:cNvPr>
        <xdr:cNvSpPr/>
      </xdr:nvSpPr>
      <xdr:spPr>
        <a:xfrm>
          <a:off x="1758950" y="1209675"/>
          <a:ext cx="768350" cy="228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800" b="1">
              <a:solidFill>
                <a:srgbClr val="2E6DB4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 editAs="oneCell">
    <xdr:from>
      <xdr:col>1</xdr:col>
      <xdr:colOff>25400</xdr:colOff>
      <xdr:row>7</xdr:row>
      <xdr:rowOff>38100</xdr:rowOff>
    </xdr:from>
    <xdr:to>
      <xdr:col>2</xdr:col>
      <xdr:colOff>384175</xdr:colOff>
      <xdr:row>7</xdr:row>
      <xdr:rowOff>190500</xdr:rowOff>
    </xdr:to>
    <xdr:sp macro="FiltrarTodos" textlink="">
      <xdr:nvSpPr>
        <xdr:cNvPr id="24" name="flt_Todos">
          <a:extLst>
            <a:ext uri="{FF2B5EF4-FFF2-40B4-BE49-F238E27FC236}">
              <a16:creationId xmlns:a16="http://schemas.microsoft.com/office/drawing/2014/main" id="{B6BC292B-4AD2-9CA5-1F15-EA3A8833A242}"/>
            </a:ext>
          </a:extLst>
        </xdr:cNvPr>
        <xdr:cNvSpPr/>
      </xdr:nvSpPr>
      <xdr:spPr>
        <a:xfrm>
          <a:off x="120650" y="2162175"/>
          <a:ext cx="768350" cy="152400"/>
        </a:xfrm>
        <a:prstGeom prst="roundRect">
          <a:avLst>
            <a:gd name="adj" fmla="val 25000"/>
          </a:avLst>
        </a:prstGeom>
        <a:solidFill>
          <a:srgbClr val="2E6DB4"/>
        </a:solidFill>
        <a:ln w="12700">
          <a:solidFill>
            <a:srgbClr val="2E6D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/>
  </xdr:twoCellAnchor>
  <xdr:twoCellAnchor editAs="oneCell">
    <xdr:from>
      <xdr:col>3</xdr:col>
      <xdr:colOff>25400</xdr:colOff>
      <xdr:row>7</xdr:row>
      <xdr:rowOff>38100</xdr:rowOff>
    </xdr:from>
    <xdr:to>
      <xdr:col>4</xdr:col>
      <xdr:colOff>384175</xdr:colOff>
      <xdr:row>7</xdr:row>
      <xdr:rowOff>190500</xdr:rowOff>
    </xdr:to>
    <xdr:sp macro="FiltrarAcoes" textlink="">
      <xdr:nvSpPr>
        <xdr:cNvPr id="25" name="flt_ACAO">
          <a:extLst>
            <a:ext uri="{FF2B5EF4-FFF2-40B4-BE49-F238E27FC236}">
              <a16:creationId xmlns:a16="http://schemas.microsoft.com/office/drawing/2014/main" id="{746E83D9-EAE9-7DA3-1EF4-BA322A3B5735}"/>
            </a:ext>
          </a:extLst>
        </xdr:cNvPr>
        <xdr:cNvSpPr/>
      </xdr:nvSpPr>
      <xdr:spPr>
        <a:xfrm>
          <a:off x="939800" y="2162175"/>
          <a:ext cx="768350" cy="1524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334155"/>
              </a:solidFill>
              <a:latin typeface="Segoe UI" panose="020B0502040204020203" pitchFamily="34" charset="0"/>
            </a:rPr>
            <a:t>Ações</a:t>
          </a:r>
        </a:p>
      </xdr:txBody>
    </xdr:sp>
    <xdr:clientData/>
  </xdr:twoCellAnchor>
  <xdr:twoCellAnchor editAs="oneCell">
    <xdr:from>
      <xdr:col>5</xdr:col>
      <xdr:colOff>25400</xdr:colOff>
      <xdr:row>7</xdr:row>
      <xdr:rowOff>38100</xdr:rowOff>
    </xdr:from>
    <xdr:to>
      <xdr:col>6</xdr:col>
      <xdr:colOff>384175</xdr:colOff>
      <xdr:row>7</xdr:row>
      <xdr:rowOff>190500</xdr:rowOff>
    </xdr:to>
    <xdr:sp macro="FiltrarFIIs" textlink="">
      <xdr:nvSpPr>
        <xdr:cNvPr id="26" name="flt_FII">
          <a:extLst>
            <a:ext uri="{FF2B5EF4-FFF2-40B4-BE49-F238E27FC236}">
              <a16:creationId xmlns:a16="http://schemas.microsoft.com/office/drawing/2014/main" id="{58B766A7-CF71-1E2F-9226-159243399451}"/>
            </a:ext>
          </a:extLst>
        </xdr:cNvPr>
        <xdr:cNvSpPr/>
      </xdr:nvSpPr>
      <xdr:spPr>
        <a:xfrm>
          <a:off x="1758950" y="2162175"/>
          <a:ext cx="768350" cy="1524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334155"/>
              </a:solidFill>
              <a:latin typeface="Segoe UI" panose="020B0502040204020203" pitchFamily="34" charset="0"/>
            </a:rPr>
            <a:t>FIIs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161290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16F6DAF7-86DE-D790-CECE-F0F59882A445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237490</xdr:colOff>
      <xdr:row>1</xdr:row>
      <xdr:rowOff>12700</xdr:rowOff>
    </xdr:from>
    <xdr:to>
      <xdr:col>2</xdr:col>
      <xdr:colOff>629285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58A634D0-D368-6698-C797-A88F91A0DB9D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1</xdr:col>
      <xdr:colOff>288290</xdr:colOff>
      <xdr:row>1</xdr:row>
      <xdr:rowOff>285750</xdr:rowOff>
    </xdr:from>
    <xdr:to>
      <xdr:col>2</xdr:col>
      <xdr:colOff>578485</xdr:colOff>
      <xdr:row>2</xdr:row>
      <xdr:rowOff>0</xdr:rowOff>
    </xdr:to>
    <xdr:sp macro="" textlink="">
      <xdr:nvSpPr>
        <xdr:cNvPr id="4" name="nav_ativa">
          <a:extLst>
            <a:ext uri="{FF2B5EF4-FFF2-40B4-BE49-F238E27FC236}">
              <a16:creationId xmlns:a16="http://schemas.microsoft.com/office/drawing/2014/main" id="{E1385995-2039-52A2-FA05-42B8E8D314B1}"/>
            </a:ext>
          </a:extLst>
        </xdr:cNvPr>
        <xdr:cNvSpPr/>
      </xdr:nvSpPr>
      <xdr:spPr>
        <a:xfrm>
          <a:off x="955040" y="714375"/>
          <a:ext cx="75692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38735</xdr:colOff>
      <xdr:row>1</xdr:row>
      <xdr:rowOff>12700</xdr:rowOff>
    </xdr:from>
    <xdr:to>
      <xdr:col>4</xdr:col>
      <xdr:colOff>97155</xdr:colOff>
      <xdr:row>1</xdr:row>
      <xdr:rowOff>311150</xdr:rowOff>
    </xdr:to>
    <xdr:sp macro="" textlink="">
      <xdr:nvSpPr>
        <xdr:cNvPr id="5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6738E702-2177-BB82-485A-6BEFCF939F8E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4</xdr:col>
      <xdr:colOff>173355</xdr:colOff>
      <xdr:row>1</xdr:row>
      <xdr:rowOff>12700</xdr:rowOff>
    </xdr:from>
    <xdr:to>
      <xdr:col>4</xdr:col>
      <xdr:colOff>716915</xdr:colOff>
      <xdr:row>1</xdr:row>
      <xdr:rowOff>311150</xdr:rowOff>
    </xdr:to>
    <xdr:sp macro="" textlink="">
      <xdr:nvSpPr>
        <xdr:cNvPr id="6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6306B10D-8B3A-823B-BB6E-6124144FE683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4</xdr:col>
      <xdr:colOff>793115</xdr:colOff>
      <xdr:row>1</xdr:row>
      <xdr:rowOff>12700</xdr:rowOff>
    </xdr:from>
    <xdr:to>
      <xdr:col>5</xdr:col>
      <xdr:colOff>415290</xdr:colOff>
      <xdr:row>1</xdr:row>
      <xdr:rowOff>311150</xdr:rowOff>
    </xdr:to>
    <xdr:sp macro="" textlink="">
      <xdr:nvSpPr>
        <xdr:cNvPr id="7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371C636C-A613-E4FD-1B39-B5B967A80790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5</xdr:col>
      <xdr:colOff>491490</xdr:colOff>
      <xdr:row>1</xdr:row>
      <xdr:rowOff>12700</xdr:rowOff>
    </xdr:from>
    <xdr:to>
      <xdr:col>6</xdr:col>
      <xdr:colOff>537845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7E72E8AD-0A70-8961-EB21-D0ACDC47D1CA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6</xdr:col>
      <xdr:colOff>614045</xdr:colOff>
      <xdr:row>1</xdr:row>
      <xdr:rowOff>12700</xdr:rowOff>
    </xdr:from>
    <xdr:to>
      <xdr:col>7</xdr:col>
      <xdr:colOff>472440</xdr:colOff>
      <xdr:row>1</xdr:row>
      <xdr:rowOff>311150</xdr:rowOff>
    </xdr:to>
    <xdr:sp macro="" textlink="">
      <xdr:nvSpPr>
        <xdr:cNvPr id="9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70B9A304-C9D5-409A-6755-3E83682F380C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7</xdr:col>
      <xdr:colOff>548640</xdr:colOff>
      <xdr:row>1</xdr:row>
      <xdr:rowOff>12700</xdr:rowOff>
    </xdr:from>
    <xdr:to>
      <xdr:col>8</xdr:col>
      <xdr:colOff>407035</xdr:colOff>
      <xdr:row>1</xdr:row>
      <xdr:rowOff>311150</xdr:rowOff>
    </xdr:to>
    <xdr:sp macro="" textlink="">
      <xdr:nvSpPr>
        <xdr:cNvPr id="10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FC738753-5656-A32C-F621-48CDE2F09060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8</xdr:col>
      <xdr:colOff>483235</xdr:colOff>
      <xdr:row>1</xdr:row>
      <xdr:rowOff>12700</xdr:rowOff>
    </xdr:from>
    <xdr:to>
      <xdr:col>9</xdr:col>
      <xdr:colOff>844550</xdr:colOff>
      <xdr:row>1</xdr:row>
      <xdr:rowOff>311150</xdr:rowOff>
    </xdr:to>
    <xdr:sp macro="" textlink="">
      <xdr:nvSpPr>
        <xdr:cNvPr id="11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B9F4DB07-FA4B-74E2-7102-B84DD70EE4ED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920750</xdr:colOff>
      <xdr:row>1</xdr:row>
      <xdr:rowOff>12700</xdr:rowOff>
    </xdr:from>
    <xdr:to>
      <xdr:col>11</xdr:col>
      <xdr:colOff>57785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133DA75B-56D8-F204-6105-A952957A634E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11</xdr:col>
      <xdr:colOff>133985</xdr:colOff>
      <xdr:row>1</xdr:row>
      <xdr:rowOff>12700</xdr:rowOff>
    </xdr:from>
    <xdr:to>
      <xdr:col>12</xdr:col>
      <xdr:colOff>137795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DD678615-3E01-C442-6A78-D98518EBBFDE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12</xdr:col>
      <xdr:colOff>213995</xdr:colOff>
      <xdr:row>1</xdr:row>
      <xdr:rowOff>12700</xdr:rowOff>
    </xdr:from>
    <xdr:to>
      <xdr:col>13</xdr:col>
      <xdr:colOff>417830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D718E9F6-3F63-8E2C-8DE0-9A06B97CE06E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113665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CCB2CDEA-D5B2-7C93-078F-2D56A0F40EA3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189865</xdr:colOff>
      <xdr:row>1</xdr:row>
      <xdr:rowOff>12700</xdr:rowOff>
    </xdr:from>
    <xdr:to>
      <xdr:col>1</xdr:col>
      <xdr:colOff>1048385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77C5EB0C-F595-2AA0-DD23-39324DD620C6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1</xdr:col>
      <xdr:colOff>1124585</xdr:colOff>
      <xdr:row>1</xdr:row>
      <xdr:rowOff>12700</xdr:rowOff>
    </xdr:from>
    <xdr:to>
      <xdr:col>3</xdr:col>
      <xdr:colOff>173355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7409AC8A-A5D3-ECFD-E6D9-AC2F6B19D102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</xdr:col>
      <xdr:colOff>1175385</xdr:colOff>
      <xdr:row>1</xdr:row>
      <xdr:rowOff>285750</xdr:rowOff>
    </xdr:from>
    <xdr:to>
      <xdr:col>3</xdr:col>
      <xdr:colOff>122555</xdr:colOff>
      <xdr:row>2</xdr:row>
      <xdr:rowOff>0</xdr:rowOff>
    </xdr:to>
    <xdr:sp macro="" textlink="">
      <xdr:nvSpPr>
        <xdr:cNvPr id="5" name="nav_ativa">
          <a:extLst>
            <a:ext uri="{FF2B5EF4-FFF2-40B4-BE49-F238E27FC236}">
              <a16:creationId xmlns:a16="http://schemas.microsoft.com/office/drawing/2014/main" id="{5520180C-503C-0059-6D68-7654547271A8}"/>
            </a:ext>
          </a:extLst>
        </xdr:cNvPr>
        <xdr:cNvSpPr/>
      </xdr:nvSpPr>
      <xdr:spPr>
        <a:xfrm>
          <a:off x="1889760" y="714375"/>
          <a:ext cx="75692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249555</xdr:colOff>
      <xdr:row>1</xdr:row>
      <xdr:rowOff>12700</xdr:rowOff>
    </xdr:from>
    <xdr:to>
      <xdr:col>3</xdr:col>
      <xdr:colOff>793115</xdr:colOff>
      <xdr:row>1</xdr:row>
      <xdr:rowOff>311150</xdr:rowOff>
    </xdr:to>
    <xdr:sp macro="" textlink="">
      <xdr:nvSpPr>
        <xdr:cNvPr id="6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AAEAC60E-9926-C64F-03B0-B8721353FAA1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3</xdr:col>
      <xdr:colOff>869315</xdr:colOff>
      <xdr:row>1</xdr:row>
      <xdr:rowOff>12700</xdr:rowOff>
    </xdr:from>
    <xdr:to>
      <xdr:col>4</xdr:col>
      <xdr:colOff>501015</xdr:colOff>
      <xdr:row>1</xdr:row>
      <xdr:rowOff>311150</xdr:rowOff>
    </xdr:to>
    <xdr:sp macro="" textlink="">
      <xdr:nvSpPr>
        <xdr:cNvPr id="7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EADDA6FD-6C23-EEBC-B9F6-D8F7F6DAC5EF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4</xdr:col>
      <xdr:colOff>577215</xdr:colOff>
      <xdr:row>1</xdr:row>
      <xdr:rowOff>12700</xdr:rowOff>
    </xdr:from>
    <xdr:to>
      <xdr:col>6</xdr:col>
      <xdr:colOff>490220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C4540402-1B65-D9A7-47BA-5027566F9607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6</xdr:col>
      <xdr:colOff>566420</xdr:colOff>
      <xdr:row>1</xdr:row>
      <xdr:rowOff>12700</xdr:rowOff>
    </xdr:from>
    <xdr:to>
      <xdr:col>7</xdr:col>
      <xdr:colOff>167640</xdr:colOff>
      <xdr:row>1</xdr:row>
      <xdr:rowOff>311150</xdr:rowOff>
    </xdr:to>
    <xdr:sp macro="" textlink="">
      <xdr:nvSpPr>
        <xdr:cNvPr id="9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26E50C92-C621-07B9-126D-EA892DE58E9C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7</xdr:col>
      <xdr:colOff>243840</xdr:colOff>
      <xdr:row>1</xdr:row>
      <xdr:rowOff>12700</xdr:rowOff>
    </xdr:from>
    <xdr:to>
      <xdr:col>8</xdr:col>
      <xdr:colOff>321310</xdr:colOff>
      <xdr:row>1</xdr:row>
      <xdr:rowOff>311150</xdr:rowOff>
    </xdr:to>
    <xdr:sp macro="" textlink="">
      <xdr:nvSpPr>
        <xdr:cNvPr id="10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E02B20DA-5C31-5F32-4F87-B9B3B426B9D9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8</xdr:col>
      <xdr:colOff>397510</xdr:colOff>
      <xdr:row>1</xdr:row>
      <xdr:rowOff>12700</xdr:rowOff>
    </xdr:from>
    <xdr:to>
      <xdr:col>9</xdr:col>
      <xdr:colOff>777875</xdr:colOff>
      <xdr:row>1</xdr:row>
      <xdr:rowOff>311150</xdr:rowOff>
    </xdr:to>
    <xdr:sp macro="" textlink="">
      <xdr:nvSpPr>
        <xdr:cNvPr id="11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0C5EE743-051E-C888-BBE7-AD872E8A7729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854075</xdr:colOff>
      <xdr:row>1</xdr:row>
      <xdr:rowOff>12700</xdr:rowOff>
    </xdr:from>
    <xdr:to>
      <xdr:col>11</xdr:col>
      <xdr:colOff>657860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FDCB5B34-6CAD-CE21-0F66-226362E32D09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11</xdr:col>
      <xdr:colOff>734060</xdr:colOff>
      <xdr:row>1</xdr:row>
      <xdr:rowOff>12700</xdr:rowOff>
    </xdr:from>
    <xdr:to>
      <xdr:col>12</xdr:col>
      <xdr:colOff>737870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4F5CD4B1-E765-6586-04EE-08469ADC66C3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12</xdr:col>
      <xdr:colOff>814070</xdr:colOff>
      <xdr:row>1</xdr:row>
      <xdr:rowOff>12700</xdr:rowOff>
    </xdr:from>
    <xdr:to>
      <xdr:col>13</xdr:col>
      <xdr:colOff>817880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23DFDF41-9B51-5E6D-51D4-29DB3E91A01C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12</xdr:col>
      <xdr:colOff>835025</xdr:colOff>
      <xdr:row>23</xdr:row>
      <xdr:rowOff>171450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E2E82D0F-6DA3-ED5D-1997-F2D27C3970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0</xdr:col>
      <xdr:colOff>0</xdr:colOff>
      <xdr:row>12</xdr:row>
      <xdr:rowOff>0</xdr:rowOff>
    </xdr:from>
    <xdr:to>
      <xdr:col>3</xdr:col>
      <xdr:colOff>269875</xdr:colOff>
      <xdr:row>18</xdr:row>
      <xdr:rowOff>63500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6" name="Tipo">
              <a:extLst>
                <a:ext uri="{FF2B5EF4-FFF2-40B4-BE49-F238E27FC236}">
                  <a16:creationId xmlns:a16="http://schemas.microsoft.com/office/drawing/2014/main" id="{9F3CA87B-D36F-8B5C-77C3-487D2BB4F6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762250"/>
              <a:ext cx="2794000" cy="120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161290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D4B1A2C6-82F9-57F1-7090-1C5C29BDAE08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237490</xdr:colOff>
      <xdr:row>1</xdr:row>
      <xdr:rowOff>12700</xdr:rowOff>
    </xdr:from>
    <xdr:to>
      <xdr:col>2</xdr:col>
      <xdr:colOff>629285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16767BE5-D957-5F68-CE63-F426233E3D0C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2</xdr:col>
      <xdr:colOff>705485</xdr:colOff>
      <xdr:row>1</xdr:row>
      <xdr:rowOff>12700</xdr:rowOff>
    </xdr:from>
    <xdr:to>
      <xdr:col>3</xdr:col>
      <xdr:colOff>97155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F3F4662A-18E6-A269-A6F0-641234864079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3</xdr:col>
      <xdr:colOff>173355</xdr:colOff>
      <xdr:row>1</xdr:row>
      <xdr:rowOff>12700</xdr:rowOff>
    </xdr:from>
    <xdr:to>
      <xdr:col>3</xdr:col>
      <xdr:colOff>716915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DC6533C3-F92A-3D93-76EA-7774A9E903AB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3</xdr:col>
      <xdr:colOff>224155</xdr:colOff>
      <xdr:row>1</xdr:row>
      <xdr:rowOff>285750</xdr:rowOff>
    </xdr:from>
    <xdr:to>
      <xdr:col>3</xdr:col>
      <xdr:colOff>666115</xdr:colOff>
      <xdr:row>2</xdr:row>
      <xdr:rowOff>0</xdr:rowOff>
    </xdr:to>
    <xdr:sp macro="" textlink="">
      <xdr:nvSpPr>
        <xdr:cNvPr id="6" name="nav_ativa">
          <a:extLst>
            <a:ext uri="{FF2B5EF4-FFF2-40B4-BE49-F238E27FC236}">
              <a16:creationId xmlns:a16="http://schemas.microsoft.com/office/drawing/2014/main" id="{38060E34-5F59-234D-0CD0-B3D7FD3C2A8F}"/>
            </a:ext>
          </a:extLst>
        </xdr:cNvPr>
        <xdr:cNvSpPr/>
      </xdr:nvSpPr>
      <xdr:spPr>
        <a:xfrm>
          <a:off x="2824480" y="714375"/>
          <a:ext cx="44196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793115</xdr:colOff>
      <xdr:row>1</xdr:row>
      <xdr:rowOff>12700</xdr:rowOff>
    </xdr:from>
    <xdr:to>
      <xdr:col>4</xdr:col>
      <xdr:colOff>615315</xdr:colOff>
      <xdr:row>1</xdr:row>
      <xdr:rowOff>311150</xdr:rowOff>
    </xdr:to>
    <xdr:sp macro="" textlink="">
      <xdr:nvSpPr>
        <xdr:cNvPr id="7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18A8E942-1A92-DAA7-113F-EB378F9BE0BB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4</xdr:col>
      <xdr:colOff>691515</xdr:colOff>
      <xdr:row>1</xdr:row>
      <xdr:rowOff>12700</xdr:rowOff>
    </xdr:from>
    <xdr:to>
      <xdr:col>5</xdr:col>
      <xdr:colOff>537845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B34B91D7-AD14-BB63-82BF-A2F8E5390153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5</xdr:col>
      <xdr:colOff>614045</xdr:colOff>
      <xdr:row>1</xdr:row>
      <xdr:rowOff>12700</xdr:rowOff>
    </xdr:from>
    <xdr:to>
      <xdr:col>6</xdr:col>
      <xdr:colOff>539115</xdr:colOff>
      <xdr:row>1</xdr:row>
      <xdr:rowOff>311150</xdr:rowOff>
    </xdr:to>
    <xdr:sp macro="" textlink="">
      <xdr:nvSpPr>
        <xdr:cNvPr id="9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851C113E-0281-B2F3-1555-EEB2D773D8D0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6</xdr:col>
      <xdr:colOff>615315</xdr:colOff>
      <xdr:row>1</xdr:row>
      <xdr:rowOff>12700</xdr:rowOff>
    </xdr:from>
    <xdr:to>
      <xdr:col>7</xdr:col>
      <xdr:colOff>607060</xdr:colOff>
      <xdr:row>1</xdr:row>
      <xdr:rowOff>311150</xdr:rowOff>
    </xdr:to>
    <xdr:sp macro="" textlink="">
      <xdr:nvSpPr>
        <xdr:cNvPr id="10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2ECB11B1-24DE-A693-866B-9E6A8AE5A3A5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7</xdr:col>
      <xdr:colOff>683260</xdr:colOff>
      <xdr:row>1</xdr:row>
      <xdr:rowOff>12700</xdr:rowOff>
    </xdr:from>
    <xdr:to>
      <xdr:col>9</xdr:col>
      <xdr:colOff>177800</xdr:colOff>
      <xdr:row>1</xdr:row>
      <xdr:rowOff>311150</xdr:rowOff>
    </xdr:to>
    <xdr:sp macro="" textlink="">
      <xdr:nvSpPr>
        <xdr:cNvPr id="11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C5DEE356-52C5-C40A-770E-FD7160510256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254000</xdr:colOff>
      <xdr:row>1</xdr:row>
      <xdr:rowOff>12700</xdr:rowOff>
    </xdr:from>
    <xdr:to>
      <xdr:col>10</xdr:col>
      <xdr:colOff>124460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1773E709-33C9-13FD-85B5-E67A5216E0D6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10</xdr:col>
      <xdr:colOff>200660</xdr:colOff>
      <xdr:row>1</xdr:row>
      <xdr:rowOff>12700</xdr:rowOff>
    </xdr:from>
    <xdr:to>
      <xdr:col>11</xdr:col>
      <xdr:colOff>337820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1D643EB6-EC11-1D8C-A4AB-6E8ED2F5711E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11</xdr:col>
      <xdr:colOff>414020</xdr:colOff>
      <xdr:row>1</xdr:row>
      <xdr:rowOff>12700</xdr:rowOff>
    </xdr:from>
    <xdr:to>
      <xdr:col>12</xdr:col>
      <xdr:colOff>417830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50D2F410-4623-91D8-05B8-17A0469E1F96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0</xdr:col>
      <xdr:colOff>828040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2762DF94-8F24-6157-2935-524B275DE482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904240</xdr:colOff>
      <xdr:row>1</xdr:row>
      <xdr:rowOff>12700</xdr:rowOff>
    </xdr:from>
    <xdr:to>
      <xdr:col>0</xdr:col>
      <xdr:colOff>1762760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77DEC21F-72BE-B9FE-02D7-2D65442CD71C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0</xdr:col>
      <xdr:colOff>1838960</xdr:colOff>
      <xdr:row>1</xdr:row>
      <xdr:rowOff>12700</xdr:rowOff>
    </xdr:from>
    <xdr:to>
      <xdr:col>1</xdr:col>
      <xdr:colOff>697230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40BE9A80-236F-46D9-6C4D-5FB482EC4B76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</xdr:col>
      <xdr:colOff>773430</xdr:colOff>
      <xdr:row>1</xdr:row>
      <xdr:rowOff>12700</xdr:rowOff>
    </xdr:from>
    <xdr:to>
      <xdr:col>2</xdr:col>
      <xdr:colOff>250190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25321A14-132C-C44C-3D41-D63DA6DD666C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2</xdr:col>
      <xdr:colOff>326390</xdr:colOff>
      <xdr:row>1</xdr:row>
      <xdr:rowOff>12700</xdr:rowOff>
    </xdr:from>
    <xdr:to>
      <xdr:col>2</xdr:col>
      <xdr:colOff>948690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4405C179-D210-CE8B-9541-5C8D4EF31A47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2</xdr:col>
      <xdr:colOff>377190</xdr:colOff>
      <xdr:row>1</xdr:row>
      <xdr:rowOff>285750</xdr:rowOff>
    </xdr:from>
    <xdr:to>
      <xdr:col>2</xdr:col>
      <xdr:colOff>897890</xdr:colOff>
      <xdr:row>2</xdr:row>
      <xdr:rowOff>0</xdr:rowOff>
    </xdr:to>
    <xdr:sp macro="" textlink="">
      <xdr:nvSpPr>
        <xdr:cNvPr id="7" name="nav_ativa">
          <a:extLst>
            <a:ext uri="{FF2B5EF4-FFF2-40B4-BE49-F238E27FC236}">
              <a16:creationId xmlns:a16="http://schemas.microsoft.com/office/drawing/2014/main" id="{55D0BA27-F373-5C13-55A8-A70D373CF3AD}"/>
            </a:ext>
          </a:extLst>
        </xdr:cNvPr>
        <xdr:cNvSpPr/>
      </xdr:nvSpPr>
      <xdr:spPr>
        <a:xfrm>
          <a:off x="3444240" y="714375"/>
          <a:ext cx="52070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24765</xdr:colOff>
      <xdr:row>1</xdr:row>
      <xdr:rowOff>12700</xdr:rowOff>
    </xdr:from>
    <xdr:to>
      <xdr:col>4</xdr:col>
      <xdr:colOff>137795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00A65831-3B44-E94A-61E9-A5724CC41A21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4</xdr:col>
      <xdr:colOff>213995</xdr:colOff>
      <xdr:row>1</xdr:row>
      <xdr:rowOff>12700</xdr:rowOff>
    </xdr:from>
    <xdr:to>
      <xdr:col>5</xdr:col>
      <xdr:colOff>272415</xdr:colOff>
      <xdr:row>1</xdr:row>
      <xdr:rowOff>311150</xdr:rowOff>
    </xdr:to>
    <xdr:sp macro="" textlink="">
      <xdr:nvSpPr>
        <xdr:cNvPr id="9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B075A8A1-142F-CA99-42FA-F34D4311749C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5</xdr:col>
      <xdr:colOff>348615</xdr:colOff>
      <xdr:row>1</xdr:row>
      <xdr:rowOff>12700</xdr:rowOff>
    </xdr:from>
    <xdr:to>
      <xdr:col>6</xdr:col>
      <xdr:colOff>407035</xdr:colOff>
      <xdr:row>1</xdr:row>
      <xdr:rowOff>311150</xdr:rowOff>
    </xdr:to>
    <xdr:sp macro="" textlink="">
      <xdr:nvSpPr>
        <xdr:cNvPr id="10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AC94F450-2854-F62C-890D-90F48328547A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6</xdr:col>
      <xdr:colOff>483235</xdr:colOff>
      <xdr:row>1</xdr:row>
      <xdr:rowOff>12700</xdr:rowOff>
    </xdr:from>
    <xdr:to>
      <xdr:col>7</xdr:col>
      <xdr:colOff>777875</xdr:colOff>
      <xdr:row>1</xdr:row>
      <xdr:rowOff>311150</xdr:rowOff>
    </xdr:to>
    <xdr:sp macro="" textlink="">
      <xdr:nvSpPr>
        <xdr:cNvPr id="11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AB06BEEF-3D6F-1648-C0D4-66C15DE4205C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8</xdr:col>
      <xdr:colOff>53975</xdr:colOff>
      <xdr:row>1</xdr:row>
      <xdr:rowOff>12700</xdr:rowOff>
    </xdr:from>
    <xdr:to>
      <xdr:col>9</xdr:col>
      <xdr:colOff>191135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A7E8C8AB-FA21-4D5B-B058-5B471788560E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9</xdr:col>
      <xdr:colOff>267335</xdr:colOff>
      <xdr:row>1</xdr:row>
      <xdr:rowOff>12700</xdr:rowOff>
    </xdr:from>
    <xdr:to>
      <xdr:col>10</xdr:col>
      <xdr:colOff>404495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45462DD6-4B88-89C2-11BE-46E62F770A09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10</xdr:col>
      <xdr:colOff>480695</xdr:colOff>
      <xdr:row>1</xdr:row>
      <xdr:rowOff>12700</xdr:rowOff>
    </xdr:from>
    <xdr:to>
      <xdr:col>11</xdr:col>
      <xdr:colOff>617855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388F2D81-CABD-5CD4-A462-EBBA409E9960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81</xdr:row>
      <xdr:rowOff>0</xdr:rowOff>
    </xdr:from>
    <xdr:ext cx="79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 editAs="absolute">
    <xdr:from>
      <xdr:col>0</xdr:col>
      <xdr:colOff>127000</xdr:colOff>
      <xdr:row>1</xdr:row>
      <xdr:rowOff>12700</xdr:rowOff>
    </xdr:from>
    <xdr:to>
      <xdr:col>0</xdr:col>
      <xdr:colOff>828040</xdr:colOff>
      <xdr:row>1</xdr:row>
      <xdr:rowOff>311150</xdr:rowOff>
    </xdr:to>
    <xdr:sp macro="" textlink="">
      <xdr:nvSpPr>
        <xdr:cNvPr id="3" name="nav_Painel">
          <a:hlinkClick xmlns:r="http://schemas.openxmlformats.org/officeDocument/2006/relationships" r:id="rId2" tooltip="Ir para Painel"/>
          <a:extLst>
            <a:ext uri="{FF2B5EF4-FFF2-40B4-BE49-F238E27FC236}">
              <a16:creationId xmlns:a16="http://schemas.microsoft.com/office/drawing/2014/main" id="{3578C54B-6F27-08B5-1B90-53A6C1C820BD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904240</xdr:colOff>
      <xdr:row>1</xdr:row>
      <xdr:rowOff>12700</xdr:rowOff>
    </xdr:from>
    <xdr:to>
      <xdr:col>0</xdr:col>
      <xdr:colOff>1762760</xdr:colOff>
      <xdr:row>1</xdr:row>
      <xdr:rowOff>311150</xdr:rowOff>
    </xdr:to>
    <xdr:sp macro="" textlink="">
      <xdr:nvSpPr>
        <xdr:cNvPr id="4" name="nav_Carteira">
          <a:hlinkClick xmlns:r="http://schemas.openxmlformats.org/officeDocument/2006/relationships" r:id="rId3" tooltip="Ir para Carteira"/>
          <a:extLst>
            <a:ext uri="{FF2B5EF4-FFF2-40B4-BE49-F238E27FC236}">
              <a16:creationId xmlns:a16="http://schemas.microsoft.com/office/drawing/2014/main" id="{9623AC74-EDFF-D14B-A576-06B276EB6DBA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0</xdr:col>
      <xdr:colOff>1838960</xdr:colOff>
      <xdr:row>1</xdr:row>
      <xdr:rowOff>12700</xdr:rowOff>
    </xdr:from>
    <xdr:to>
      <xdr:col>1</xdr:col>
      <xdr:colOff>697230</xdr:colOff>
      <xdr:row>1</xdr:row>
      <xdr:rowOff>311150</xdr:rowOff>
    </xdr:to>
    <xdr:sp macro="" textlink="">
      <xdr:nvSpPr>
        <xdr:cNvPr id="5" name="nav_Análises">
          <a:hlinkClick xmlns:r="http://schemas.openxmlformats.org/officeDocument/2006/relationships" r:id="rId4" tooltip="Ir para Análises"/>
          <a:extLst>
            <a:ext uri="{FF2B5EF4-FFF2-40B4-BE49-F238E27FC236}">
              <a16:creationId xmlns:a16="http://schemas.microsoft.com/office/drawing/2014/main" id="{8E4977B1-F71B-A9E2-AAA1-4F55E42280B9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</xdr:col>
      <xdr:colOff>773430</xdr:colOff>
      <xdr:row>1</xdr:row>
      <xdr:rowOff>12700</xdr:rowOff>
    </xdr:from>
    <xdr:to>
      <xdr:col>2</xdr:col>
      <xdr:colOff>250190</xdr:colOff>
      <xdr:row>1</xdr:row>
      <xdr:rowOff>311150</xdr:rowOff>
    </xdr:to>
    <xdr:sp macro="" textlink="">
      <xdr:nvSpPr>
        <xdr:cNvPr id="6" name="nav_Meta">
          <a:hlinkClick xmlns:r="http://schemas.openxmlformats.org/officeDocument/2006/relationships" r:id="rId5" tooltip="Ir para Meta"/>
          <a:extLst>
            <a:ext uri="{FF2B5EF4-FFF2-40B4-BE49-F238E27FC236}">
              <a16:creationId xmlns:a16="http://schemas.microsoft.com/office/drawing/2014/main" id="{80BDC5BC-E3BC-F00C-F1F6-D3DE3049216A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2</xdr:col>
      <xdr:colOff>326390</xdr:colOff>
      <xdr:row>1</xdr:row>
      <xdr:rowOff>12700</xdr:rowOff>
    </xdr:from>
    <xdr:to>
      <xdr:col>2</xdr:col>
      <xdr:colOff>948690</xdr:colOff>
      <xdr:row>1</xdr:row>
      <xdr:rowOff>311150</xdr:rowOff>
    </xdr:to>
    <xdr:sp macro="" textlink="">
      <xdr:nvSpPr>
        <xdr:cNvPr id="7" name="nav_Quant">
          <a:hlinkClick xmlns:r="http://schemas.openxmlformats.org/officeDocument/2006/relationships" r:id="rId6" tooltip="Ir para Quant"/>
          <a:extLst>
            <a:ext uri="{FF2B5EF4-FFF2-40B4-BE49-F238E27FC236}">
              <a16:creationId xmlns:a16="http://schemas.microsoft.com/office/drawing/2014/main" id="{2BA116EA-DA20-342F-0B3C-5CED925258FC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2</xdr:col>
      <xdr:colOff>1024890</xdr:colOff>
      <xdr:row>1</xdr:row>
      <xdr:rowOff>12700</xdr:rowOff>
    </xdr:from>
    <xdr:to>
      <xdr:col>3</xdr:col>
      <xdr:colOff>737870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7" tooltip="Ir para Modelos"/>
          <a:extLst>
            <a:ext uri="{FF2B5EF4-FFF2-40B4-BE49-F238E27FC236}">
              <a16:creationId xmlns:a16="http://schemas.microsoft.com/office/drawing/2014/main" id="{0C057B48-D719-A84A-6789-652CCFCDBCCF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3</xdr:col>
      <xdr:colOff>8890</xdr:colOff>
      <xdr:row>1</xdr:row>
      <xdr:rowOff>285750</xdr:rowOff>
    </xdr:from>
    <xdr:to>
      <xdr:col>3</xdr:col>
      <xdr:colOff>687070</xdr:colOff>
      <xdr:row>2</xdr:row>
      <xdr:rowOff>0</xdr:rowOff>
    </xdr:to>
    <xdr:sp macro="" textlink="">
      <xdr:nvSpPr>
        <xdr:cNvPr id="9" name="nav_ativa">
          <a:extLst>
            <a:ext uri="{FF2B5EF4-FFF2-40B4-BE49-F238E27FC236}">
              <a16:creationId xmlns:a16="http://schemas.microsoft.com/office/drawing/2014/main" id="{3A853E1E-2841-EBD0-DEBD-2FA4135C7287}"/>
            </a:ext>
          </a:extLst>
        </xdr:cNvPr>
        <xdr:cNvSpPr/>
      </xdr:nvSpPr>
      <xdr:spPr>
        <a:xfrm>
          <a:off x="4142740" y="714375"/>
          <a:ext cx="67818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814070</xdr:colOff>
      <xdr:row>1</xdr:row>
      <xdr:rowOff>12700</xdr:rowOff>
    </xdr:from>
    <xdr:to>
      <xdr:col>4</xdr:col>
      <xdr:colOff>605790</xdr:colOff>
      <xdr:row>1</xdr:row>
      <xdr:rowOff>311150</xdr:rowOff>
    </xdr:to>
    <xdr:sp macro="" textlink="">
      <xdr:nvSpPr>
        <xdr:cNvPr id="10" name="nav_Projeção">
          <a:hlinkClick xmlns:r="http://schemas.openxmlformats.org/officeDocument/2006/relationships" r:id="rId8" tooltip="Ir para Projeção"/>
          <a:extLst>
            <a:ext uri="{FF2B5EF4-FFF2-40B4-BE49-F238E27FC236}">
              <a16:creationId xmlns:a16="http://schemas.microsoft.com/office/drawing/2014/main" id="{EC64D11A-7FF0-75D1-F496-69BCEC17AECA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4</xdr:col>
      <xdr:colOff>681990</xdr:colOff>
      <xdr:row>1</xdr:row>
      <xdr:rowOff>12700</xdr:rowOff>
    </xdr:from>
    <xdr:to>
      <xdr:col>5</xdr:col>
      <xdr:colOff>473710</xdr:colOff>
      <xdr:row>1</xdr:row>
      <xdr:rowOff>311150</xdr:rowOff>
    </xdr:to>
    <xdr:sp macro="" textlink="">
      <xdr:nvSpPr>
        <xdr:cNvPr id="11" name="nav_Cadastro">
          <a:hlinkClick xmlns:r="http://schemas.openxmlformats.org/officeDocument/2006/relationships" r:id="rId9" tooltip="Ir para Cadastro"/>
          <a:extLst>
            <a:ext uri="{FF2B5EF4-FFF2-40B4-BE49-F238E27FC236}">
              <a16:creationId xmlns:a16="http://schemas.microsoft.com/office/drawing/2014/main" id="{FDABE76F-AA2B-04B2-E7D2-B6D7D452B515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5</xdr:col>
      <xdr:colOff>549910</xdr:colOff>
      <xdr:row>1</xdr:row>
      <xdr:rowOff>12700</xdr:rowOff>
    </xdr:from>
    <xdr:to>
      <xdr:col>6</xdr:col>
      <xdr:colOff>577850</xdr:colOff>
      <xdr:row>1</xdr:row>
      <xdr:rowOff>311150</xdr:rowOff>
    </xdr:to>
    <xdr:sp macro="" textlink="">
      <xdr:nvSpPr>
        <xdr:cNvPr id="12" name="nav_Lançamentos">
          <a:hlinkClick xmlns:r="http://schemas.openxmlformats.org/officeDocument/2006/relationships" r:id="rId10" tooltip="Ir para Lançamentos"/>
          <a:extLst>
            <a:ext uri="{FF2B5EF4-FFF2-40B4-BE49-F238E27FC236}">
              <a16:creationId xmlns:a16="http://schemas.microsoft.com/office/drawing/2014/main" id="{7F8F3498-C8D3-4A5E-8068-011D84CF77ED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654050</xdr:colOff>
      <xdr:row>1</xdr:row>
      <xdr:rowOff>12700</xdr:rowOff>
    </xdr:from>
    <xdr:to>
      <xdr:col>7</xdr:col>
      <xdr:colOff>524510</xdr:colOff>
      <xdr:row>1</xdr:row>
      <xdr:rowOff>311150</xdr:rowOff>
    </xdr:to>
    <xdr:sp macro="" textlink="">
      <xdr:nvSpPr>
        <xdr:cNvPr id="13" name="nav_Proventos">
          <a:hlinkClick xmlns:r="http://schemas.openxmlformats.org/officeDocument/2006/relationships" r:id="rId11" tooltip="Ir para Proventos"/>
          <a:extLst>
            <a:ext uri="{FF2B5EF4-FFF2-40B4-BE49-F238E27FC236}">
              <a16:creationId xmlns:a16="http://schemas.microsoft.com/office/drawing/2014/main" id="{BDD75CDD-C040-7DB6-F952-009D71302FC5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7</xdr:col>
      <xdr:colOff>600710</xdr:colOff>
      <xdr:row>1</xdr:row>
      <xdr:rowOff>12700</xdr:rowOff>
    </xdr:from>
    <xdr:to>
      <xdr:col>8</xdr:col>
      <xdr:colOff>471170</xdr:colOff>
      <xdr:row>1</xdr:row>
      <xdr:rowOff>311150</xdr:rowOff>
    </xdr:to>
    <xdr:sp macro="" textlink="">
      <xdr:nvSpPr>
        <xdr:cNvPr id="14" name="nav_Premissas">
          <a:hlinkClick xmlns:r="http://schemas.openxmlformats.org/officeDocument/2006/relationships" r:id="rId12" tooltip="Ir para Premissas"/>
          <a:extLst>
            <a:ext uri="{FF2B5EF4-FFF2-40B4-BE49-F238E27FC236}">
              <a16:creationId xmlns:a16="http://schemas.microsoft.com/office/drawing/2014/main" id="{D1119D8F-8C94-2290-7CCC-2C0EF63432DC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8</xdr:col>
      <xdr:colOff>547370</xdr:colOff>
      <xdr:row>1</xdr:row>
      <xdr:rowOff>12700</xdr:rowOff>
    </xdr:from>
    <xdr:to>
      <xdr:col>9</xdr:col>
      <xdr:colOff>484505</xdr:colOff>
      <xdr:row>1</xdr:row>
      <xdr:rowOff>311150</xdr:rowOff>
    </xdr:to>
    <xdr:sp macro="" textlink="">
      <xdr:nvSpPr>
        <xdr:cNvPr id="15" name="nav_Verificar">
          <a:hlinkClick xmlns:r="http://schemas.openxmlformats.org/officeDocument/2006/relationships" r:id="rId13" tooltip="Ir para Verificar"/>
          <a:extLst>
            <a:ext uri="{FF2B5EF4-FFF2-40B4-BE49-F238E27FC236}">
              <a16:creationId xmlns:a16="http://schemas.microsoft.com/office/drawing/2014/main" id="{87D24E8E-6AB0-29CD-0F79-06C426E43665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129</xdr:row>
      <xdr:rowOff>0</xdr:rowOff>
    </xdr:from>
    <xdr:ext cx="79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 editAs="absolute">
    <xdr:from>
      <xdr:col>0</xdr:col>
      <xdr:colOff>127000</xdr:colOff>
      <xdr:row>1</xdr:row>
      <xdr:rowOff>12700</xdr:rowOff>
    </xdr:from>
    <xdr:to>
      <xdr:col>0</xdr:col>
      <xdr:colOff>828040</xdr:colOff>
      <xdr:row>1</xdr:row>
      <xdr:rowOff>311150</xdr:rowOff>
    </xdr:to>
    <xdr:sp macro="" textlink="">
      <xdr:nvSpPr>
        <xdr:cNvPr id="3" name="nav_Painel">
          <a:hlinkClick xmlns:r="http://schemas.openxmlformats.org/officeDocument/2006/relationships" r:id="rId2" tooltip="Ir para Painel"/>
          <a:extLst>
            <a:ext uri="{FF2B5EF4-FFF2-40B4-BE49-F238E27FC236}">
              <a16:creationId xmlns:a16="http://schemas.microsoft.com/office/drawing/2014/main" id="{14917FD1-F471-A426-619E-504FB645EE74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904240</xdr:colOff>
      <xdr:row>1</xdr:row>
      <xdr:rowOff>12700</xdr:rowOff>
    </xdr:from>
    <xdr:to>
      <xdr:col>0</xdr:col>
      <xdr:colOff>1762760</xdr:colOff>
      <xdr:row>1</xdr:row>
      <xdr:rowOff>311150</xdr:rowOff>
    </xdr:to>
    <xdr:sp macro="" textlink="">
      <xdr:nvSpPr>
        <xdr:cNvPr id="4" name="nav_Carteira">
          <a:hlinkClick xmlns:r="http://schemas.openxmlformats.org/officeDocument/2006/relationships" r:id="rId3" tooltip="Ir para Carteira"/>
          <a:extLst>
            <a:ext uri="{FF2B5EF4-FFF2-40B4-BE49-F238E27FC236}">
              <a16:creationId xmlns:a16="http://schemas.microsoft.com/office/drawing/2014/main" id="{7EB35CD2-5B59-011F-CA3D-C02A9F7D61BA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0</xdr:col>
      <xdr:colOff>1838960</xdr:colOff>
      <xdr:row>1</xdr:row>
      <xdr:rowOff>12700</xdr:rowOff>
    </xdr:from>
    <xdr:to>
      <xdr:col>1</xdr:col>
      <xdr:colOff>297180</xdr:colOff>
      <xdr:row>1</xdr:row>
      <xdr:rowOff>311150</xdr:rowOff>
    </xdr:to>
    <xdr:sp macro="" textlink="">
      <xdr:nvSpPr>
        <xdr:cNvPr id="5" name="nav_Análises">
          <a:hlinkClick xmlns:r="http://schemas.openxmlformats.org/officeDocument/2006/relationships" r:id="rId4" tooltip="Ir para Análises"/>
          <a:extLst>
            <a:ext uri="{FF2B5EF4-FFF2-40B4-BE49-F238E27FC236}">
              <a16:creationId xmlns:a16="http://schemas.microsoft.com/office/drawing/2014/main" id="{BE90E29B-5BA5-6716-4BF4-1AEF10D2FACE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</xdr:col>
      <xdr:colOff>373380</xdr:colOff>
      <xdr:row>1</xdr:row>
      <xdr:rowOff>12700</xdr:rowOff>
    </xdr:from>
    <xdr:to>
      <xdr:col>1</xdr:col>
      <xdr:colOff>916940</xdr:colOff>
      <xdr:row>1</xdr:row>
      <xdr:rowOff>311150</xdr:rowOff>
    </xdr:to>
    <xdr:sp macro="" textlink="">
      <xdr:nvSpPr>
        <xdr:cNvPr id="6" name="nav_Meta">
          <a:hlinkClick xmlns:r="http://schemas.openxmlformats.org/officeDocument/2006/relationships" r:id="rId5" tooltip="Ir para Meta"/>
          <a:extLst>
            <a:ext uri="{FF2B5EF4-FFF2-40B4-BE49-F238E27FC236}">
              <a16:creationId xmlns:a16="http://schemas.microsoft.com/office/drawing/2014/main" id="{EF5A9C4C-2EB1-CC76-66CD-281957088479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1</xdr:col>
      <xdr:colOff>993140</xdr:colOff>
      <xdr:row>1</xdr:row>
      <xdr:rowOff>12700</xdr:rowOff>
    </xdr:from>
    <xdr:to>
      <xdr:col>2</xdr:col>
      <xdr:colOff>548640</xdr:colOff>
      <xdr:row>1</xdr:row>
      <xdr:rowOff>311150</xdr:rowOff>
    </xdr:to>
    <xdr:sp macro="" textlink="">
      <xdr:nvSpPr>
        <xdr:cNvPr id="7" name="nav_Quant">
          <a:hlinkClick xmlns:r="http://schemas.openxmlformats.org/officeDocument/2006/relationships" r:id="rId6" tooltip="Ir para Quant"/>
          <a:extLst>
            <a:ext uri="{FF2B5EF4-FFF2-40B4-BE49-F238E27FC236}">
              <a16:creationId xmlns:a16="http://schemas.microsoft.com/office/drawing/2014/main" id="{C0DD8776-4E3F-07A4-E421-CB1CBE7099C2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2</xdr:col>
      <xdr:colOff>624840</xdr:colOff>
      <xdr:row>1</xdr:row>
      <xdr:rowOff>12700</xdr:rowOff>
    </xdr:from>
    <xdr:to>
      <xdr:col>3</xdr:col>
      <xdr:colOff>337820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7" tooltip="Ir para Modelos"/>
          <a:extLst>
            <a:ext uri="{FF2B5EF4-FFF2-40B4-BE49-F238E27FC236}">
              <a16:creationId xmlns:a16="http://schemas.microsoft.com/office/drawing/2014/main" id="{57FF7AA3-E6A8-4514-F07B-D6BE53AC4749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3</xdr:col>
      <xdr:colOff>414020</xdr:colOff>
      <xdr:row>1</xdr:row>
      <xdr:rowOff>12700</xdr:rowOff>
    </xdr:from>
    <xdr:to>
      <xdr:col>4</xdr:col>
      <xdr:colOff>205740</xdr:colOff>
      <xdr:row>1</xdr:row>
      <xdr:rowOff>311150</xdr:rowOff>
    </xdr:to>
    <xdr:sp macro="" textlink="">
      <xdr:nvSpPr>
        <xdr:cNvPr id="9" name="nav_Projeção">
          <a:hlinkClick xmlns:r="http://schemas.openxmlformats.org/officeDocument/2006/relationships" r:id="rId8" tooltip="Ir para Projeção"/>
          <a:extLst>
            <a:ext uri="{FF2B5EF4-FFF2-40B4-BE49-F238E27FC236}">
              <a16:creationId xmlns:a16="http://schemas.microsoft.com/office/drawing/2014/main" id="{917FF425-A973-5EEA-9228-65DC21E2F1B1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3</xdr:col>
      <xdr:colOff>464820</xdr:colOff>
      <xdr:row>1</xdr:row>
      <xdr:rowOff>285750</xdr:rowOff>
    </xdr:from>
    <xdr:to>
      <xdr:col>4</xdr:col>
      <xdr:colOff>154940</xdr:colOff>
      <xdr:row>2</xdr:row>
      <xdr:rowOff>0</xdr:rowOff>
    </xdr:to>
    <xdr:sp macro="" textlink="">
      <xdr:nvSpPr>
        <xdr:cNvPr id="10" name="nav_ativa">
          <a:extLst>
            <a:ext uri="{FF2B5EF4-FFF2-40B4-BE49-F238E27FC236}">
              <a16:creationId xmlns:a16="http://schemas.microsoft.com/office/drawing/2014/main" id="{E9971632-77BB-4524-5A46-2D2882A8E739}"/>
            </a:ext>
          </a:extLst>
        </xdr:cNvPr>
        <xdr:cNvSpPr/>
      </xdr:nvSpPr>
      <xdr:spPr>
        <a:xfrm>
          <a:off x="4998720" y="714375"/>
          <a:ext cx="75692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281940</xdr:colOff>
      <xdr:row>1</xdr:row>
      <xdr:rowOff>12700</xdr:rowOff>
    </xdr:from>
    <xdr:to>
      <xdr:col>5</xdr:col>
      <xdr:colOff>73660</xdr:colOff>
      <xdr:row>1</xdr:row>
      <xdr:rowOff>311150</xdr:rowOff>
    </xdr:to>
    <xdr:sp macro="" textlink="">
      <xdr:nvSpPr>
        <xdr:cNvPr id="11" name="nav_Cadastro">
          <a:hlinkClick xmlns:r="http://schemas.openxmlformats.org/officeDocument/2006/relationships" r:id="rId9" tooltip="Ir para Cadastro"/>
          <a:extLst>
            <a:ext uri="{FF2B5EF4-FFF2-40B4-BE49-F238E27FC236}">
              <a16:creationId xmlns:a16="http://schemas.microsoft.com/office/drawing/2014/main" id="{9869A922-D79F-0C61-DA4A-86C6E57CEBBD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5</xdr:col>
      <xdr:colOff>149860</xdr:colOff>
      <xdr:row>1</xdr:row>
      <xdr:rowOff>12700</xdr:rowOff>
    </xdr:from>
    <xdr:to>
      <xdr:col>6</xdr:col>
      <xdr:colOff>44450</xdr:colOff>
      <xdr:row>1</xdr:row>
      <xdr:rowOff>311150</xdr:rowOff>
    </xdr:to>
    <xdr:sp macro="" textlink="">
      <xdr:nvSpPr>
        <xdr:cNvPr id="12" name="nav_Lançamentos">
          <a:hlinkClick xmlns:r="http://schemas.openxmlformats.org/officeDocument/2006/relationships" r:id="rId10" tooltip="Ir para Lançamentos"/>
          <a:extLst>
            <a:ext uri="{FF2B5EF4-FFF2-40B4-BE49-F238E27FC236}">
              <a16:creationId xmlns:a16="http://schemas.microsoft.com/office/drawing/2014/main" id="{25013FC2-05F9-89E8-4137-E11AC4AF7D9C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120650</xdr:colOff>
      <xdr:row>1</xdr:row>
      <xdr:rowOff>12700</xdr:rowOff>
    </xdr:from>
    <xdr:to>
      <xdr:col>6</xdr:col>
      <xdr:colOff>1057910</xdr:colOff>
      <xdr:row>1</xdr:row>
      <xdr:rowOff>311150</xdr:rowOff>
    </xdr:to>
    <xdr:sp macro="" textlink="">
      <xdr:nvSpPr>
        <xdr:cNvPr id="13" name="nav_Proventos">
          <a:hlinkClick xmlns:r="http://schemas.openxmlformats.org/officeDocument/2006/relationships" r:id="rId11" tooltip="Ir para Proventos"/>
          <a:extLst>
            <a:ext uri="{FF2B5EF4-FFF2-40B4-BE49-F238E27FC236}">
              <a16:creationId xmlns:a16="http://schemas.microsoft.com/office/drawing/2014/main" id="{DDA5F4BF-9DC4-0F38-1BA2-83F2B3E20C24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7</xdr:col>
      <xdr:colOff>635</xdr:colOff>
      <xdr:row>1</xdr:row>
      <xdr:rowOff>12700</xdr:rowOff>
    </xdr:from>
    <xdr:to>
      <xdr:col>7</xdr:col>
      <xdr:colOff>937895</xdr:colOff>
      <xdr:row>1</xdr:row>
      <xdr:rowOff>311150</xdr:rowOff>
    </xdr:to>
    <xdr:sp macro="" textlink="">
      <xdr:nvSpPr>
        <xdr:cNvPr id="14" name="nav_Premissas">
          <a:hlinkClick xmlns:r="http://schemas.openxmlformats.org/officeDocument/2006/relationships" r:id="rId12" tooltip="Ir para Premissas"/>
          <a:extLst>
            <a:ext uri="{FF2B5EF4-FFF2-40B4-BE49-F238E27FC236}">
              <a16:creationId xmlns:a16="http://schemas.microsoft.com/office/drawing/2014/main" id="{91261CB5-9B70-459F-0978-7918E7A0F235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7</xdr:col>
      <xdr:colOff>1014095</xdr:colOff>
      <xdr:row>1</xdr:row>
      <xdr:rowOff>12700</xdr:rowOff>
    </xdr:from>
    <xdr:to>
      <xdr:col>8</xdr:col>
      <xdr:colOff>884555</xdr:colOff>
      <xdr:row>1</xdr:row>
      <xdr:rowOff>311150</xdr:rowOff>
    </xdr:to>
    <xdr:sp macro="" textlink="">
      <xdr:nvSpPr>
        <xdr:cNvPr id="15" name="nav_Verificar">
          <a:hlinkClick xmlns:r="http://schemas.openxmlformats.org/officeDocument/2006/relationships" r:id="rId13" tooltip="Ir para Verificar"/>
          <a:extLst>
            <a:ext uri="{FF2B5EF4-FFF2-40B4-BE49-F238E27FC236}">
              <a16:creationId xmlns:a16="http://schemas.microsoft.com/office/drawing/2014/main" id="{D712BD92-3CB2-6B00-2B6D-697F5BC36402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694690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60B7626E-F7DB-49EF-DB71-26344ED6FAF2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770890</xdr:colOff>
      <xdr:row>1</xdr:row>
      <xdr:rowOff>12700</xdr:rowOff>
    </xdr:from>
    <xdr:to>
      <xdr:col>1</xdr:col>
      <xdr:colOff>1629410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0D9B10C1-4074-E391-AF43-5117E69FC233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1</xdr:col>
      <xdr:colOff>1705610</xdr:colOff>
      <xdr:row>1</xdr:row>
      <xdr:rowOff>12700</xdr:rowOff>
    </xdr:from>
    <xdr:to>
      <xdr:col>2</xdr:col>
      <xdr:colOff>563880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B85326F1-F5A1-4D2E-331D-FE82EFCB8111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2</xdr:col>
      <xdr:colOff>640080</xdr:colOff>
      <xdr:row>1</xdr:row>
      <xdr:rowOff>12700</xdr:rowOff>
    </xdr:from>
    <xdr:to>
      <xdr:col>2</xdr:col>
      <xdr:colOff>1183640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D9322584-CC06-E366-214E-E5B38180F028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2</xdr:col>
      <xdr:colOff>1259840</xdr:colOff>
      <xdr:row>1</xdr:row>
      <xdr:rowOff>12700</xdr:rowOff>
    </xdr:from>
    <xdr:to>
      <xdr:col>4</xdr:col>
      <xdr:colOff>215265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4D6B5798-CBBF-D8E4-094C-363AF45E7BFA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4</xdr:col>
      <xdr:colOff>291465</xdr:colOff>
      <xdr:row>1</xdr:row>
      <xdr:rowOff>12700</xdr:rowOff>
    </xdr:from>
    <xdr:to>
      <xdr:col>4</xdr:col>
      <xdr:colOff>1071245</xdr:colOff>
      <xdr:row>1</xdr:row>
      <xdr:rowOff>311150</xdr:rowOff>
    </xdr:to>
    <xdr:sp macro="" textlink="">
      <xdr:nvSpPr>
        <xdr:cNvPr id="7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53695880-A52B-0921-D600-ADD556B3E76E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4</xdr:col>
      <xdr:colOff>1147445</xdr:colOff>
      <xdr:row>1</xdr:row>
      <xdr:rowOff>12700</xdr:rowOff>
    </xdr:from>
    <xdr:to>
      <xdr:col>5</xdr:col>
      <xdr:colOff>5715</xdr:colOff>
      <xdr:row>1</xdr:row>
      <xdr:rowOff>311150</xdr:rowOff>
    </xdr:to>
    <xdr:sp macro="" textlink="">
      <xdr:nvSpPr>
        <xdr:cNvPr id="8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A9C1100C-6AEF-FFF3-1094-3888BC3C678C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5</xdr:col>
      <xdr:colOff>81915</xdr:colOff>
      <xdr:row>1</xdr:row>
      <xdr:rowOff>12700</xdr:rowOff>
    </xdr:from>
    <xdr:to>
      <xdr:col>5</xdr:col>
      <xdr:colOff>940435</xdr:colOff>
      <xdr:row>1</xdr:row>
      <xdr:rowOff>311150</xdr:rowOff>
    </xdr:to>
    <xdr:sp macro="" textlink="">
      <xdr:nvSpPr>
        <xdr:cNvPr id="9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DC1B11E3-94F4-ADF0-C369-DBE2A68EE58A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5</xdr:col>
      <xdr:colOff>132715</xdr:colOff>
      <xdr:row>1</xdr:row>
      <xdr:rowOff>285750</xdr:rowOff>
    </xdr:from>
    <xdr:to>
      <xdr:col>5</xdr:col>
      <xdr:colOff>889635</xdr:colOff>
      <xdr:row>2</xdr:row>
      <xdr:rowOff>0</xdr:rowOff>
    </xdr:to>
    <xdr:sp macro="" textlink="">
      <xdr:nvSpPr>
        <xdr:cNvPr id="10" name="nav_ativa">
          <a:extLst>
            <a:ext uri="{FF2B5EF4-FFF2-40B4-BE49-F238E27FC236}">
              <a16:creationId xmlns:a16="http://schemas.microsoft.com/office/drawing/2014/main" id="{859E9D74-4FA0-F31B-F194-D23D7332634F}"/>
            </a:ext>
          </a:extLst>
        </xdr:cNvPr>
        <xdr:cNvSpPr/>
      </xdr:nvSpPr>
      <xdr:spPr>
        <a:xfrm>
          <a:off x="5933440" y="714375"/>
          <a:ext cx="75692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1016635</xdr:colOff>
      <xdr:row>1</xdr:row>
      <xdr:rowOff>12700</xdr:rowOff>
    </xdr:from>
    <xdr:to>
      <xdr:col>7</xdr:col>
      <xdr:colOff>577850</xdr:colOff>
      <xdr:row>1</xdr:row>
      <xdr:rowOff>311150</xdr:rowOff>
    </xdr:to>
    <xdr:sp macro="" textlink="">
      <xdr:nvSpPr>
        <xdr:cNvPr id="11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C1305EDA-A5D8-5F10-1F1E-3221DA564C7C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654050</xdr:colOff>
      <xdr:row>1</xdr:row>
      <xdr:rowOff>12700</xdr:rowOff>
    </xdr:from>
    <xdr:to>
      <xdr:col>9</xdr:col>
      <xdr:colOff>191135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7F352B68-BBF7-BCC6-A76E-59A4C4C49A9A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9</xdr:col>
      <xdr:colOff>267335</xdr:colOff>
      <xdr:row>1</xdr:row>
      <xdr:rowOff>12700</xdr:rowOff>
    </xdr:from>
    <xdr:to>
      <xdr:col>10</xdr:col>
      <xdr:colOff>537845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C26D7FA6-75BD-C56C-0436-4F58533AABA7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11</xdr:col>
      <xdr:colOff>13970</xdr:colOff>
      <xdr:row>1</xdr:row>
      <xdr:rowOff>12700</xdr:rowOff>
    </xdr:from>
    <xdr:to>
      <xdr:col>12</xdr:col>
      <xdr:colOff>151130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F339037C-7A9B-7C58-E27E-D6C7A2E2F7DB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 editAs="oneCell">
    <xdr:from>
      <xdr:col>1</xdr:col>
      <xdr:colOff>25400</xdr:colOff>
      <xdr:row>25</xdr:row>
      <xdr:rowOff>38100</xdr:rowOff>
    </xdr:from>
    <xdr:to>
      <xdr:col>1</xdr:col>
      <xdr:colOff>1974850</xdr:colOff>
      <xdr:row>25</xdr:row>
      <xdr:rowOff>361950</xdr:rowOff>
    </xdr:to>
    <xdr:sp macro="RegistrarLancamento" textlink="">
      <xdr:nvSpPr>
        <xdr:cNvPr id="15" name="btn_RegistrarLancamento">
          <a:extLst>
            <a:ext uri="{FF2B5EF4-FFF2-40B4-BE49-F238E27FC236}">
              <a16:creationId xmlns:a16="http://schemas.microsoft.com/office/drawing/2014/main" id="{BA747AF8-8D60-48B8-C3D8-18C942D3F770}"/>
            </a:ext>
          </a:extLst>
        </xdr:cNvPr>
        <xdr:cNvSpPr/>
      </xdr:nvSpPr>
      <xdr:spPr>
        <a:xfrm>
          <a:off x="158750" y="7219950"/>
          <a:ext cx="1949450" cy="323850"/>
        </a:xfrm>
        <a:prstGeom prst="roundRect">
          <a:avLst>
            <a:gd name="adj" fmla="val 25000"/>
          </a:avLst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✔  Registrar lançamento</a:t>
          </a:r>
        </a:p>
      </xdr:txBody>
    </xdr:sp>
    <xdr:clientData/>
  </xdr:twoCellAnchor>
  <xdr:twoCellAnchor editAs="oneCell">
    <xdr:from>
      <xdr:col>2</xdr:col>
      <xdr:colOff>25400</xdr:colOff>
      <xdr:row>25</xdr:row>
      <xdr:rowOff>38100</xdr:rowOff>
    </xdr:from>
    <xdr:to>
      <xdr:col>2</xdr:col>
      <xdr:colOff>1441450</xdr:colOff>
      <xdr:row>25</xdr:row>
      <xdr:rowOff>361950</xdr:rowOff>
    </xdr:to>
    <xdr:sp macro="LimparLancamento" textlink="">
      <xdr:nvSpPr>
        <xdr:cNvPr id="16" name="btn_LimparLancamento">
          <a:extLst>
            <a:ext uri="{FF2B5EF4-FFF2-40B4-BE49-F238E27FC236}">
              <a16:creationId xmlns:a16="http://schemas.microsoft.com/office/drawing/2014/main" id="{E7A61C44-D0C0-BA55-9191-D50D817CF6FB}"/>
            </a:ext>
          </a:extLst>
        </xdr:cNvPr>
        <xdr:cNvSpPr/>
      </xdr:nvSpPr>
      <xdr:spPr>
        <a:xfrm>
          <a:off x="2159000" y="7219950"/>
          <a:ext cx="1416050" cy="32385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64748B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 editAs="oneCell">
    <xdr:from>
      <xdr:col>4</xdr:col>
      <xdr:colOff>25400</xdr:colOff>
      <xdr:row>17</xdr:row>
      <xdr:rowOff>38100</xdr:rowOff>
    </xdr:from>
    <xdr:to>
      <xdr:col>4</xdr:col>
      <xdr:colOff>1974850</xdr:colOff>
      <xdr:row>17</xdr:row>
      <xdr:rowOff>361950</xdr:rowOff>
    </xdr:to>
    <xdr:sp macro="RegistrarProvento" textlink="">
      <xdr:nvSpPr>
        <xdr:cNvPr id="17" name="btn_RegistrarProvento">
          <a:extLst>
            <a:ext uri="{FF2B5EF4-FFF2-40B4-BE49-F238E27FC236}">
              <a16:creationId xmlns:a16="http://schemas.microsoft.com/office/drawing/2014/main" id="{9D666EAE-48A0-C640-CBA3-B193852E3500}"/>
            </a:ext>
          </a:extLst>
        </xdr:cNvPr>
        <xdr:cNvSpPr/>
      </xdr:nvSpPr>
      <xdr:spPr>
        <a:xfrm>
          <a:off x="3825875" y="4876800"/>
          <a:ext cx="1949450" cy="323850"/>
        </a:xfrm>
        <a:prstGeom prst="roundRect">
          <a:avLst>
            <a:gd name="adj" fmla="val 25000"/>
          </a:avLst>
        </a:prstGeom>
        <a:solidFill>
          <a:srgbClr val="1E293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✔  Registrar provento</a:t>
          </a:r>
        </a:p>
      </xdr:txBody>
    </xdr:sp>
    <xdr:clientData/>
  </xdr:twoCellAnchor>
  <xdr:twoCellAnchor editAs="oneCell">
    <xdr:from>
      <xdr:col>5</xdr:col>
      <xdr:colOff>25400</xdr:colOff>
      <xdr:row>17</xdr:row>
      <xdr:rowOff>38100</xdr:rowOff>
    </xdr:from>
    <xdr:to>
      <xdr:col>5</xdr:col>
      <xdr:colOff>1308100</xdr:colOff>
      <xdr:row>17</xdr:row>
      <xdr:rowOff>361950</xdr:rowOff>
    </xdr:to>
    <xdr:sp macro="LimparProvento" textlink="">
      <xdr:nvSpPr>
        <xdr:cNvPr id="18" name="btn_LimparProvento">
          <a:extLst>
            <a:ext uri="{FF2B5EF4-FFF2-40B4-BE49-F238E27FC236}">
              <a16:creationId xmlns:a16="http://schemas.microsoft.com/office/drawing/2014/main" id="{2AB81A7B-8521-4631-3A06-27C4203E392F}"/>
            </a:ext>
          </a:extLst>
        </xdr:cNvPr>
        <xdr:cNvSpPr/>
      </xdr:nvSpPr>
      <xdr:spPr>
        <a:xfrm>
          <a:off x="5826125" y="4876800"/>
          <a:ext cx="1282700" cy="32385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64748B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27940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CDB1D009-4658-7F4B-0E88-ACBE200692C0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104140</xdr:colOff>
      <xdr:row>1</xdr:row>
      <xdr:rowOff>12700</xdr:rowOff>
    </xdr:from>
    <xdr:to>
      <xdr:col>2</xdr:col>
      <xdr:colOff>295910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9F28981D-F80D-3CD9-D35F-62B2153EC309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2</xdr:col>
      <xdr:colOff>372110</xdr:colOff>
      <xdr:row>1</xdr:row>
      <xdr:rowOff>12700</xdr:rowOff>
    </xdr:from>
    <xdr:to>
      <xdr:col>3</xdr:col>
      <xdr:colOff>497205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76BDA43F-97EC-B5B7-93D8-DE4DCBCF0088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3</xdr:col>
      <xdr:colOff>573405</xdr:colOff>
      <xdr:row>1</xdr:row>
      <xdr:rowOff>12700</xdr:rowOff>
    </xdr:from>
    <xdr:to>
      <xdr:col>4</xdr:col>
      <xdr:colOff>316865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3D9A2159-3FB5-EF00-0899-7D190F4360F3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4</xdr:col>
      <xdr:colOff>393065</xdr:colOff>
      <xdr:row>1</xdr:row>
      <xdr:rowOff>12700</xdr:rowOff>
    </xdr:from>
    <xdr:to>
      <xdr:col>5</xdr:col>
      <xdr:colOff>215265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B6AE7DD6-C8A4-E093-439B-5DE23B8A0D00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5</xdr:col>
      <xdr:colOff>291465</xdr:colOff>
      <xdr:row>1</xdr:row>
      <xdr:rowOff>12700</xdr:rowOff>
    </xdr:from>
    <xdr:to>
      <xdr:col>6</xdr:col>
      <xdr:colOff>337820</xdr:colOff>
      <xdr:row>1</xdr:row>
      <xdr:rowOff>311150</xdr:rowOff>
    </xdr:to>
    <xdr:sp macro="" textlink="">
      <xdr:nvSpPr>
        <xdr:cNvPr id="7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01F3A29C-7E51-0A1D-EACB-65051C374443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6</xdr:col>
      <xdr:colOff>414020</xdr:colOff>
      <xdr:row>1</xdr:row>
      <xdr:rowOff>12700</xdr:rowOff>
    </xdr:from>
    <xdr:to>
      <xdr:col>7</xdr:col>
      <xdr:colOff>272415</xdr:colOff>
      <xdr:row>1</xdr:row>
      <xdr:rowOff>311150</xdr:rowOff>
    </xdr:to>
    <xdr:sp macro="" textlink="">
      <xdr:nvSpPr>
        <xdr:cNvPr id="8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61B77B24-1A8E-B8CD-3AF8-AA2F4C857DDB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7</xdr:col>
      <xdr:colOff>348615</xdr:colOff>
      <xdr:row>1</xdr:row>
      <xdr:rowOff>12700</xdr:rowOff>
    </xdr:from>
    <xdr:to>
      <xdr:col>8</xdr:col>
      <xdr:colOff>597535</xdr:colOff>
      <xdr:row>1</xdr:row>
      <xdr:rowOff>311150</xdr:rowOff>
    </xdr:to>
    <xdr:sp macro="" textlink="">
      <xdr:nvSpPr>
        <xdr:cNvPr id="9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AE1A93E6-5633-B03D-46E2-3E08A8F3D5F9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9</xdr:col>
      <xdr:colOff>64135</xdr:colOff>
      <xdr:row>1</xdr:row>
      <xdr:rowOff>12700</xdr:rowOff>
    </xdr:from>
    <xdr:to>
      <xdr:col>10</xdr:col>
      <xdr:colOff>549275</xdr:colOff>
      <xdr:row>1</xdr:row>
      <xdr:rowOff>311150</xdr:rowOff>
    </xdr:to>
    <xdr:sp macro="" textlink="">
      <xdr:nvSpPr>
        <xdr:cNvPr id="10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128CB1FE-3CA8-76F5-688C-E36A297A1020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114935</xdr:colOff>
      <xdr:row>1</xdr:row>
      <xdr:rowOff>285750</xdr:rowOff>
    </xdr:from>
    <xdr:to>
      <xdr:col>10</xdr:col>
      <xdr:colOff>498475</xdr:colOff>
      <xdr:row>2</xdr:row>
      <xdr:rowOff>0</xdr:rowOff>
    </xdr:to>
    <xdr:sp macro="" textlink="">
      <xdr:nvSpPr>
        <xdr:cNvPr id="11" name="nav_ativa">
          <a:extLst>
            <a:ext uri="{FF2B5EF4-FFF2-40B4-BE49-F238E27FC236}">
              <a16:creationId xmlns:a16="http://schemas.microsoft.com/office/drawing/2014/main" id="{A6EFE6CE-94CB-5FBE-0ACF-B5BE2B046037}"/>
            </a:ext>
          </a:extLst>
        </xdr:cNvPr>
        <xdr:cNvSpPr/>
      </xdr:nvSpPr>
      <xdr:spPr>
        <a:xfrm>
          <a:off x="6868160" y="714375"/>
          <a:ext cx="99314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15875</xdr:colOff>
      <xdr:row>1</xdr:row>
      <xdr:rowOff>12700</xdr:rowOff>
    </xdr:from>
    <xdr:to>
      <xdr:col>12</xdr:col>
      <xdr:colOff>343535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AAECF14A-7FB8-1BDA-E644-A98B7381E7BB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12</xdr:col>
      <xdr:colOff>419735</xdr:colOff>
      <xdr:row>1</xdr:row>
      <xdr:rowOff>12700</xdr:rowOff>
    </xdr:from>
    <xdr:to>
      <xdr:col>14</xdr:col>
      <xdr:colOff>137795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1DB65D01-3CC2-B8BF-4E9D-E05C2E26F7A5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14</xdr:col>
      <xdr:colOff>213995</xdr:colOff>
      <xdr:row>1</xdr:row>
      <xdr:rowOff>12700</xdr:rowOff>
    </xdr:from>
    <xdr:to>
      <xdr:col>15</xdr:col>
      <xdr:colOff>541655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F9D29761-1771-1B62-DE3A-5A470D5D3EFE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0</xdr:col>
      <xdr:colOff>828040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2E0E2A3E-F1C7-89B6-86A6-EA640DDAF1E3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904240</xdr:colOff>
      <xdr:row>1</xdr:row>
      <xdr:rowOff>12700</xdr:rowOff>
    </xdr:from>
    <xdr:to>
      <xdr:col>2</xdr:col>
      <xdr:colOff>95885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1388F429-3D08-58BA-C93B-7C6200B56750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2</xdr:col>
      <xdr:colOff>172085</xdr:colOff>
      <xdr:row>1</xdr:row>
      <xdr:rowOff>12700</xdr:rowOff>
    </xdr:from>
    <xdr:to>
      <xdr:col>3</xdr:col>
      <xdr:colOff>97155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EE17164D-DB4E-FB75-27A8-56D2A00455A7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3</xdr:col>
      <xdr:colOff>173355</xdr:colOff>
      <xdr:row>1</xdr:row>
      <xdr:rowOff>12700</xdr:rowOff>
    </xdr:from>
    <xdr:to>
      <xdr:col>3</xdr:col>
      <xdr:colOff>716915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A885EF24-DEDC-8F7E-B24F-F1C832499DF3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3</xdr:col>
      <xdr:colOff>793115</xdr:colOff>
      <xdr:row>1</xdr:row>
      <xdr:rowOff>12700</xdr:rowOff>
    </xdr:from>
    <xdr:to>
      <xdr:col>4</xdr:col>
      <xdr:colOff>348615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BD0C17F7-CA53-344B-95BE-5A1CAFEA8074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4</xdr:col>
      <xdr:colOff>424815</xdr:colOff>
      <xdr:row>1</xdr:row>
      <xdr:rowOff>12700</xdr:rowOff>
    </xdr:from>
    <xdr:to>
      <xdr:col>5</xdr:col>
      <xdr:colOff>337820</xdr:colOff>
      <xdr:row>1</xdr:row>
      <xdr:rowOff>311150</xdr:rowOff>
    </xdr:to>
    <xdr:sp macro="" textlink="">
      <xdr:nvSpPr>
        <xdr:cNvPr id="7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69660A90-F3A9-6CEA-D0B0-0A03E58A4F69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5</xdr:col>
      <xdr:colOff>414020</xdr:colOff>
      <xdr:row>1</xdr:row>
      <xdr:rowOff>12700</xdr:rowOff>
    </xdr:from>
    <xdr:to>
      <xdr:col>6</xdr:col>
      <xdr:colOff>272415</xdr:colOff>
      <xdr:row>1</xdr:row>
      <xdr:rowOff>311150</xdr:rowOff>
    </xdr:to>
    <xdr:sp macro="" textlink="">
      <xdr:nvSpPr>
        <xdr:cNvPr id="8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50C4CFC2-ED41-77EA-CC53-F8EAC249D7BC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6</xdr:col>
      <xdr:colOff>348615</xdr:colOff>
      <xdr:row>1</xdr:row>
      <xdr:rowOff>12700</xdr:rowOff>
    </xdr:from>
    <xdr:to>
      <xdr:col>7</xdr:col>
      <xdr:colOff>597535</xdr:colOff>
      <xdr:row>1</xdr:row>
      <xdr:rowOff>311150</xdr:rowOff>
    </xdr:to>
    <xdr:sp macro="" textlink="">
      <xdr:nvSpPr>
        <xdr:cNvPr id="9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F5F50B76-746F-7C72-D035-3D3F1F198746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8</xdr:col>
      <xdr:colOff>64135</xdr:colOff>
      <xdr:row>1</xdr:row>
      <xdr:rowOff>12700</xdr:rowOff>
    </xdr:from>
    <xdr:to>
      <xdr:col>9</xdr:col>
      <xdr:colOff>549275</xdr:colOff>
      <xdr:row>1</xdr:row>
      <xdr:rowOff>311150</xdr:rowOff>
    </xdr:to>
    <xdr:sp macro="" textlink="">
      <xdr:nvSpPr>
        <xdr:cNvPr id="10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68E18ED6-6B97-2997-147D-41905319D006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10</xdr:col>
      <xdr:colOff>15875</xdr:colOff>
      <xdr:row>1</xdr:row>
      <xdr:rowOff>12700</xdr:rowOff>
    </xdr:from>
    <xdr:to>
      <xdr:col>11</xdr:col>
      <xdr:colOff>343535</xdr:colOff>
      <xdr:row>1</xdr:row>
      <xdr:rowOff>311150</xdr:rowOff>
    </xdr:to>
    <xdr:sp macro="" textlink="">
      <xdr:nvSpPr>
        <xdr:cNvPr id="11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7A169EA3-98B6-260E-DA24-A284DC13DD38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10</xdr:col>
      <xdr:colOff>66675</xdr:colOff>
      <xdr:row>1</xdr:row>
      <xdr:rowOff>285750</xdr:rowOff>
    </xdr:from>
    <xdr:to>
      <xdr:col>11</xdr:col>
      <xdr:colOff>292735</xdr:colOff>
      <xdr:row>2</xdr:row>
      <xdr:rowOff>0</xdr:rowOff>
    </xdr:to>
    <xdr:sp macro="" textlink="">
      <xdr:nvSpPr>
        <xdr:cNvPr id="12" name="nav_ativa">
          <a:extLst>
            <a:ext uri="{FF2B5EF4-FFF2-40B4-BE49-F238E27FC236}">
              <a16:creationId xmlns:a16="http://schemas.microsoft.com/office/drawing/2014/main" id="{2D664443-87E7-D053-335B-398994E98BBC}"/>
            </a:ext>
          </a:extLst>
        </xdr:cNvPr>
        <xdr:cNvSpPr/>
      </xdr:nvSpPr>
      <xdr:spPr>
        <a:xfrm>
          <a:off x="8039100" y="714375"/>
          <a:ext cx="83566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419735</xdr:colOff>
      <xdr:row>1</xdr:row>
      <xdr:rowOff>12700</xdr:rowOff>
    </xdr:from>
    <xdr:to>
      <xdr:col>13</xdr:col>
      <xdr:colOff>137795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7262E15A-3536-380D-8C9C-E81512A3A292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13</xdr:col>
      <xdr:colOff>213995</xdr:colOff>
      <xdr:row>1</xdr:row>
      <xdr:rowOff>12700</xdr:rowOff>
    </xdr:from>
    <xdr:to>
      <xdr:col>14</xdr:col>
      <xdr:colOff>541655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3E102E45-4B9A-87BB-2C2F-C51754702DE7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0</xdr:col>
      <xdr:colOff>828040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9F151B20-5F2B-FA78-0276-EEE9E78DD982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904240</xdr:colOff>
      <xdr:row>1</xdr:row>
      <xdr:rowOff>12700</xdr:rowOff>
    </xdr:from>
    <xdr:to>
      <xdr:col>0</xdr:col>
      <xdr:colOff>1762760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7F445551-3544-8BE9-BFFC-2DC610C79BA3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0</xdr:col>
      <xdr:colOff>1838960</xdr:colOff>
      <xdr:row>1</xdr:row>
      <xdr:rowOff>12700</xdr:rowOff>
    </xdr:from>
    <xdr:to>
      <xdr:col>1</xdr:col>
      <xdr:colOff>697230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5EEBACF5-3E3A-B4A1-7435-337D0BD0032D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</xdr:col>
      <xdr:colOff>773430</xdr:colOff>
      <xdr:row>1</xdr:row>
      <xdr:rowOff>12700</xdr:rowOff>
    </xdr:from>
    <xdr:to>
      <xdr:col>2</xdr:col>
      <xdr:colOff>250190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ACE85437-A646-FE53-B669-54078DF6546C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2</xdr:col>
      <xdr:colOff>326390</xdr:colOff>
      <xdr:row>1</xdr:row>
      <xdr:rowOff>12700</xdr:rowOff>
    </xdr:from>
    <xdr:to>
      <xdr:col>2</xdr:col>
      <xdr:colOff>948690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4424A325-592E-163C-5900-51C181E5862C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2</xdr:col>
      <xdr:colOff>1024890</xdr:colOff>
      <xdr:row>1</xdr:row>
      <xdr:rowOff>12700</xdr:rowOff>
    </xdr:from>
    <xdr:to>
      <xdr:col>2</xdr:col>
      <xdr:colOff>1804670</xdr:colOff>
      <xdr:row>1</xdr:row>
      <xdr:rowOff>311150</xdr:rowOff>
    </xdr:to>
    <xdr:sp macro="" textlink="">
      <xdr:nvSpPr>
        <xdr:cNvPr id="7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D8CC893A-E4D3-44AC-ADCF-4CFC0B3C2902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2</xdr:col>
      <xdr:colOff>1880870</xdr:colOff>
      <xdr:row>1</xdr:row>
      <xdr:rowOff>12700</xdr:rowOff>
    </xdr:from>
    <xdr:to>
      <xdr:col>2</xdr:col>
      <xdr:colOff>2739390</xdr:colOff>
      <xdr:row>1</xdr:row>
      <xdr:rowOff>311150</xdr:rowOff>
    </xdr:to>
    <xdr:sp macro="" textlink="">
      <xdr:nvSpPr>
        <xdr:cNvPr id="8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018ABDB2-E104-E9CF-74B2-0708055400BB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2</xdr:col>
      <xdr:colOff>2815590</xdr:colOff>
      <xdr:row>1</xdr:row>
      <xdr:rowOff>12700</xdr:rowOff>
    </xdr:from>
    <xdr:to>
      <xdr:col>4</xdr:col>
      <xdr:colOff>130810</xdr:colOff>
      <xdr:row>1</xdr:row>
      <xdr:rowOff>311150</xdr:rowOff>
    </xdr:to>
    <xdr:sp macro="" textlink="">
      <xdr:nvSpPr>
        <xdr:cNvPr id="9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3571F12E-D408-7274-0B03-5AD4CE55D40E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4</xdr:col>
      <xdr:colOff>207010</xdr:colOff>
      <xdr:row>1</xdr:row>
      <xdr:rowOff>12700</xdr:rowOff>
    </xdr:from>
    <xdr:to>
      <xdr:col>6</xdr:col>
      <xdr:colOff>82550</xdr:colOff>
      <xdr:row>1</xdr:row>
      <xdr:rowOff>311150</xdr:rowOff>
    </xdr:to>
    <xdr:sp macro="" textlink="">
      <xdr:nvSpPr>
        <xdr:cNvPr id="10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AB7266BE-E63E-00CA-6BAF-4DAA8D93F894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158750</xdr:colOff>
      <xdr:row>1</xdr:row>
      <xdr:rowOff>12700</xdr:rowOff>
    </xdr:from>
    <xdr:to>
      <xdr:col>7</xdr:col>
      <xdr:colOff>486410</xdr:colOff>
      <xdr:row>1</xdr:row>
      <xdr:rowOff>311150</xdr:rowOff>
    </xdr:to>
    <xdr:sp macro="" textlink="">
      <xdr:nvSpPr>
        <xdr:cNvPr id="11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1FC16B5B-9DEC-3FD6-8CFF-8458B8B7448A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7</xdr:col>
      <xdr:colOff>562610</xdr:colOff>
      <xdr:row>1</xdr:row>
      <xdr:rowOff>12700</xdr:rowOff>
    </xdr:from>
    <xdr:to>
      <xdr:col>9</xdr:col>
      <xdr:colOff>280670</xdr:colOff>
      <xdr:row>1</xdr:row>
      <xdr:rowOff>311150</xdr:rowOff>
    </xdr:to>
    <xdr:sp macro="" textlink="">
      <xdr:nvSpPr>
        <xdr:cNvPr id="12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B930612D-CAB5-28BA-6CB6-155401EE1F96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8</xdr:col>
      <xdr:colOff>3810</xdr:colOff>
      <xdr:row>1</xdr:row>
      <xdr:rowOff>285750</xdr:rowOff>
    </xdr:from>
    <xdr:to>
      <xdr:col>9</xdr:col>
      <xdr:colOff>229870</xdr:colOff>
      <xdr:row>2</xdr:row>
      <xdr:rowOff>0</xdr:rowOff>
    </xdr:to>
    <xdr:sp macro="" textlink="">
      <xdr:nvSpPr>
        <xdr:cNvPr id="13" name="nav_ativa">
          <a:extLst>
            <a:ext uri="{FF2B5EF4-FFF2-40B4-BE49-F238E27FC236}">
              <a16:creationId xmlns:a16="http://schemas.microsoft.com/office/drawing/2014/main" id="{FA4BD896-E544-9FF5-CFBE-E80FBAE7D561}"/>
            </a:ext>
          </a:extLst>
        </xdr:cNvPr>
        <xdr:cNvSpPr/>
      </xdr:nvSpPr>
      <xdr:spPr>
        <a:xfrm>
          <a:off x="9052560" y="714375"/>
          <a:ext cx="83566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356870</xdr:colOff>
      <xdr:row>1</xdr:row>
      <xdr:rowOff>12700</xdr:rowOff>
    </xdr:from>
    <xdr:to>
      <xdr:col>11</xdr:col>
      <xdr:colOff>74930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6E49B704-46F2-5735-DC10-208940F96B4A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94615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3410293E-0738-DD20-961C-8C5F2E608BD9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170815</xdr:colOff>
      <xdr:row>1</xdr:row>
      <xdr:rowOff>12700</xdr:rowOff>
    </xdr:from>
    <xdr:to>
      <xdr:col>1</xdr:col>
      <xdr:colOff>1029335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FE867FCF-0C11-6F08-1DCF-D1AAEDA76BC7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1</xdr:col>
      <xdr:colOff>1105535</xdr:colOff>
      <xdr:row>1</xdr:row>
      <xdr:rowOff>12700</xdr:rowOff>
    </xdr:from>
    <xdr:to>
      <xdr:col>2</xdr:col>
      <xdr:colOff>363855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A26E997D-C76C-46DF-1A3A-4288294FB9CF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2</xdr:col>
      <xdr:colOff>440055</xdr:colOff>
      <xdr:row>1</xdr:row>
      <xdr:rowOff>12700</xdr:rowOff>
    </xdr:from>
    <xdr:to>
      <xdr:col>2</xdr:col>
      <xdr:colOff>983615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AFBA2777-E19B-5931-BB40-E026FD790EF7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2</xdr:col>
      <xdr:colOff>1059815</xdr:colOff>
      <xdr:row>1</xdr:row>
      <xdr:rowOff>12700</xdr:rowOff>
    </xdr:from>
    <xdr:to>
      <xdr:col>2</xdr:col>
      <xdr:colOff>1682115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2140C970-5505-07EE-1046-8D3D4DABDF7D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2</xdr:col>
      <xdr:colOff>1758315</xdr:colOff>
      <xdr:row>1</xdr:row>
      <xdr:rowOff>12700</xdr:rowOff>
    </xdr:from>
    <xdr:to>
      <xdr:col>2</xdr:col>
      <xdr:colOff>2538095</xdr:colOff>
      <xdr:row>1</xdr:row>
      <xdr:rowOff>311150</xdr:rowOff>
    </xdr:to>
    <xdr:sp macro="" textlink="">
      <xdr:nvSpPr>
        <xdr:cNvPr id="7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603EECC3-2231-E0C1-E3E7-62FEF6506621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2</xdr:col>
      <xdr:colOff>2614295</xdr:colOff>
      <xdr:row>1</xdr:row>
      <xdr:rowOff>12700</xdr:rowOff>
    </xdr:from>
    <xdr:to>
      <xdr:col>2</xdr:col>
      <xdr:colOff>3472815</xdr:colOff>
      <xdr:row>1</xdr:row>
      <xdr:rowOff>311150</xdr:rowOff>
    </xdr:to>
    <xdr:sp macro="" textlink="">
      <xdr:nvSpPr>
        <xdr:cNvPr id="8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79DF29FD-42E5-344C-D77D-2C00050AE30C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2</xdr:col>
      <xdr:colOff>3549015</xdr:colOff>
      <xdr:row>1</xdr:row>
      <xdr:rowOff>12700</xdr:rowOff>
    </xdr:from>
    <xdr:to>
      <xdr:col>2</xdr:col>
      <xdr:colOff>4407535</xdr:colOff>
      <xdr:row>1</xdr:row>
      <xdr:rowOff>311150</xdr:rowOff>
    </xdr:to>
    <xdr:sp macro="" textlink="">
      <xdr:nvSpPr>
        <xdr:cNvPr id="9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0DA80CD0-22DC-93E0-5ED5-AE28F9E8C8F6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2</xdr:col>
      <xdr:colOff>4483735</xdr:colOff>
      <xdr:row>1</xdr:row>
      <xdr:rowOff>12700</xdr:rowOff>
    </xdr:from>
    <xdr:to>
      <xdr:col>2</xdr:col>
      <xdr:colOff>5578475</xdr:colOff>
      <xdr:row>1</xdr:row>
      <xdr:rowOff>311150</xdr:rowOff>
    </xdr:to>
    <xdr:sp macro="" textlink="">
      <xdr:nvSpPr>
        <xdr:cNvPr id="10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892D064C-E480-566F-9E37-870F2F079D3A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2</xdr:col>
      <xdr:colOff>5654675</xdr:colOff>
      <xdr:row>1</xdr:row>
      <xdr:rowOff>12700</xdr:rowOff>
    </xdr:from>
    <xdr:to>
      <xdr:col>2</xdr:col>
      <xdr:colOff>6591935</xdr:colOff>
      <xdr:row>1</xdr:row>
      <xdr:rowOff>311150</xdr:rowOff>
    </xdr:to>
    <xdr:sp macro="" textlink="">
      <xdr:nvSpPr>
        <xdr:cNvPr id="11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4816A760-F58A-D3F0-6F59-4A24B59CA145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3</xdr:col>
      <xdr:colOff>635</xdr:colOff>
      <xdr:row>1</xdr:row>
      <xdr:rowOff>12700</xdr:rowOff>
    </xdr:from>
    <xdr:to>
      <xdr:col>4</xdr:col>
      <xdr:colOff>328295</xdr:colOff>
      <xdr:row>1</xdr:row>
      <xdr:rowOff>311150</xdr:rowOff>
    </xdr:to>
    <xdr:sp macro="" textlink="">
      <xdr:nvSpPr>
        <xdr:cNvPr id="12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C7842D74-30C8-A9A9-EDBD-635190F30DEA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4</xdr:col>
      <xdr:colOff>404495</xdr:colOff>
      <xdr:row>1</xdr:row>
      <xdr:rowOff>12700</xdr:rowOff>
    </xdr:from>
    <xdr:to>
      <xdr:col>6</xdr:col>
      <xdr:colOff>122555</xdr:colOff>
      <xdr:row>1</xdr:row>
      <xdr:rowOff>311150</xdr:rowOff>
    </xdr:to>
    <xdr:sp macro="" textlink="">
      <xdr:nvSpPr>
        <xdr:cNvPr id="13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B1F15476-CDF0-7066-25CC-6ABE33D5326A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 editAs="absolute">
    <xdr:from>
      <xdr:col>4</xdr:col>
      <xdr:colOff>455295</xdr:colOff>
      <xdr:row>1</xdr:row>
      <xdr:rowOff>285750</xdr:rowOff>
    </xdr:from>
    <xdr:to>
      <xdr:col>6</xdr:col>
      <xdr:colOff>71755</xdr:colOff>
      <xdr:row>2</xdr:row>
      <xdr:rowOff>0</xdr:rowOff>
    </xdr:to>
    <xdr:sp macro="" textlink="">
      <xdr:nvSpPr>
        <xdr:cNvPr id="14" name="nav_ativa">
          <a:extLst>
            <a:ext uri="{FF2B5EF4-FFF2-40B4-BE49-F238E27FC236}">
              <a16:creationId xmlns:a16="http://schemas.microsoft.com/office/drawing/2014/main" id="{1E89A84F-ABF2-2A6D-2A57-D7442E2A9291}"/>
            </a:ext>
          </a:extLst>
        </xdr:cNvPr>
        <xdr:cNvSpPr/>
      </xdr:nvSpPr>
      <xdr:spPr>
        <a:xfrm>
          <a:off x="10066020" y="714375"/>
          <a:ext cx="83566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theus vinicius" refreshedDate="46295.009458564811" createdVersion="6" refreshedVersion="8" minRefreshableVersion="3" recordCount="16" xr:uid="{311E7CF7-CE71-4AB6-ACFD-8205AF026F89}">
  <cacheSource type="worksheet">
    <worksheetSource name="tCarteira"/>
  </cacheSource>
  <cacheFields count="29">
    <cacheField name="Ticker" numFmtId="0">
      <sharedItems count="16">
        <s v="VALE3"/>
        <s v="TAEE11"/>
        <s v="PETR4"/>
        <s v="BBAS3"/>
        <s v="BRBI11"/>
        <s v="BBDC4"/>
        <s v="ITSA4"/>
        <s v="CMIG4"/>
        <s v="FIQE3"/>
        <s v="KLBN11"/>
        <s v="MXRF11"/>
        <s v="BRCR11"/>
        <s v="XPLG11"/>
        <s v="XPML11"/>
        <s v="SNAG11"/>
        <s v="CPTS11"/>
      </sharedItems>
    </cacheField>
    <cacheField name="Tipo" numFmtId="0">
      <sharedItems count="2">
        <s v="AÇÃO"/>
        <s v="FII"/>
      </sharedItems>
    </cacheField>
    <cacheField name="Qtd atual" numFmtId="167">
      <sharedItems containsSemiMixedTypes="0" containsString="0" containsNumber="1" containsInteger="1" minValue="0" maxValue="0"/>
    </cacheField>
    <cacheField name="Preço médio (R$)" numFmtId="164">
      <sharedItems containsSemiMixedTypes="0" containsString="0" containsNumber="1" containsInteger="1" minValue="0" maxValue="0"/>
    </cacheField>
    <cacheField name="Valor investido (R$)" numFmtId="164">
      <sharedItems containsSemiMixedTypes="0" containsString="0" containsNumber="1" containsInteger="1" minValue="0" maxValue="0"/>
    </cacheField>
    <cacheField name="Cotação (R$)" numFmtId="164">
      <sharedItems containsSemiMixedTypes="0" containsString="0" containsNumber="1" minValue="4.92" maxValue="99.17"/>
    </cacheField>
    <cacheField name="Posição atual (R$)" numFmtId="164">
      <sharedItems containsSemiMixedTypes="0" containsString="0" containsNumber="1" containsInteger="1" minValue="0" maxValue="0"/>
    </cacheField>
    <cacheField name="Lucro / prejuízo (R$)" numFmtId="164">
      <sharedItems containsSemiMixedTypes="0" containsString="0" containsNumber="1" containsInteger="1" minValue="0" maxValue="0"/>
    </cacheField>
    <cacheField name="Valorização" numFmtId="165">
      <sharedItems containsSemiMixedTypes="0" containsString="0" containsNumber="1" containsInteger="1" minValue="0" maxValue="0"/>
    </cacheField>
    <cacheField name="Proventos recebidos (R$)" numFmtId="164">
      <sharedItems containsSemiMixedTypes="0" containsString="0" containsNumber="1" containsInteger="1" minValue="0" maxValue="0"/>
    </cacheField>
    <cacheField name="Proventos 12m (R$)" numFmtId="164">
      <sharedItems containsSemiMixedTypes="0" containsString="0" containsNumber="1" containsInteger="1" minValue="0" maxValue="0"/>
    </cacheField>
    <cacheField name="Retorno total (R$)" numFmtId="164">
      <sharedItems containsSemiMixedTypes="0" containsString="0" containsNumber="1" containsInteger="1" minValue="0" maxValue="0"/>
    </cacheField>
    <cacheField name="Retorno total %" numFmtId="165">
      <sharedItems containsSemiMixedTypes="0" containsString="0" containsNumber="1" containsInteger="1" minValue="0" maxValue="0"/>
    </cacheField>
    <cacheField name="Yield on cost" numFmtId="165">
      <sharedItems containsSemiMixedTypes="0" containsString="0" containsNumber="1" containsInteger="1" minValue="0" maxValue="0"/>
    </cacheField>
    <cacheField name="DY atual" numFmtId="165">
      <sharedItems containsSemiMixedTypes="0" containsString="0" containsNumber="1" minValue="3.0479292694276412E-2" maxValue="0.16106014271151886"/>
    </cacheField>
    <cacheField name="Peso atual" numFmtId="165">
      <sharedItems containsSemiMixedTypes="0" containsString="0" containsNumber="1" containsInteger="1" minValue="0" maxValue="0"/>
    </cacheField>
    <cacheField name="Peso ideal" numFmtId="165">
      <sharedItems containsSemiMixedTypes="0" containsString="0" containsNumber="1" minValue="0.04" maxValue="0.1"/>
    </cacheField>
    <cacheField name="Desvio do peso" numFmtId="165">
      <sharedItems containsSemiMixedTypes="0" containsString="0" containsNumber="1" minValue="-0.1" maxValue="-0.04"/>
    </cacheField>
    <cacheField name="Aporte p/ peso ideal (R$)" numFmtId="164">
      <sharedItems containsSemiMixedTypes="0" containsString="0" containsNumber="1" containsInteger="1" minValue="0" maxValue="0"/>
    </cacheField>
    <cacheField name="Provento 12m por cota (R$)" numFmtId="164">
      <sharedItems containsSemiMixedTypes="0" containsString="0" containsNumber="1" minValue="0.65500000000000003" maxValue="11.0694"/>
    </cacheField>
    <cacheField name="Provento mensal por cota (R$)" numFmtId="168">
      <sharedItems containsSemiMixedTypes="0" containsString="0" containsNumber="1" minValue="5.4583333333333338E-2" maxValue="0.92244999999999999"/>
    </cacheField>
    <cacheField name="Renda mensal (R$)" numFmtId="164">
      <sharedItems containsSemiMixedTypes="0" containsString="0" containsNumber="1" containsInteger="1" minValue="0" maxValue="0"/>
    </cacheField>
    <cacheField name="% da meta" numFmtId="165">
      <sharedItems containsSemiMixedTypes="0" containsString="0" containsNumber="1" containsInteger="1" minValue="0" maxValue="0"/>
    </cacheField>
    <cacheField name="Cotas p/ meta" numFmtId="167">
      <sharedItems containsSemiMixedTypes="0" containsString="0" containsNumber="1" containsInteger="1" minValue="1192" maxValue="20135"/>
    </cacheField>
    <cacheField name="Cotas faltantes" numFmtId="167">
      <sharedItems containsSemiMixedTypes="0" containsString="0" containsNumber="1" containsInteger="1" minValue="1192" maxValue="20135"/>
    </cacheField>
    <cacheField name="Aporte p/ meta (R$)" numFmtId="166">
      <sharedItems containsSemiMixedTypes="0" containsString="0" containsNumber="1" minValue="81884.070000000007" maxValue="432701.14999999997"/>
    </cacheField>
    <cacheField name="Meses p/ meta" numFmtId="169">
      <sharedItems containsSemiMixedTypes="0" containsString="0" containsNumber="1" containsInteger="1" minValue="28" maxValue="145"/>
    </cacheField>
    <cacheField name="Segmento" numFmtId="0">
      <sharedItems/>
    </cacheField>
    <cacheField name="No filtro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 pivotCacheId="203635093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theus vinicius" refreshedDate="46295.009510416668" createdVersion="6" refreshedVersion="8" minRefreshableVersion="3" recordCount="1" xr:uid="{8C506968-D074-41F8-94FC-09B4762D5D65}">
  <cacheSource type="worksheet">
    <worksheetSource name="tProventos"/>
  </cacheSource>
  <cacheFields count="6">
    <cacheField name="Data pagamento" numFmtId="0">
      <sharedItems containsNonDate="0" containsString="0" containsBlank="1"/>
    </cacheField>
    <cacheField name="Ticker" numFmtId="0">
      <sharedItems containsNonDate="0" containsString="0" containsBlank="1" count="1">
        <m/>
      </sharedItems>
    </cacheField>
    <cacheField name="Tipo" numFmtId="0">
      <sharedItems containsNonDate="0" containsString="0" containsBlank="1" count="1">
        <m/>
      </sharedItems>
    </cacheField>
    <cacheField name="Valor por cota (R$)" numFmtId="0">
      <sharedItems containsNonDate="0" containsString="0" containsBlank="1"/>
    </cacheField>
    <cacheField name="Qtd de cotas" numFmtId="0">
      <sharedItems containsNonDate="0" containsString="0" containsBlank="1"/>
    </cacheField>
    <cacheField name="Total (R$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theus vinicius" refreshedDate="46295.009529050927" createdVersion="6" refreshedVersion="8" minRefreshableVersion="3" recordCount="1" xr:uid="{6AB79876-E8FF-48D1-9EBD-BF803E51630E}">
  <cacheSource type="worksheet">
    <worksheetSource name="tLancamentos"/>
  </cacheSource>
  <cacheFields count="7">
    <cacheField name="Data" numFmtId="0">
      <sharedItems containsNonDate="0" containsString="0" containsBlank="1"/>
    </cacheField>
    <cacheField name="Ticker" numFmtId="0">
      <sharedItems containsNonDate="0" containsString="0" containsBlank="1" count="1">
        <m/>
      </sharedItems>
    </cacheField>
    <cacheField name="Operação" numFmtId="0">
      <sharedItems containsNonDate="0" containsString="0" containsBlank="1" count="1">
        <m/>
      </sharedItems>
    </cacheField>
    <cacheField name="Quantidade" numFmtId="0">
      <sharedItems containsNonDate="0" containsString="0" containsBlank="1"/>
    </cacheField>
    <cacheField name="Preço (R$)" numFmtId="0">
      <sharedItems containsNonDate="0" containsString="0" containsBlank="1"/>
    </cacheField>
    <cacheField name="Custos (R$)" numFmtId="0">
      <sharedItems containsNonDate="0" containsString="0" containsBlank="1"/>
    </cacheField>
    <cacheField name="Total (R$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n v="0"/>
    <n v="0"/>
    <n v="0"/>
    <n v="71.16"/>
    <n v="0"/>
    <n v="0"/>
    <n v="0"/>
    <n v="0"/>
    <n v="0"/>
    <n v="0"/>
    <n v="0"/>
    <n v="0"/>
    <n v="7.8871557054525018E-2"/>
    <n v="0"/>
    <n v="0.1"/>
    <n v="-0.1"/>
    <n v="0"/>
    <n v="5.6124999999999998"/>
    <n v="0.46770833333333334"/>
    <n v="0"/>
    <n v="0"/>
    <n v="2350"/>
    <n v="2350"/>
    <n v="167226"/>
    <n v="56"/>
    <s v="Mineração"/>
    <n v="1"/>
  </r>
  <r>
    <x v="1"/>
    <x v="0"/>
    <n v="0"/>
    <n v="0"/>
    <n v="0"/>
    <n v="40.22"/>
    <n v="0"/>
    <n v="0"/>
    <n v="0"/>
    <n v="0"/>
    <n v="0"/>
    <n v="0"/>
    <n v="0"/>
    <n v="0"/>
    <n v="7.4751367478866237E-2"/>
    <n v="0"/>
    <n v="0.05"/>
    <n v="-0.05"/>
    <n v="0"/>
    <n v="3.0065"/>
    <n v="0.25054166666666666"/>
    <n v="0"/>
    <n v="0"/>
    <n v="4387"/>
    <n v="4387"/>
    <n v="176445.13999999998"/>
    <n v="59"/>
    <s v="Energia – Transmissão"/>
    <n v="1"/>
  </r>
  <r>
    <x v="2"/>
    <x v="0"/>
    <n v="0"/>
    <n v="0"/>
    <n v="0"/>
    <n v="48.72"/>
    <n v="0"/>
    <n v="0"/>
    <n v="0"/>
    <n v="0"/>
    <n v="0"/>
    <n v="0"/>
    <n v="0"/>
    <n v="0"/>
    <n v="7.5211412151067317E-2"/>
    <n v="0"/>
    <n v="7.0000000000000007E-2"/>
    <n v="-7.0000000000000007E-2"/>
    <n v="0"/>
    <n v="3.6642999999999999"/>
    <n v="0.30535833333333334"/>
    <n v="0"/>
    <n v="0"/>
    <n v="3600"/>
    <n v="3600"/>
    <n v="175392"/>
    <n v="59"/>
    <s v="Petróleo &amp; Gás"/>
    <n v="1"/>
  </r>
  <r>
    <x v="3"/>
    <x v="0"/>
    <n v="0"/>
    <n v="0"/>
    <n v="0"/>
    <n v="21.49"/>
    <n v="0"/>
    <n v="0"/>
    <n v="0"/>
    <n v="0"/>
    <n v="0"/>
    <n v="0"/>
    <n v="0"/>
    <n v="0"/>
    <n v="3.0479292694276412E-2"/>
    <n v="0"/>
    <n v="0.06"/>
    <n v="-0.06"/>
    <n v="0"/>
    <n v="0.65500000000000003"/>
    <n v="5.4583333333333338E-2"/>
    <n v="0"/>
    <n v="0"/>
    <n v="20135"/>
    <n v="20135"/>
    <n v="432701.14999999997"/>
    <n v="145"/>
    <s v="Bancos"/>
    <n v="1"/>
  </r>
  <r>
    <x v="4"/>
    <x v="0"/>
    <n v="0"/>
    <n v="0"/>
    <n v="0"/>
    <n v="14.5"/>
    <n v="0"/>
    <n v="0"/>
    <n v="0"/>
    <n v="0"/>
    <n v="0"/>
    <n v="0"/>
    <n v="0"/>
    <n v="0"/>
    <n v="9.5172413793103441E-2"/>
    <n v="0"/>
    <n v="0.05"/>
    <n v="-0.05"/>
    <n v="0"/>
    <n v="1.38"/>
    <n v="0.11499999999999999"/>
    <n v="0"/>
    <n v="0"/>
    <n v="9557"/>
    <n v="9557"/>
    <n v="138576.5"/>
    <n v="47"/>
    <s v="Banco de investimento"/>
    <n v="1"/>
  </r>
  <r>
    <x v="5"/>
    <x v="0"/>
    <n v="0"/>
    <n v="0"/>
    <n v="0"/>
    <n v="17.66"/>
    <n v="0"/>
    <n v="0"/>
    <n v="0"/>
    <n v="0"/>
    <n v="0"/>
    <n v="0"/>
    <n v="0"/>
    <n v="0"/>
    <n v="8.7927519818799538E-2"/>
    <n v="0"/>
    <n v="0.05"/>
    <n v="-0.05"/>
    <n v="0"/>
    <n v="1.5528"/>
    <n v="0.12939999999999999"/>
    <n v="0"/>
    <n v="0"/>
    <n v="8494"/>
    <n v="8494"/>
    <n v="150004.04"/>
    <n v="51"/>
    <s v="Bancos"/>
    <n v="1"/>
  </r>
  <r>
    <x v="6"/>
    <x v="0"/>
    <n v="0"/>
    <n v="0"/>
    <n v="0"/>
    <n v="13.95"/>
    <n v="0"/>
    <n v="0"/>
    <n v="0"/>
    <n v="0"/>
    <n v="0"/>
    <n v="0"/>
    <n v="0"/>
    <n v="0"/>
    <n v="8.0845878136200713E-2"/>
    <n v="0"/>
    <n v="0.1"/>
    <n v="-0.1"/>
    <n v="0"/>
    <n v="1.1277999999999999"/>
    <n v="9.3983333333333322E-2"/>
    <n v="0"/>
    <n v="0"/>
    <n v="11694"/>
    <n v="11694"/>
    <n v="163131.29999999999"/>
    <n v="55"/>
    <s v="Holding – Bancos"/>
    <n v="1"/>
  </r>
  <r>
    <x v="7"/>
    <x v="0"/>
    <n v="0"/>
    <n v="0"/>
    <n v="0"/>
    <n v="10.84"/>
    <n v="0"/>
    <n v="0"/>
    <n v="0"/>
    <n v="0"/>
    <n v="0"/>
    <n v="0"/>
    <n v="0"/>
    <n v="0"/>
    <n v="0.12460332103321034"/>
    <n v="0"/>
    <n v="0.1"/>
    <n v="-0.1"/>
    <n v="0"/>
    <n v="1.3507"/>
    <n v="0.11255833333333333"/>
    <n v="0"/>
    <n v="0"/>
    <n v="9764"/>
    <n v="9764"/>
    <n v="105841.76"/>
    <n v="36"/>
    <s v="Energia – Utilities"/>
    <n v="1"/>
  </r>
  <r>
    <x v="8"/>
    <x v="0"/>
    <n v="0"/>
    <n v="0"/>
    <n v="0"/>
    <n v="4.92"/>
    <n v="0"/>
    <n v="0"/>
    <n v="0"/>
    <n v="0"/>
    <n v="0"/>
    <n v="0"/>
    <n v="0"/>
    <n v="0"/>
    <n v="0.13861788617886181"/>
    <n v="0"/>
    <n v="0.05"/>
    <n v="-0.05"/>
    <n v="0"/>
    <n v="0.68200000000000005"/>
    <n v="5.683333333333334E-2"/>
    <n v="0"/>
    <n v="0"/>
    <n v="19338"/>
    <n v="19338"/>
    <n v="95142.959999999992"/>
    <n v="32"/>
    <s v="Telecom / Tecnologia"/>
    <n v="1"/>
  </r>
  <r>
    <x v="9"/>
    <x v="0"/>
    <n v="0"/>
    <n v="0"/>
    <n v="0"/>
    <n v="18.309999999999999"/>
    <n v="0"/>
    <n v="0"/>
    <n v="0"/>
    <n v="0"/>
    <n v="0"/>
    <n v="0"/>
    <n v="0"/>
    <n v="0"/>
    <n v="6.3413435281267069E-2"/>
    <n v="0"/>
    <n v="7.0000000000000007E-2"/>
    <n v="-7.0000000000000007E-2"/>
    <n v="0"/>
    <n v="1.1611"/>
    <n v="9.6758333333333335E-2"/>
    <n v="0"/>
    <n v="0"/>
    <n v="11359"/>
    <n v="11359"/>
    <n v="207983.28999999998"/>
    <n v="70"/>
    <s v="Papel &amp; Celulose"/>
    <n v="1"/>
  </r>
  <r>
    <x v="10"/>
    <x v="1"/>
    <n v="0"/>
    <n v="0"/>
    <n v="0"/>
    <n v="9.08"/>
    <n v="0"/>
    <n v="0"/>
    <n v="0"/>
    <n v="0"/>
    <n v="0"/>
    <n v="0"/>
    <n v="0"/>
    <n v="0"/>
    <n v="0.13153083700440527"/>
    <n v="0"/>
    <n v="0.05"/>
    <n v="-0.05"/>
    <n v="0"/>
    <n v="1.1942999999999999"/>
    <n v="9.9524999999999988E-2"/>
    <n v="0"/>
    <n v="0"/>
    <n v="11043"/>
    <n v="11043"/>
    <n v="100270.44"/>
    <n v="34"/>
    <s v="Papel (recebíveis)"/>
    <n v="1"/>
  </r>
  <r>
    <x v="11"/>
    <x v="1"/>
    <n v="0"/>
    <n v="0"/>
    <n v="0"/>
    <n v="41.31"/>
    <n v="0"/>
    <n v="0"/>
    <n v="0"/>
    <n v="0"/>
    <n v="0"/>
    <n v="0"/>
    <n v="0"/>
    <n v="0"/>
    <n v="0.11909949164851125"/>
    <n v="0"/>
    <n v="0.04"/>
    <n v="-0.04"/>
    <n v="0"/>
    <n v="4.92"/>
    <n v="0.41"/>
    <n v="0"/>
    <n v="0"/>
    <n v="2681"/>
    <n v="2681"/>
    <n v="110752.11"/>
    <n v="37"/>
    <s v="Lajes corporativas"/>
    <n v="1"/>
  </r>
  <r>
    <x v="12"/>
    <x v="1"/>
    <n v="0"/>
    <n v="0"/>
    <n v="0"/>
    <n v="92.54"/>
    <n v="0"/>
    <n v="0"/>
    <n v="0"/>
    <n v="0"/>
    <n v="0"/>
    <n v="0"/>
    <n v="0"/>
    <n v="0"/>
    <n v="0.10633239680138318"/>
    <n v="0"/>
    <n v="0.06"/>
    <n v="-0.06"/>
    <n v="0"/>
    <n v="9.84"/>
    <n v="0.82"/>
    <n v="0"/>
    <n v="0"/>
    <n v="1341"/>
    <n v="1341"/>
    <n v="124096.14000000001"/>
    <n v="42"/>
    <s v="Logística"/>
    <n v="1"/>
  </r>
  <r>
    <x v="13"/>
    <x v="1"/>
    <n v="0"/>
    <n v="0"/>
    <n v="0"/>
    <n v="99.17"/>
    <n v="0"/>
    <n v="0"/>
    <n v="0"/>
    <n v="0"/>
    <n v="0"/>
    <n v="0"/>
    <n v="0"/>
    <n v="0"/>
    <n v="0.11162044973278208"/>
    <n v="0"/>
    <n v="0.05"/>
    <n v="-0.05"/>
    <n v="0"/>
    <n v="11.0694"/>
    <n v="0.92244999999999999"/>
    <n v="0"/>
    <n v="0"/>
    <n v="1192"/>
    <n v="1192"/>
    <n v="118210.64"/>
    <n v="40"/>
    <s v="Shopping"/>
    <n v="1"/>
  </r>
  <r>
    <x v="14"/>
    <x v="1"/>
    <n v="0"/>
    <n v="0"/>
    <n v="0"/>
    <n v="9.81"/>
    <n v="0"/>
    <n v="0"/>
    <n v="0"/>
    <n v="0"/>
    <n v="0"/>
    <n v="0"/>
    <n v="0"/>
    <n v="0"/>
    <n v="0.16106014271151886"/>
    <n v="0"/>
    <n v="0.06"/>
    <n v="-0.06"/>
    <n v="0"/>
    <n v="1.58"/>
    <n v="0.13166666666666668"/>
    <n v="0"/>
    <n v="0"/>
    <n v="8347"/>
    <n v="8347"/>
    <n v="81884.070000000007"/>
    <n v="28"/>
    <s v="Fiagro"/>
    <n v="1"/>
  </r>
  <r>
    <x v="15"/>
    <x v="1"/>
    <n v="0"/>
    <n v="0"/>
    <n v="0"/>
    <n v="7.42"/>
    <n v="0"/>
    <n v="0"/>
    <n v="0"/>
    <n v="0"/>
    <n v="0"/>
    <n v="0"/>
    <n v="0"/>
    <n v="0"/>
    <n v="0.14555256064690028"/>
    <n v="0"/>
    <n v="0.04"/>
    <n v="-0.04"/>
    <n v="0"/>
    <n v="1.08"/>
    <n v="9.0000000000000011E-2"/>
    <n v="0"/>
    <n v="0"/>
    <n v="12212"/>
    <n v="12212"/>
    <n v="90613.04"/>
    <n v="31"/>
    <s v="Híbrido (papel)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B5B278-5620-49E8-A5BB-A0EE107A4B06}" name="ptLancamentos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G31:I34" firstHeaderRow="1" firstDataRow="2" firstDataCol="1"/>
  <pivotFields count="7">
    <pivotField compact="0" outline="0" showAll="0"/>
    <pivotField axis="axisRow" compact="0" outline="0" showAll="0">
      <items count="2">
        <item x="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1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dataFields count="1">
    <dataField name="Valor movimentado" fld="6" baseField="0" baseItem="0" numFmtId="19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B48F5-7C24-4D8F-8ADC-AA175ECCB33B}" name="ptProventos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31:B33" firstHeaderRow="1" firstDataRow="1" firstDataCol="1" rowPageCount="1" colPageCount="1"/>
  <pivotFields count="6">
    <pivotField compact="0" outline="0" showAll="0"/>
    <pivotField axis="axisRow" compact="0" outline="0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>
      <items count="2"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1"/>
  </rowFields>
  <rowItems count="2">
    <i>
      <x/>
    </i>
    <i t="grand">
      <x/>
    </i>
  </rowItems>
  <colItems count="1">
    <i/>
  </colItems>
  <pageFields count="1">
    <pageField fld="2" hier="-1"/>
  </pageFields>
  <dataFields count="1">
    <dataField name="Proventos recebidos" fld="5" baseField="0" baseItem="0" numFmtId="19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D4325-6655-464B-9D2B-18CCADCE9B94}" name="ptGrafico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 chartFormat="1">
  <location ref="R7:S24" firstHeaderRow="1" firstDataRow="1" firstDataCol="1"/>
  <pivotFields count="29">
    <pivotField axis="axisRow" compact="0" outline="0" showAll="0" sortType="descending">
      <items count="17">
        <item x="3"/>
        <item x="5"/>
        <item x="4"/>
        <item x="11"/>
        <item x="7"/>
        <item x="15"/>
        <item x="8"/>
        <item x="6"/>
        <item x="9"/>
        <item x="10"/>
        <item x="2"/>
        <item x="14"/>
        <item x="1"/>
        <item x="0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">
        <item x="0"/>
        <item x="1"/>
        <item t="default"/>
      </items>
    </pivotField>
    <pivotField compact="0" numFmtId="167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compact="0" numFmtId="164" outline="0" showAll="0"/>
    <pivotField compact="0" numFmtId="165" outline="0" showAll="0"/>
    <pivotField compact="0" numFmtId="164" outline="0" showAll="0"/>
    <pivotField compact="0" numFmtId="164" outline="0" showAll="0"/>
    <pivotField compact="0" numFmtId="164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4" outline="0" showAll="0"/>
    <pivotField compact="0" numFmtId="164" outline="0" showAll="0"/>
    <pivotField compact="0" numFmtId="168" outline="0" showAll="0"/>
    <pivotField compact="0" numFmtId="164" outline="0" showAll="0"/>
    <pivotField compact="0" numFmtId="165" outline="0" showAll="0"/>
    <pivotField compact="0" numFmtId="167" outline="0" showAll="0"/>
    <pivotField compact="0" numFmtId="167" outline="0" showAll="0"/>
    <pivotField compact="0" numFmtId="166" outline="0" showAll="0"/>
    <pivotField compact="0" numFmtId="169" outline="0" showAll="0"/>
    <pivotField compact="0" outline="0" showAll="0"/>
    <pivotField compact="0" outline="0" showAll="0"/>
  </pivotFields>
  <rowFields count="1">
    <field x="0"/>
  </rowFields>
  <rowItems count="17">
    <i>
      <x v="15"/>
    </i>
    <i>
      <x v="11"/>
    </i>
    <i>
      <x v="9"/>
    </i>
    <i>
      <x v="1"/>
    </i>
    <i>
      <x v="13"/>
    </i>
    <i>
      <x v="2"/>
    </i>
    <i>
      <x v="8"/>
    </i>
    <i>
      <x v="3"/>
    </i>
    <i>
      <x v="10"/>
    </i>
    <i>
      <x v="4"/>
    </i>
    <i>
      <x v="12"/>
    </i>
    <i>
      <x v="5"/>
    </i>
    <i>
      <x v="14"/>
    </i>
    <i>
      <x v="6"/>
    </i>
    <i>
      <x/>
    </i>
    <i>
      <x v="7"/>
    </i>
    <i t="grand">
      <x/>
    </i>
  </rowItems>
  <colItems count="1">
    <i/>
  </colItems>
  <dataFields count="1">
    <dataField name="Posição atual" fld="6" baseField="0" baseItem="0" numFmtId="19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E6258-8785-44BD-B08C-1A37A18EE36F}" name="ptCarteira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7:E10" firstHeaderRow="0" firstDataRow="1" firstDataCol="1"/>
  <pivotFields count="29"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numFmtId="167" outline="0" showAll="0"/>
    <pivotField compact="0" numFmtId="164" outline="0" showAll="0"/>
    <pivotField dataField="1" compact="0" numFmtId="164" outline="0" showAll="0"/>
    <pivotField compact="0" numFmtId="164" outline="0" showAll="0"/>
    <pivotField dataField="1" compact="0" numFmtId="164" outline="0" showAll="0"/>
    <pivotField dataField="1" compact="0" numFmtId="164" outline="0" showAll="0"/>
    <pivotField compact="0" numFmtId="165" outline="0" showAll="0"/>
    <pivotField dataField="1" compact="0" numFmtId="164" outline="0" showAll="0"/>
    <pivotField compact="0" numFmtId="164" outline="0" showAll="0"/>
    <pivotField compact="0" numFmtId="164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4" outline="0" showAll="0"/>
    <pivotField compact="0" numFmtId="164" outline="0" showAll="0"/>
    <pivotField compact="0" numFmtId="168" outline="0" showAll="0"/>
    <pivotField compact="0" numFmtId="164" outline="0" showAll="0"/>
    <pivotField compact="0" numFmtId="165" outline="0" showAll="0"/>
    <pivotField compact="0" numFmtId="167" outline="0" showAll="0"/>
    <pivotField compact="0" numFmtId="167" outline="0" showAll="0"/>
    <pivotField compact="0" numFmtId="166" outline="0" showAll="0"/>
    <pivotField compact="0" numFmtId="169" outline="0" showAll="0"/>
    <pivotField compact="0" outline="0" showAll="0"/>
    <pivotField compact="0" outline="0"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investido" fld="4" baseField="0" baseItem="0" numFmtId="191"/>
    <dataField name="Posição" fld="6" baseField="0" baseItem="0" numFmtId="191"/>
    <dataField name="Lucro / prejuízo" fld="7" baseField="0" baseItem="0" numFmtId="191"/>
    <dataField name="Proventos" fld="9" baseField="0" baseItem="0" numFmtId="19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0BCA72C3-3CC0-4D37-BB63-D09A8B71A97C}" sourceName="Tipo">
  <pivotTables>
    <pivotTable tabId="3" name="ptCarteira"/>
    <pivotTable tabId="3" name="ptGrafico"/>
  </pivotTables>
  <data>
    <tabular pivotCacheId="2036350935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" xr10:uid="{E17B9FB8-44AF-4B34-B121-885B1BD6653F}" cache="SegmentaçãodeDados_Tipo" caption="Tip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Carteira" displayName="tCarteira" ref="A4:AC20">
  <autoFilter ref="A4:AC20" xr:uid="{00000000-0009-0000-0100-000001000000}"/>
  <tableColumns count="29">
    <tableColumn id="1" xr3:uid="{00000000-0010-0000-0000-000001000000}" name="Ticker"/>
    <tableColumn id="2" xr3:uid="{00000000-0010-0000-0000-000002000000}" name="Tipo"/>
    <tableColumn id="3" xr3:uid="{00000000-0010-0000-0000-000003000000}" name="Qtd atual"/>
    <tableColumn id="4" xr3:uid="{00000000-0010-0000-0000-000004000000}" name="Preço médio (R$)"/>
    <tableColumn id="5" xr3:uid="{00000000-0010-0000-0000-000005000000}" name="Valor investido (R$)"/>
    <tableColumn id="6" xr3:uid="{00000000-0010-0000-0000-000006000000}" name="Cotação (R$)"/>
    <tableColumn id="7" xr3:uid="{00000000-0010-0000-0000-000007000000}" name="Posição atual (R$)"/>
    <tableColumn id="8" xr3:uid="{00000000-0010-0000-0000-000008000000}" name="Lucro / prejuízo (R$)"/>
    <tableColumn id="9" xr3:uid="{00000000-0010-0000-0000-000009000000}" name="Valorização"/>
    <tableColumn id="10" xr3:uid="{00000000-0010-0000-0000-00000A000000}" name="Proventos recebidos (R$)"/>
    <tableColumn id="11" xr3:uid="{00000000-0010-0000-0000-00000B000000}" name="Proventos 12m (R$)"/>
    <tableColumn id="12" xr3:uid="{00000000-0010-0000-0000-00000C000000}" name="Retorno total (R$)"/>
    <tableColumn id="13" xr3:uid="{00000000-0010-0000-0000-00000D000000}" name="Retorno total %"/>
    <tableColumn id="14" xr3:uid="{00000000-0010-0000-0000-00000E000000}" name="Yield on cost"/>
    <tableColumn id="15" xr3:uid="{00000000-0010-0000-0000-00000F000000}" name="DY atual"/>
    <tableColumn id="16" xr3:uid="{00000000-0010-0000-0000-000010000000}" name="Peso atual"/>
    <tableColumn id="17" xr3:uid="{00000000-0010-0000-0000-000011000000}" name="Peso ideal"/>
    <tableColumn id="18" xr3:uid="{00000000-0010-0000-0000-000012000000}" name="Desvio do peso"/>
    <tableColumn id="19" xr3:uid="{00000000-0010-0000-0000-000013000000}" name="Aporte p/ peso ideal (R$)"/>
    <tableColumn id="20" xr3:uid="{00000000-0010-0000-0000-000014000000}" name="Provento 12m por cota (R$)"/>
    <tableColumn id="21" xr3:uid="{00000000-0010-0000-0000-000015000000}" name="Provento mensal por cota (R$)"/>
    <tableColumn id="22" xr3:uid="{00000000-0010-0000-0000-000016000000}" name="Renda mensal (R$)"/>
    <tableColumn id="23" xr3:uid="{00000000-0010-0000-0000-000017000000}" name="% da meta"/>
    <tableColumn id="24" xr3:uid="{00000000-0010-0000-0000-000018000000}" name="Cotas p/ meta"/>
    <tableColumn id="25" xr3:uid="{00000000-0010-0000-0000-000019000000}" name="Cotas faltantes"/>
    <tableColumn id="26" xr3:uid="{00000000-0010-0000-0000-00001A000000}" name="Aporte p/ meta (R$)"/>
    <tableColumn id="27" xr3:uid="{00000000-0010-0000-0000-00001B000000}" name="Meses p/ meta"/>
    <tableColumn id="28" xr3:uid="{00000000-0010-0000-0000-00001C000000}" name="Segmento"/>
    <tableColumn id="29" xr3:uid="{00000000-0010-0000-0000-00001D000000}" name="No filtro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Meta" displayName="tMeta" ref="A4:P20">
  <autoFilter ref="A4:P20" xr:uid="{00000000-0009-0000-0100-000002000000}"/>
  <tableColumns count="16">
    <tableColumn id="1" xr3:uid="{00000000-0010-0000-0100-000001000000}" name="Ticker"/>
    <tableColumn id="2" xr3:uid="{00000000-0010-0000-0100-000002000000}" name="Tipo"/>
    <tableColumn id="3" xr3:uid="{00000000-0010-0000-0100-000003000000}" name="Segmento"/>
    <tableColumn id="4" xr3:uid="{00000000-0010-0000-0100-000004000000}" name="Cotação (R$)"/>
    <tableColumn id="5" xr3:uid="{00000000-0010-0000-0100-000005000000}" name="Provento 12m por cota (R$)"/>
    <tableColumn id="6" xr3:uid="{00000000-0010-0000-0100-000006000000}" name="Provento mensal por cota (R$)"/>
    <tableColumn id="7" xr3:uid="{00000000-0010-0000-0100-000007000000}" name="Rendimento mensal"/>
    <tableColumn id="8" xr3:uid="{00000000-0010-0000-0100-000008000000}" name="Meta mensal (R$)"/>
    <tableColumn id="9" xr3:uid="{00000000-0010-0000-0100-000009000000}" name="Cotas necessárias"/>
    <tableColumn id="10" xr3:uid="{00000000-0010-0000-0100-00000A000000}" name="Custo total da meta (R$)"/>
    <tableColumn id="11" xr3:uid="{00000000-0010-0000-0100-00000B000000}" name="Cotas que você tem"/>
    <tableColumn id="12" xr3:uid="{00000000-0010-0000-0100-00000C000000}" name="Renda mensal atual (R$)"/>
    <tableColumn id="13" xr3:uid="{00000000-0010-0000-0100-00000D000000}" name="% da meta"/>
    <tableColumn id="14" xr3:uid="{00000000-0010-0000-0100-00000E000000}" name="Cotas faltantes"/>
    <tableColumn id="15" xr3:uid="{00000000-0010-0000-0100-00000F000000}" name="Custo faltante (R$)"/>
    <tableColumn id="16" xr3:uid="{00000000-0010-0000-0100-000010000000}" name="Meses (aporte só neste ativo)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tivos" displayName="tAtivos" ref="A4:G20">
  <autoFilter ref="A4:G20" xr:uid="{00000000-0009-0000-0100-000003000000}"/>
  <tableColumns count="7">
    <tableColumn id="1" xr3:uid="{00000000-0010-0000-0200-000001000000}" name="Ticker"/>
    <tableColumn id="2" xr3:uid="{00000000-0010-0000-0200-000002000000}" name="Tipo"/>
    <tableColumn id="3" xr3:uid="{00000000-0010-0000-0200-000003000000}" name="Segmento"/>
    <tableColumn id="4" xr3:uid="{00000000-0010-0000-0200-000004000000}" name="Cotação (R$)"/>
    <tableColumn id="5" xr3:uid="{00000000-0010-0000-0200-000005000000}" name="Provento 12m por cota (R$)"/>
    <tableColumn id="6" xr3:uid="{00000000-0010-0000-0200-000006000000}" name="Peso ideal"/>
    <tableColumn id="7" xr3:uid="{00000000-0010-0000-0200-000007000000}" name="Atualizado em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Lancamentos" displayName="tLancamentos" ref="A4:G5">
  <autoFilter ref="A4:G5" xr:uid="{00000000-0009-0000-0100-000004000000}"/>
  <tableColumns count="7">
    <tableColumn id="1" xr3:uid="{00000000-0010-0000-0300-000001000000}" name="Data"/>
    <tableColumn id="2" xr3:uid="{00000000-0010-0000-0300-000002000000}" name="Ticker"/>
    <tableColumn id="3" xr3:uid="{00000000-0010-0000-0300-000003000000}" name="Operação"/>
    <tableColumn id="4" xr3:uid="{00000000-0010-0000-0300-000004000000}" name="Quantidade"/>
    <tableColumn id="5" xr3:uid="{00000000-0010-0000-0300-000005000000}" name="Preço (R$)"/>
    <tableColumn id="6" xr3:uid="{00000000-0010-0000-0300-000006000000}" name="Custos (R$)"/>
    <tableColumn id="7" xr3:uid="{00000000-0010-0000-0300-000007000000}" name="Total (R$)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Proventos" displayName="tProventos" ref="A4:F5">
  <autoFilter ref="A4:F5" xr:uid="{00000000-0009-0000-0100-000005000000}"/>
  <tableColumns count="6">
    <tableColumn id="1" xr3:uid="{00000000-0010-0000-0400-000001000000}" name="Data pagamento"/>
    <tableColumn id="2" xr3:uid="{00000000-0010-0000-0400-000002000000}" name="Ticker"/>
    <tableColumn id="3" xr3:uid="{00000000-0010-0000-0400-000003000000}" name="Tipo"/>
    <tableColumn id="4" xr3:uid="{00000000-0010-0000-0400-000004000000}" name="Valor por cota (R$)"/>
    <tableColumn id="5" xr3:uid="{00000000-0010-0000-0400-000005000000}" name="Qtd de cotas"/>
    <tableColumn id="6" xr3:uid="{00000000-0010-0000-0400-000006000000}" name="Total (R$)"/>
  </tableColumns>
  <tableStyleInfo name="TableStyleLight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Verificar" displayName="tVerificar" ref="A4:C12">
  <autoFilter ref="A4:C12" xr:uid="{00000000-0009-0000-0100-000006000000}"/>
  <tableColumns count="3">
    <tableColumn id="1" xr3:uid="{00000000-0010-0000-0500-000001000000}" name="Gravidade"/>
    <tableColumn id="2" xr3:uid="{00000000-0010-0000-0500-000002000000}" name="Ativo"/>
    <tableColumn id="3" xr3:uid="{00000000-0010-0000-0500-000003000000}" name="O que foi encontrado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2563EB"/>
    <pageSetUpPr fitToPage="1"/>
  </sheetPr>
  <dimension ref="A1:AN100"/>
  <sheetViews>
    <sheetView showGridLines="0" showRowColHeaders="0" tabSelected="1" zoomScale="90" workbookViewId="0">
      <pane ySplit="3" topLeftCell="A4" activePane="bottomLeft" state="frozen"/>
      <selection pane="bottomLeft"/>
    </sheetView>
  </sheetViews>
  <sheetFormatPr defaultRowHeight="15"/>
  <cols>
    <col min="1" max="1" width="1.42578125" customWidth="1"/>
    <col min="2" max="7" width="6.140625" customWidth="1"/>
    <col min="8" max="8" width="2" customWidth="1"/>
    <col min="9" max="37" width="5.28515625" customWidth="1"/>
    <col min="38" max="38" width="2" customWidth="1"/>
  </cols>
  <sheetData>
    <row r="1" spans="1:40" ht="39.950000000000003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174" t="str">
        <f>IF(COUNTIF(Verificar!A:A,"ERRO")&gt;0,"⚠  Há erros nos dados — ver Verificar",IF(COUNTIF(Verificar!A:A,"AVISO")&gt;0,"●  "&amp;COUNTIF(Verificar!A:A,"AVISO")&amp;" pontos a conferir","✓  Dados consistentes"))</f>
        <v>●  3 pontos a conferir</v>
      </c>
      <c r="R1" s="120"/>
      <c r="S1" s="120"/>
      <c r="T1" s="120"/>
      <c r="U1" s="120"/>
      <c r="V1" s="120"/>
      <c r="W1" s="120"/>
      <c r="X1" s="120"/>
      <c r="Y1" s="120"/>
      <c r="Z1" s="120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0.100000000000001" customHeight="1">
      <c r="A3" s="4"/>
      <c r="B3" s="163">
        <f ca="1">TODAY()</f>
        <v>46295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4"/>
    </row>
    <row r="4" spans="1:40" ht="8.1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</row>
    <row r="5" spans="1:40" ht="24" customHeight="1">
      <c r="A5" s="4"/>
      <c r="B5" s="5" t="s">
        <v>1</v>
      </c>
      <c r="C5" s="6"/>
      <c r="D5" s="6"/>
      <c r="E5" s="6"/>
      <c r="F5" s="6"/>
      <c r="G5" s="7"/>
      <c r="H5" s="4"/>
      <c r="I5" s="144" t="str">
        <f ca="1">IF(COUNTIF(Carteira!C5:C20,"&gt;0")=0,"✚  Nenhuma ação ou FII na carteira ainda — registre sua primeira compra em ✚ Lançar (clique aqui)","")</f>
        <v>✚  Nenhuma ação ou FII na carteira ainda — registre sua primeira compra em ✚ Lançar (clique aqui)</v>
      </c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4"/>
    </row>
    <row r="6" spans="1:40" ht="20.100000000000001" customHeight="1">
      <c r="A6" s="4"/>
      <c r="B6" s="8"/>
      <c r="C6" s="9"/>
      <c r="D6" s="9"/>
      <c r="E6" s="9"/>
      <c r="F6" s="9"/>
      <c r="G6" s="10"/>
      <c r="H6" s="4"/>
      <c r="I6" s="112" t="s">
        <v>2</v>
      </c>
      <c r="J6" s="113"/>
      <c r="K6" s="113"/>
      <c r="L6" s="114"/>
      <c r="M6" s="4"/>
      <c r="N6" s="112" t="s">
        <v>3</v>
      </c>
      <c r="O6" s="113"/>
      <c r="P6" s="113"/>
      <c r="Q6" s="114"/>
      <c r="R6" s="4"/>
      <c r="S6" s="112" t="s">
        <v>4</v>
      </c>
      <c r="T6" s="113"/>
      <c r="U6" s="113"/>
      <c r="V6" s="114"/>
      <c r="W6" s="4"/>
      <c r="X6" s="112" t="s">
        <v>5</v>
      </c>
      <c r="Y6" s="113"/>
      <c r="Z6" s="113"/>
      <c r="AA6" s="114"/>
      <c r="AB6" s="4"/>
      <c r="AC6" s="112" t="s">
        <v>6</v>
      </c>
      <c r="AD6" s="113"/>
      <c r="AE6" s="113"/>
      <c r="AF6" s="114"/>
      <c r="AG6" s="4"/>
      <c r="AH6" s="112" t="s">
        <v>7</v>
      </c>
      <c r="AI6" s="113"/>
      <c r="AJ6" s="113"/>
      <c r="AK6" s="114"/>
      <c r="AL6" s="4"/>
    </row>
    <row r="7" spans="1:40" ht="32.1" customHeight="1">
      <c r="A7" s="4"/>
      <c r="B7" s="11" t="s">
        <v>8</v>
      </c>
      <c r="C7" s="9"/>
      <c r="D7" s="9"/>
      <c r="E7" s="9"/>
      <c r="F7" s="9"/>
      <c r="G7" s="10"/>
      <c r="H7" s="4"/>
      <c r="I7" s="140">
        <f ca="1">(Carteira!G21+SUM(OUTRAS_CLASSES))</f>
        <v>1000</v>
      </c>
      <c r="J7" s="120"/>
      <c r="K7" s="120"/>
      <c r="L7" s="121"/>
      <c r="M7" s="4"/>
      <c r="N7" s="140">
        <f ca="1">SUMIFS(Carteira!$G$5:$G$20,Carteira!$AC$5:$AC$20,1)</f>
        <v>0</v>
      </c>
      <c r="O7" s="120"/>
      <c r="P7" s="120"/>
      <c r="Q7" s="121"/>
      <c r="R7" s="4"/>
      <c r="S7" s="140">
        <f ca="1">SUMIFS(Carteira!$H$5:$H$20,Carteira!$AC$5:$AC$20,1)</f>
        <v>0</v>
      </c>
      <c r="T7" s="120"/>
      <c r="U7" s="120"/>
      <c r="V7" s="121"/>
      <c r="W7" s="4"/>
      <c r="X7" s="140">
        <f>SUMIFS(Carteira!$J$5:$J$20,Carteira!$AC$5:$AC$20,1)</f>
        <v>0</v>
      </c>
      <c r="Y7" s="120"/>
      <c r="Z7" s="120"/>
      <c r="AA7" s="121"/>
      <c r="AB7" s="4"/>
      <c r="AC7" s="140">
        <f ca="1">IF(SUMIFS(Carteira!$C$5:$C$20,Carteira!$AC$5:$AC$20,1)=0,0,'Base Painel'!H5)</f>
        <v>0</v>
      </c>
      <c r="AD7" s="120"/>
      <c r="AE7" s="120"/>
      <c r="AF7" s="121"/>
      <c r="AG7" s="4"/>
      <c r="AH7" s="119" t="str">
        <f ca="1">IF(SUMIFS(Carteira!$C$5:$C$20,Carteira!$AC$5:$AC$20,1)=0,"—",'Base Painel'!K5)</f>
        <v>—</v>
      </c>
      <c r="AI7" s="120"/>
      <c r="AJ7" s="120"/>
      <c r="AK7" s="121"/>
      <c r="AL7" s="4"/>
    </row>
    <row r="8" spans="1:40" ht="18" customHeight="1">
      <c r="A8" s="4"/>
      <c r="B8" s="8"/>
      <c r="C8" s="9"/>
      <c r="D8" s="9"/>
      <c r="E8" s="9"/>
      <c r="F8" s="9"/>
      <c r="G8" s="10"/>
      <c r="H8" s="4"/>
      <c r="I8" s="142" t="str">
        <f ca="1">TEXT(IF((Carteira!G21+SUM(OUTRAS_CLASSES))&gt;0,Carteira!G21/(Carteira!G21+SUM(OUTRAS_CLASSES)),0),"0%")&amp;" em renda variável"</f>
        <v>0% em renda variável</v>
      </c>
      <c r="J8" s="137"/>
      <c r="K8" s="137"/>
      <c r="L8" s="138"/>
      <c r="M8" s="4"/>
      <c r="N8" s="173">
        <f ca="1">SUMIFS(Carteira!$C$5:$C$20,Carteira!$AC$5:$AC$20,1)</f>
        <v>0</v>
      </c>
      <c r="O8" s="137"/>
      <c r="P8" s="137"/>
      <c r="Q8" s="138"/>
      <c r="R8" s="4"/>
      <c r="S8" s="177">
        <f ca="1">IF(SUMIFS(Carteira!$E$5:$E$20,Carteira!$AC$5:$AC$20,1)&gt;0,SUMIFS(Carteira!$H$5:$H$20,Carteira!$AC$5:$AC$20,1)/SUMIFS(Carteira!$E$5:$E$20,Carteira!$AC$5:$AC$20,1),0)</f>
        <v>0</v>
      </c>
      <c r="T8" s="137"/>
      <c r="U8" s="137"/>
      <c r="V8" s="138"/>
      <c r="W8" s="4"/>
      <c r="X8" s="160">
        <f ca="1">SUMIFS(Carteira!$V$5:$V$20,Carteira!$AC$5:$AC$20,1)</f>
        <v>0</v>
      </c>
      <c r="Y8" s="137"/>
      <c r="Z8" s="137"/>
      <c r="AA8" s="138"/>
      <c r="AB8" s="4"/>
      <c r="AC8" s="142" t="str">
        <f ca="1">IF(SUMIFS(Carteira!$C$5:$C$20,Carteira!$AC$5:$AC$20,1)=0,"—",'Base Painel'!G5)</f>
        <v>—</v>
      </c>
      <c r="AD8" s="137"/>
      <c r="AE8" s="137"/>
      <c r="AF8" s="138"/>
      <c r="AG8" s="4"/>
      <c r="AH8" s="161" t="str">
        <f ca="1">IF(SUMIFS(Carteira!$C$5:$C$20,Carteira!$AC$5:$AC$20,1)=0,"",'Base Painel'!L5)</f>
        <v/>
      </c>
      <c r="AI8" s="137"/>
      <c r="AJ8" s="137"/>
      <c r="AK8" s="138"/>
      <c r="AL8" s="4"/>
    </row>
    <row r="9" spans="1:40">
      <c r="A9" s="4"/>
      <c r="B9" s="8"/>
      <c r="C9" s="9"/>
      <c r="D9" s="9"/>
      <c r="E9" s="9"/>
      <c r="F9" s="9"/>
      <c r="G9" s="10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0" ht="21.95" customHeight="1">
      <c r="A10" s="4"/>
      <c r="B10" s="12" t="s">
        <v>9</v>
      </c>
      <c r="C10" s="9"/>
      <c r="D10" s="167" t="s">
        <v>10</v>
      </c>
      <c r="E10" s="168"/>
      <c r="F10" s="168"/>
      <c r="G10" s="169"/>
      <c r="H10" s="4"/>
      <c r="I10" s="13" t="s">
        <v>11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40">
      <c r="A11" s="4"/>
      <c r="B11" s="8"/>
      <c r="C11" s="9"/>
      <c r="D11" s="9"/>
      <c r="E11" s="9"/>
      <c r="F11" s="9"/>
      <c r="G11" s="10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40" ht="24" customHeight="1">
      <c r="A12" s="4"/>
      <c r="B12" s="14" t="s">
        <v>12</v>
      </c>
      <c r="C12" s="9"/>
      <c r="D12" s="9"/>
      <c r="E12" s="9"/>
      <c r="F12" s="9"/>
      <c r="G12" s="10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40" ht="21" customHeight="1">
      <c r="A13" s="4"/>
      <c r="B13" s="147" t="s">
        <v>13</v>
      </c>
      <c r="C13" s="148"/>
      <c r="D13" s="148"/>
      <c r="E13" s="148"/>
      <c r="F13" s="148"/>
      <c r="G13" s="149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40" ht="21" customHeight="1">
      <c r="A14" s="4"/>
      <c r="B14" s="147" t="s">
        <v>14</v>
      </c>
      <c r="C14" s="148"/>
      <c r="D14" s="148"/>
      <c r="E14" s="148"/>
      <c r="F14" s="148"/>
      <c r="G14" s="149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40" ht="21" customHeight="1">
      <c r="A15" s="4"/>
      <c r="B15" s="147" t="s">
        <v>15</v>
      </c>
      <c r="C15" s="148"/>
      <c r="D15" s="148"/>
      <c r="E15" s="148"/>
      <c r="F15" s="148"/>
      <c r="G15" s="149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40" ht="21" customHeight="1">
      <c r="A16" s="4"/>
      <c r="B16" s="147" t="s">
        <v>16</v>
      </c>
      <c r="C16" s="148"/>
      <c r="D16" s="148"/>
      <c r="E16" s="148"/>
      <c r="F16" s="148"/>
      <c r="G16" s="149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:38" ht="21" customHeight="1">
      <c r="A17" s="4"/>
      <c r="B17" s="147" t="s">
        <v>17</v>
      </c>
      <c r="C17" s="148"/>
      <c r="D17" s="148"/>
      <c r="E17" s="148"/>
      <c r="F17" s="148"/>
      <c r="G17" s="149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:38" ht="21" customHeight="1">
      <c r="A18" s="4"/>
      <c r="B18" s="147" t="s">
        <v>18</v>
      </c>
      <c r="C18" s="148"/>
      <c r="D18" s="148"/>
      <c r="E18" s="148"/>
      <c r="F18" s="148"/>
      <c r="G18" s="149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</row>
    <row r="19" spans="1:38" ht="21" customHeight="1">
      <c r="A19" s="4"/>
      <c r="B19" s="147" t="s">
        <v>19</v>
      </c>
      <c r="C19" s="148"/>
      <c r="D19" s="148"/>
      <c r="E19" s="148"/>
      <c r="F19" s="148"/>
      <c r="G19" s="149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</row>
    <row r="20" spans="1:38" ht="21" customHeight="1">
      <c r="A20" s="4"/>
      <c r="B20" s="147" t="s">
        <v>20</v>
      </c>
      <c r="C20" s="148"/>
      <c r="D20" s="148"/>
      <c r="E20" s="148"/>
      <c r="F20" s="148"/>
      <c r="G20" s="149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</row>
    <row r="21" spans="1:38">
      <c r="A21" s="4"/>
      <c r="B21" s="8"/>
      <c r="C21" s="9"/>
      <c r="D21" s="9"/>
      <c r="E21" s="9"/>
      <c r="F21" s="9"/>
      <c r="G21" s="10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</row>
    <row r="22" spans="1:38" ht="24" customHeight="1">
      <c r="A22" s="4"/>
      <c r="B22" s="14" t="s">
        <v>21</v>
      </c>
      <c r="C22" s="9"/>
      <c r="D22" s="9"/>
      <c r="E22" s="9"/>
      <c r="F22" s="9"/>
      <c r="G22" s="10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</row>
    <row r="23" spans="1:38" ht="27.95" customHeight="1">
      <c r="A23" s="4"/>
      <c r="B23" s="150">
        <f ca="1">Carteira!W21</f>
        <v>0</v>
      </c>
      <c r="C23" s="120"/>
      <c r="D23" s="120"/>
      <c r="E23" s="120"/>
      <c r="F23" s="120"/>
      <c r="G23" s="121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</row>
    <row r="24" spans="1:38">
      <c r="A24" s="4"/>
      <c r="B24" s="171">
        <f ca="1">Carteira!W21</f>
        <v>0</v>
      </c>
      <c r="C24" s="120"/>
      <c r="D24" s="120"/>
      <c r="E24" s="120"/>
      <c r="F24" s="120"/>
      <c r="G24" s="121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</row>
    <row r="25" spans="1:38">
      <c r="A25" s="4"/>
      <c r="B25" s="162" t="str">
        <f ca="1">"Renda de R$ "&amp;FIXED(Carteira!V21,0)&amp;" por mês"</f>
        <v>Renda de R$ 0 por mês</v>
      </c>
      <c r="C25" s="120"/>
      <c r="D25" s="120"/>
      <c r="E25" s="120"/>
      <c r="F25" s="120"/>
      <c r="G25" s="121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</row>
    <row r="26" spans="1:38">
      <c r="A26" s="4"/>
      <c r="B26" s="8"/>
      <c r="C26" s="9"/>
      <c r="D26" s="9"/>
      <c r="E26" s="9"/>
      <c r="F26" s="9"/>
      <c r="G26" s="10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</row>
    <row r="27" spans="1:38" ht="21.95" customHeight="1">
      <c r="A27" s="4"/>
      <c r="B27" s="8"/>
      <c r="C27" s="9"/>
      <c r="D27" s="9"/>
      <c r="E27" s="9"/>
      <c r="F27" s="9"/>
      <c r="G27" s="10"/>
      <c r="H27" s="4"/>
      <c r="I27" s="13" t="s">
        <v>22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</row>
    <row r="28" spans="1:38">
      <c r="A28" s="4"/>
      <c r="B28" s="8"/>
      <c r="C28" s="9"/>
      <c r="D28" s="9"/>
      <c r="E28" s="9"/>
      <c r="F28" s="9"/>
      <c r="G28" s="10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</row>
    <row r="29" spans="1:38">
      <c r="A29" s="4"/>
      <c r="B29" s="8"/>
      <c r="C29" s="9"/>
      <c r="D29" s="9"/>
      <c r="E29" s="9"/>
      <c r="F29" s="9"/>
      <c r="G29" s="10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</row>
    <row r="30" spans="1:38">
      <c r="A30" s="4"/>
      <c r="B30" s="8"/>
      <c r="C30" s="9"/>
      <c r="D30" s="9"/>
      <c r="E30" s="9"/>
      <c r="F30" s="9"/>
      <c r="G30" s="10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</row>
    <row r="31" spans="1:38">
      <c r="A31" s="4"/>
      <c r="B31" s="8"/>
      <c r="C31" s="9"/>
      <c r="D31" s="9"/>
      <c r="E31" s="9"/>
      <c r="F31" s="9"/>
      <c r="G31" s="10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</row>
    <row r="32" spans="1:38">
      <c r="A32" s="4"/>
      <c r="B32" s="8"/>
      <c r="C32" s="9"/>
      <c r="D32" s="9"/>
      <c r="E32" s="9"/>
      <c r="F32" s="9"/>
      <c r="G32" s="10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</row>
    <row r="33" spans="1:38">
      <c r="A33" s="4"/>
      <c r="B33" s="8"/>
      <c r="C33" s="9"/>
      <c r="D33" s="9"/>
      <c r="E33" s="9"/>
      <c r="F33" s="9"/>
      <c r="G33" s="10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</row>
    <row r="34" spans="1:38">
      <c r="A34" s="4"/>
      <c r="B34" s="8"/>
      <c r="C34" s="9"/>
      <c r="D34" s="9"/>
      <c r="E34" s="9"/>
      <c r="F34" s="9"/>
      <c r="G34" s="10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</row>
    <row r="35" spans="1:38">
      <c r="A35" s="4"/>
      <c r="B35" s="8"/>
      <c r="C35" s="9"/>
      <c r="D35" s="9"/>
      <c r="E35" s="9"/>
      <c r="F35" s="9"/>
      <c r="G35" s="10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</row>
    <row r="36" spans="1:38">
      <c r="A36" s="4"/>
      <c r="B36" s="8"/>
      <c r="C36" s="9"/>
      <c r="D36" s="9"/>
      <c r="E36" s="9"/>
      <c r="F36" s="9"/>
      <c r="G36" s="10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</row>
    <row r="37" spans="1:38">
      <c r="A37" s="4"/>
      <c r="B37" s="8"/>
      <c r="C37" s="9"/>
      <c r="D37" s="9"/>
      <c r="E37" s="9"/>
      <c r="F37" s="9"/>
      <c r="G37" s="10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</row>
    <row r="38" spans="1:38">
      <c r="A38" s="4"/>
      <c r="B38" s="8"/>
      <c r="C38" s="9"/>
      <c r="D38" s="9"/>
      <c r="E38" s="9"/>
      <c r="F38" s="9"/>
      <c r="G38" s="10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1:38">
      <c r="A39" s="4"/>
      <c r="B39" s="8"/>
      <c r="C39" s="9"/>
      <c r="D39" s="9"/>
      <c r="E39" s="9"/>
      <c r="F39" s="9"/>
      <c r="G39" s="10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1:38">
      <c r="A40" s="4"/>
      <c r="B40" s="8"/>
      <c r="C40" s="9"/>
      <c r="D40" s="9"/>
      <c r="E40" s="9"/>
      <c r="F40" s="9"/>
      <c r="G40" s="10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1:38">
      <c r="A41" s="4"/>
      <c r="B41" s="8"/>
      <c r="C41" s="9"/>
      <c r="D41" s="9"/>
      <c r="E41" s="9"/>
      <c r="F41" s="9"/>
      <c r="G41" s="10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1:38">
      <c r="A42" s="4"/>
      <c r="B42" s="8"/>
      <c r="C42" s="9"/>
      <c r="D42" s="9"/>
      <c r="E42" s="9"/>
      <c r="F42" s="9"/>
      <c r="G42" s="10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1:38">
      <c r="A43" s="4"/>
      <c r="B43" s="8"/>
      <c r="C43" s="9"/>
      <c r="D43" s="9"/>
      <c r="E43" s="9"/>
      <c r="F43" s="9"/>
      <c r="G43" s="10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1:38" ht="21.95" customHeight="1">
      <c r="A44" s="4"/>
      <c r="B44" s="8"/>
      <c r="C44" s="9"/>
      <c r="D44" s="9"/>
      <c r="E44" s="9"/>
      <c r="F44" s="9"/>
      <c r="G44" s="10"/>
      <c r="H44" s="4"/>
      <c r="I44" s="13" t="s">
        <v>21</v>
      </c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15" t="s">
        <v>23</v>
      </c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1:38" ht="20.100000000000001" customHeight="1">
      <c r="A45" s="4"/>
      <c r="B45" s="8"/>
      <c r="C45" s="9"/>
      <c r="D45" s="9"/>
      <c r="E45" s="9"/>
      <c r="F45" s="9"/>
      <c r="G45" s="10"/>
      <c r="H45" s="4"/>
      <c r="I45" s="112" t="s">
        <v>24</v>
      </c>
      <c r="J45" s="113"/>
      <c r="K45" s="113"/>
      <c r="L45" s="114"/>
      <c r="M45" s="4"/>
      <c r="N45" s="112" t="s">
        <v>25</v>
      </c>
      <c r="O45" s="113"/>
      <c r="P45" s="113"/>
      <c r="Q45" s="114"/>
      <c r="R45" s="4"/>
      <c r="S45" s="112" t="s">
        <v>26</v>
      </c>
      <c r="T45" s="113"/>
      <c r="U45" s="113"/>
      <c r="V45" s="114"/>
      <c r="W45" s="4"/>
      <c r="X45" s="112" t="s">
        <v>27</v>
      </c>
      <c r="Y45" s="113"/>
      <c r="Z45" s="113"/>
      <c r="AA45" s="114"/>
      <c r="AB45" s="4"/>
      <c r="AC45" s="112" t="s">
        <v>28</v>
      </c>
      <c r="AD45" s="113"/>
      <c r="AE45" s="113"/>
      <c r="AF45" s="114"/>
      <c r="AG45" s="4"/>
      <c r="AH45" s="112" t="s">
        <v>29</v>
      </c>
      <c r="AI45" s="113"/>
      <c r="AJ45" s="113"/>
      <c r="AK45" s="114"/>
      <c r="AL45" s="4"/>
    </row>
    <row r="46" spans="1:38" ht="32.1" customHeight="1">
      <c r="A46" s="4"/>
      <c r="B46" s="8"/>
      <c r="C46" s="9"/>
      <c r="D46" s="9"/>
      <c r="E46" s="9"/>
      <c r="F46" s="9"/>
      <c r="G46" s="10"/>
      <c r="H46" s="4"/>
      <c r="I46" s="140">
        <f ca="1">Carteira!V21</f>
        <v>0</v>
      </c>
      <c r="J46" s="120"/>
      <c r="K46" s="120"/>
      <c r="L46" s="121"/>
      <c r="M46" s="4"/>
      <c r="N46" s="140">
        <f>META_MENSAL*COUNTIF(Carteira!A5:A20,"?*")</f>
        <v>17584</v>
      </c>
      <c r="O46" s="120"/>
      <c r="P46" s="120"/>
      <c r="Q46" s="121"/>
      <c r="R46" s="4"/>
      <c r="S46" s="159">
        <f ca="1">Carteira!W21</f>
        <v>0</v>
      </c>
      <c r="T46" s="120"/>
      <c r="U46" s="120"/>
      <c r="V46" s="121"/>
      <c r="W46" s="4"/>
      <c r="X46" s="119" t="str">
        <f ca="1">Carteira!X21</f>
        <v>0 de 16 na meta</v>
      </c>
      <c r="Y46" s="120"/>
      <c r="Z46" s="120"/>
      <c r="AA46" s="121"/>
      <c r="AB46" s="4"/>
      <c r="AC46" s="140">
        <f ca="1">Carteira!Z21</f>
        <v>2438270.58</v>
      </c>
      <c r="AD46" s="120"/>
      <c r="AE46" s="120"/>
      <c r="AF46" s="121"/>
      <c r="AG46" s="4"/>
      <c r="AH46" s="146">
        <f ca="1">Carteira!AA21</f>
        <v>813</v>
      </c>
      <c r="AI46" s="120"/>
      <c r="AJ46" s="120"/>
      <c r="AK46" s="121"/>
      <c r="AL46" s="4"/>
    </row>
    <row r="47" spans="1:38" ht="18" customHeight="1">
      <c r="A47" s="4"/>
      <c r="B47" s="16"/>
      <c r="C47" s="3"/>
      <c r="D47" s="3"/>
      <c r="E47" s="3"/>
      <c r="F47" s="3"/>
      <c r="G47" s="17"/>
      <c r="H47" s="4"/>
      <c r="I47" s="172">
        <f ca="1">Carteira!V21*12</f>
        <v>0</v>
      </c>
      <c r="J47" s="137"/>
      <c r="K47" s="137"/>
      <c r="L47" s="138"/>
      <c r="M47" s="4"/>
      <c r="N47" s="176">
        <f>META_MENSAL</f>
        <v>1099</v>
      </c>
      <c r="O47" s="137"/>
      <c r="P47" s="137"/>
      <c r="Q47" s="138"/>
      <c r="R47" s="4"/>
      <c r="S47" s="155">
        <f ca="1">IF(META_MENSAL&gt;0,Carteira!V21/(META_MENSAL*COUNTIF(Carteira!A5:A20,"?*")),0)</f>
        <v>0</v>
      </c>
      <c r="T47" s="137"/>
      <c r="U47" s="137"/>
      <c r="V47" s="138"/>
      <c r="W47" s="4"/>
      <c r="X47" s="179">
        <f ca="1">Carteira!Y21</f>
        <v>137494</v>
      </c>
      <c r="Y47" s="137"/>
      <c r="Z47" s="137"/>
      <c r="AA47" s="138"/>
      <c r="AB47" s="4"/>
      <c r="AC47" s="136">
        <f>APORTE_MENSAL</f>
        <v>3000</v>
      </c>
      <c r="AD47" s="137"/>
      <c r="AE47" s="137"/>
      <c r="AF47" s="138"/>
      <c r="AG47" s="4"/>
      <c r="AH47" s="154">
        <f ca="1">IF(APORTE_MENSAL&gt;0,Carteira!Z21/APORTE_MENSAL/12,0)</f>
        <v>67.729738333333344</v>
      </c>
      <c r="AI47" s="137"/>
      <c r="AJ47" s="137"/>
      <c r="AK47" s="138"/>
      <c r="AL47" s="4"/>
    </row>
    <row r="48" spans="1:38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:38" ht="21.95" customHeight="1">
      <c r="A49" s="4"/>
      <c r="B49" s="4"/>
      <c r="C49" s="4"/>
      <c r="D49" s="4"/>
      <c r="E49" s="4"/>
      <c r="F49" s="4"/>
      <c r="G49" s="4"/>
      <c r="H49" s="4"/>
      <c r="I49" s="13" t="s">
        <v>30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15" t="s">
        <v>31</v>
      </c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:38" ht="24" customHeight="1">
      <c r="A50" s="4"/>
      <c r="B50" s="4"/>
      <c r="C50" s="4"/>
      <c r="D50" s="4"/>
      <c r="E50" s="4"/>
      <c r="F50" s="4"/>
      <c r="G50" s="4"/>
      <c r="H50" s="4"/>
      <c r="I50" s="128" t="s">
        <v>32</v>
      </c>
      <c r="J50" s="113"/>
      <c r="K50" s="113"/>
      <c r="L50" s="113"/>
      <c r="M50" s="113"/>
      <c r="N50" s="113"/>
      <c r="O50" s="113"/>
      <c r="P50" s="113"/>
      <c r="Q50" s="114"/>
      <c r="R50" s="4"/>
      <c r="S50" s="128" t="s">
        <v>33</v>
      </c>
      <c r="T50" s="113"/>
      <c r="U50" s="113"/>
      <c r="V50" s="113"/>
      <c r="W50" s="113"/>
      <c r="X50" s="113"/>
      <c r="Y50" s="113"/>
      <c r="Z50" s="113"/>
      <c r="AA50" s="114"/>
      <c r="AB50" s="4"/>
      <c r="AC50" s="128" t="s">
        <v>34</v>
      </c>
      <c r="AD50" s="113"/>
      <c r="AE50" s="113"/>
      <c r="AF50" s="113"/>
      <c r="AG50" s="113"/>
      <c r="AH50" s="113"/>
      <c r="AI50" s="113"/>
      <c r="AJ50" s="113"/>
      <c r="AK50" s="114"/>
      <c r="AL50" s="4"/>
    </row>
    <row r="51" spans="1:38">
      <c r="A51" s="4"/>
      <c r="B51" s="4"/>
      <c r="C51" s="4"/>
      <c r="D51" s="4"/>
      <c r="E51" s="4"/>
      <c r="F51" s="4"/>
      <c r="G51" s="4"/>
      <c r="H51" s="4"/>
      <c r="I51" s="115" t="s">
        <v>35</v>
      </c>
      <c r="J51" s="139" t="s">
        <v>36</v>
      </c>
      <c r="K51" s="126"/>
      <c r="L51" s="151" t="s">
        <v>37</v>
      </c>
      <c r="M51" s="126"/>
      <c r="N51" s="126"/>
      <c r="O51" s="125" t="s">
        <v>38</v>
      </c>
      <c r="P51" s="126"/>
      <c r="Q51" s="127"/>
      <c r="R51" s="4"/>
      <c r="S51" s="115" t="s">
        <v>35</v>
      </c>
      <c r="T51" s="139" t="s">
        <v>36</v>
      </c>
      <c r="U51" s="126"/>
      <c r="V51" s="151" t="s">
        <v>39</v>
      </c>
      <c r="W51" s="126"/>
      <c r="X51" s="126"/>
      <c r="Y51" s="125" t="s">
        <v>40</v>
      </c>
      <c r="Z51" s="126"/>
      <c r="AA51" s="127"/>
      <c r="AB51" s="4"/>
      <c r="AC51" s="115" t="s">
        <v>35</v>
      </c>
      <c r="AD51" s="139" t="s">
        <v>36</v>
      </c>
      <c r="AE51" s="126"/>
      <c r="AF51" s="151" t="s">
        <v>39</v>
      </c>
      <c r="AG51" s="126"/>
      <c r="AH51" s="126"/>
      <c r="AI51" s="125" t="s">
        <v>40</v>
      </c>
      <c r="AJ51" s="126"/>
      <c r="AK51" s="127"/>
      <c r="AL51" s="4"/>
    </row>
    <row r="52" spans="1:38">
      <c r="A52" s="4"/>
      <c r="B52" s="4"/>
      <c r="C52" s="4"/>
      <c r="D52" s="4"/>
      <c r="E52" s="4"/>
      <c r="F52" s="4"/>
      <c r="G52" s="4"/>
      <c r="H52" s="4"/>
      <c r="I52" s="122">
        <v>1</v>
      </c>
      <c r="J52" s="129" t="str">
        <f ca="1">IF(SUMIFS(Carteira!$C$5:$C$20,Carteira!$AC$5:$AC$20,1)=0,"",'Base Painel'!G5)</f>
        <v/>
      </c>
      <c r="K52" s="110"/>
      <c r="L52" s="145" t="str">
        <f ca="1">IF(SUMIFS(Carteira!$C$5:$C$20,Carteira!$AC$5:$AC$20,1)=0,"",'Base Painel'!H5)</f>
        <v/>
      </c>
      <c r="M52" s="110"/>
      <c r="N52" s="110"/>
      <c r="O52" s="156" t="str">
        <f ca="1">IF(OR(SUMIFS(Carteira!$C$5:$C$20,Carteira!$AC$5:$AC$20,1)=0,Carteira!$G$21=0),"",'Base Painel'!H5/Carteira!$G$21)</f>
        <v/>
      </c>
      <c r="P52" s="110"/>
      <c r="Q52" s="118"/>
      <c r="R52" s="4"/>
      <c r="S52" s="122">
        <v>1</v>
      </c>
      <c r="T52" s="129" t="str">
        <f ca="1">IF(SUMIFS(Carteira!$C$5:$C$20,Carteira!$AC$5:$AC$20,1)=0,"",'Base Painel'!K5)</f>
        <v/>
      </c>
      <c r="U52" s="110"/>
      <c r="V52" s="109" t="str">
        <f ca="1">IF(SUMIFS(Carteira!$C$5:$C$20,Carteira!$AC$5:$AC$20,1)=0,"",'Base Painel'!L5)</f>
        <v/>
      </c>
      <c r="W52" s="110"/>
      <c r="X52" s="110"/>
      <c r="Y52" s="117" t="str">
        <f ca="1">IF(SUMIFS(Carteira!$C$5:$C$20,Carteira!$AC$5:$AC$20,1)=0,"",'Base Painel'!M5)</f>
        <v/>
      </c>
      <c r="Z52" s="110"/>
      <c r="AA52" s="118"/>
      <c r="AB52" s="4"/>
      <c r="AC52" s="122">
        <v>1</v>
      </c>
      <c r="AD52" s="129" t="str">
        <f ca="1">IF(SUMIFS(Carteira!$C$5:$C$20,Carteira!$AC$5:$AC$20,1)=0,"",'Base Painel'!P5)</f>
        <v/>
      </c>
      <c r="AE52" s="110"/>
      <c r="AF52" s="109" t="str">
        <f ca="1">IF(SUMIFS(Carteira!$C$5:$C$20,Carteira!$AC$5:$AC$20,1)=0,"",'Base Painel'!Q5)</f>
        <v/>
      </c>
      <c r="AG52" s="110"/>
      <c r="AH52" s="110"/>
      <c r="AI52" s="117" t="str">
        <f ca="1">IF(SUMIFS(Carteira!$C$5:$C$20,Carteira!$AC$5:$AC$20,1)=0,"",'Base Painel'!R5)</f>
        <v/>
      </c>
      <c r="AJ52" s="110"/>
      <c r="AK52" s="118"/>
      <c r="AL52" s="4"/>
    </row>
    <row r="53" spans="1:38">
      <c r="A53" s="4"/>
      <c r="B53" s="4"/>
      <c r="C53" s="4"/>
      <c r="D53" s="4"/>
      <c r="E53" s="4"/>
      <c r="F53" s="4"/>
      <c r="G53" s="4"/>
      <c r="H53" s="4"/>
      <c r="I53" s="122">
        <v>2</v>
      </c>
      <c r="J53" s="129" t="str">
        <f ca="1">IF(SUMIFS(Carteira!$C$5:$C$20,Carteira!$AC$5:$AC$20,1)=0,"",'Base Painel'!G6)</f>
        <v/>
      </c>
      <c r="K53" s="110"/>
      <c r="L53" s="145" t="str">
        <f ca="1">IF(SUMIFS(Carteira!$C$5:$C$20,Carteira!$AC$5:$AC$20,1)=0,"",'Base Painel'!H6)</f>
        <v/>
      </c>
      <c r="M53" s="110"/>
      <c r="N53" s="110"/>
      <c r="O53" s="156" t="str">
        <f ca="1">IF(OR(SUMIFS(Carteira!$C$5:$C$20,Carteira!$AC$5:$AC$20,1)=0,Carteira!$G$21=0),"",'Base Painel'!H6/Carteira!$G$21)</f>
        <v/>
      </c>
      <c r="P53" s="110"/>
      <c r="Q53" s="118"/>
      <c r="R53" s="4"/>
      <c r="S53" s="122">
        <v>2</v>
      </c>
      <c r="T53" s="129" t="str">
        <f ca="1">IF(SUMIFS(Carteira!$C$5:$C$20,Carteira!$AC$5:$AC$20,1)=0,"",'Base Painel'!K6)</f>
        <v/>
      </c>
      <c r="U53" s="110"/>
      <c r="V53" s="109" t="str">
        <f ca="1">IF(SUMIFS(Carteira!$C$5:$C$20,Carteira!$AC$5:$AC$20,1)=0,"",'Base Painel'!L6)</f>
        <v/>
      </c>
      <c r="W53" s="110"/>
      <c r="X53" s="110"/>
      <c r="Y53" s="117" t="str">
        <f ca="1">IF(SUMIFS(Carteira!$C$5:$C$20,Carteira!$AC$5:$AC$20,1)=0,"",'Base Painel'!M6)</f>
        <v/>
      </c>
      <c r="Z53" s="110"/>
      <c r="AA53" s="118"/>
      <c r="AB53" s="4"/>
      <c r="AC53" s="122">
        <v>2</v>
      </c>
      <c r="AD53" s="129" t="str">
        <f ca="1">IF(SUMIFS(Carteira!$C$5:$C$20,Carteira!$AC$5:$AC$20,1)=0,"",'Base Painel'!P6)</f>
        <v/>
      </c>
      <c r="AE53" s="110"/>
      <c r="AF53" s="109" t="str">
        <f ca="1">IF(SUMIFS(Carteira!$C$5:$C$20,Carteira!$AC$5:$AC$20,1)=0,"",'Base Painel'!Q6)</f>
        <v/>
      </c>
      <c r="AG53" s="110"/>
      <c r="AH53" s="110"/>
      <c r="AI53" s="117" t="str">
        <f ca="1">IF(SUMIFS(Carteira!$C$5:$C$20,Carteira!$AC$5:$AC$20,1)=0,"",'Base Painel'!R6)</f>
        <v/>
      </c>
      <c r="AJ53" s="110"/>
      <c r="AK53" s="118"/>
      <c r="AL53" s="4"/>
    </row>
    <row r="54" spans="1:38">
      <c r="A54" s="4"/>
      <c r="B54" s="4"/>
      <c r="C54" s="4"/>
      <c r="D54" s="4"/>
      <c r="E54" s="4"/>
      <c r="F54" s="4"/>
      <c r="G54" s="4"/>
      <c r="H54" s="4"/>
      <c r="I54" s="122">
        <v>3</v>
      </c>
      <c r="J54" s="129" t="str">
        <f ca="1">IF(SUMIFS(Carteira!$C$5:$C$20,Carteira!$AC$5:$AC$20,1)=0,"",'Base Painel'!G7)</f>
        <v/>
      </c>
      <c r="K54" s="110"/>
      <c r="L54" s="145" t="str">
        <f ca="1">IF(SUMIFS(Carteira!$C$5:$C$20,Carteira!$AC$5:$AC$20,1)=0,"",'Base Painel'!H7)</f>
        <v/>
      </c>
      <c r="M54" s="110"/>
      <c r="N54" s="110"/>
      <c r="O54" s="156" t="str">
        <f ca="1">IF(OR(SUMIFS(Carteira!$C$5:$C$20,Carteira!$AC$5:$AC$20,1)=0,Carteira!$G$21=0),"",'Base Painel'!H7/Carteira!$G$21)</f>
        <v/>
      </c>
      <c r="P54" s="110"/>
      <c r="Q54" s="118"/>
      <c r="R54" s="4"/>
      <c r="S54" s="122">
        <v>3</v>
      </c>
      <c r="T54" s="129" t="str">
        <f ca="1">IF(SUMIFS(Carteira!$C$5:$C$20,Carteira!$AC$5:$AC$20,1)=0,"",'Base Painel'!K7)</f>
        <v/>
      </c>
      <c r="U54" s="110"/>
      <c r="V54" s="109" t="str">
        <f ca="1">IF(SUMIFS(Carteira!$C$5:$C$20,Carteira!$AC$5:$AC$20,1)=0,"",'Base Painel'!L7)</f>
        <v/>
      </c>
      <c r="W54" s="110"/>
      <c r="X54" s="110"/>
      <c r="Y54" s="117" t="str">
        <f ca="1">IF(SUMIFS(Carteira!$C$5:$C$20,Carteira!$AC$5:$AC$20,1)=0,"",'Base Painel'!M7)</f>
        <v/>
      </c>
      <c r="Z54" s="110"/>
      <c r="AA54" s="118"/>
      <c r="AB54" s="4"/>
      <c r="AC54" s="122">
        <v>3</v>
      </c>
      <c r="AD54" s="129" t="str">
        <f ca="1">IF(SUMIFS(Carteira!$C$5:$C$20,Carteira!$AC$5:$AC$20,1)=0,"",'Base Painel'!P7)</f>
        <v/>
      </c>
      <c r="AE54" s="110"/>
      <c r="AF54" s="109" t="str">
        <f ca="1">IF(SUMIFS(Carteira!$C$5:$C$20,Carteira!$AC$5:$AC$20,1)=0,"",'Base Painel'!Q7)</f>
        <v/>
      </c>
      <c r="AG54" s="110"/>
      <c r="AH54" s="110"/>
      <c r="AI54" s="117" t="str">
        <f ca="1">IF(SUMIFS(Carteira!$C$5:$C$20,Carteira!$AC$5:$AC$20,1)=0,"",'Base Painel'!R7)</f>
        <v/>
      </c>
      <c r="AJ54" s="110"/>
      <c r="AK54" s="118"/>
      <c r="AL54" s="4"/>
    </row>
    <row r="55" spans="1:38">
      <c r="A55" s="4"/>
      <c r="B55" s="4"/>
      <c r="C55" s="4"/>
      <c r="D55" s="4"/>
      <c r="E55" s="4"/>
      <c r="F55" s="4"/>
      <c r="G55" s="4"/>
      <c r="H55" s="4"/>
      <c r="I55" s="122">
        <v>4</v>
      </c>
      <c r="J55" s="129" t="str">
        <f ca="1">IF(SUMIFS(Carteira!$C$5:$C$20,Carteira!$AC$5:$AC$20,1)=0,"",'Base Painel'!G8)</f>
        <v/>
      </c>
      <c r="K55" s="110"/>
      <c r="L55" s="145" t="str">
        <f ca="1">IF(SUMIFS(Carteira!$C$5:$C$20,Carteira!$AC$5:$AC$20,1)=0,"",'Base Painel'!H8)</f>
        <v/>
      </c>
      <c r="M55" s="110"/>
      <c r="N55" s="110"/>
      <c r="O55" s="156" t="str">
        <f ca="1">IF(OR(SUMIFS(Carteira!$C$5:$C$20,Carteira!$AC$5:$AC$20,1)=0,Carteira!$G$21=0),"",'Base Painel'!H8/Carteira!$G$21)</f>
        <v/>
      </c>
      <c r="P55" s="110"/>
      <c r="Q55" s="118"/>
      <c r="R55" s="4"/>
      <c r="S55" s="122">
        <v>4</v>
      </c>
      <c r="T55" s="129" t="str">
        <f ca="1">IF(SUMIFS(Carteira!$C$5:$C$20,Carteira!$AC$5:$AC$20,1)=0,"",'Base Painel'!K8)</f>
        <v/>
      </c>
      <c r="U55" s="110"/>
      <c r="V55" s="109" t="str">
        <f ca="1">IF(SUMIFS(Carteira!$C$5:$C$20,Carteira!$AC$5:$AC$20,1)=0,"",'Base Painel'!L8)</f>
        <v/>
      </c>
      <c r="W55" s="110"/>
      <c r="X55" s="110"/>
      <c r="Y55" s="117" t="str">
        <f ca="1">IF(SUMIFS(Carteira!$C$5:$C$20,Carteira!$AC$5:$AC$20,1)=0,"",'Base Painel'!M8)</f>
        <v/>
      </c>
      <c r="Z55" s="110"/>
      <c r="AA55" s="118"/>
      <c r="AB55" s="4"/>
      <c r="AC55" s="122">
        <v>4</v>
      </c>
      <c r="AD55" s="129" t="str">
        <f ca="1">IF(SUMIFS(Carteira!$C$5:$C$20,Carteira!$AC$5:$AC$20,1)=0,"",'Base Painel'!P8)</f>
        <v/>
      </c>
      <c r="AE55" s="110"/>
      <c r="AF55" s="109" t="str">
        <f ca="1">IF(SUMIFS(Carteira!$C$5:$C$20,Carteira!$AC$5:$AC$20,1)=0,"",'Base Painel'!Q8)</f>
        <v/>
      </c>
      <c r="AG55" s="110"/>
      <c r="AH55" s="110"/>
      <c r="AI55" s="117" t="str">
        <f ca="1">IF(SUMIFS(Carteira!$C$5:$C$20,Carteira!$AC$5:$AC$20,1)=0,"",'Base Painel'!R8)</f>
        <v/>
      </c>
      <c r="AJ55" s="110"/>
      <c r="AK55" s="118"/>
      <c r="AL55" s="4"/>
    </row>
    <row r="56" spans="1:38">
      <c r="A56" s="4"/>
      <c r="B56" s="4"/>
      <c r="C56" s="4"/>
      <c r="D56" s="4"/>
      <c r="E56" s="4"/>
      <c r="F56" s="4"/>
      <c r="G56" s="4"/>
      <c r="H56" s="4"/>
      <c r="I56" s="130">
        <v>5</v>
      </c>
      <c r="J56" s="143" t="str">
        <f ca="1">IF(SUMIFS(Carteira!$C$5:$C$20,Carteira!$AC$5:$AC$20,1)=0,"",'Base Painel'!G9)</f>
        <v/>
      </c>
      <c r="K56" s="132"/>
      <c r="L56" s="170" t="str">
        <f ca="1">IF(SUMIFS(Carteira!$C$5:$C$20,Carteira!$AC$5:$AC$20,1)=0,"",'Base Painel'!H9)</f>
        <v/>
      </c>
      <c r="M56" s="132"/>
      <c r="N56" s="132"/>
      <c r="O56" s="131" t="str">
        <f ca="1">IF(OR(SUMIFS(Carteira!$C$5:$C$20,Carteira!$AC$5:$AC$20,1)=0,Carteira!$G$21=0),"",'Base Painel'!H9/Carteira!$G$21)</f>
        <v/>
      </c>
      <c r="P56" s="132"/>
      <c r="Q56" s="133"/>
      <c r="R56" s="4"/>
      <c r="S56" s="130">
        <v>5</v>
      </c>
      <c r="T56" s="143" t="str">
        <f ca="1">IF(SUMIFS(Carteira!$C$5:$C$20,Carteira!$AC$5:$AC$20,1)=0,"",'Base Painel'!K9)</f>
        <v/>
      </c>
      <c r="U56" s="132"/>
      <c r="V56" s="178" t="str">
        <f ca="1">IF(SUMIFS(Carteira!$C$5:$C$20,Carteira!$AC$5:$AC$20,1)=0,"",'Base Painel'!L9)</f>
        <v/>
      </c>
      <c r="W56" s="132"/>
      <c r="X56" s="132"/>
      <c r="Y56" s="134" t="str">
        <f ca="1">IF(SUMIFS(Carteira!$C$5:$C$20,Carteira!$AC$5:$AC$20,1)=0,"",'Base Painel'!M9)</f>
        <v/>
      </c>
      <c r="Z56" s="132"/>
      <c r="AA56" s="133"/>
      <c r="AB56" s="4"/>
      <c r="AC56" s="130">
        <v>5</v>
      </c>
      <c r="AD56" s="143" t="str">
        <f ca="1">IF(SUMIFS(Carteira!$C$5:$C$20,Carteira!$AC$5:$AC$20,1)=0,"",'Base Painel'!P9)</f>
        <v/>
      </c>
      <c r="AE56" s="132"/>
      <c r="AF56" s="178" t="str">
        <f ca="1">IF(SUMIFS(Carteira!$C$5:$C$20,Carteira!$AC$5:$AC$20,1)=0,"",'Base Painel'!Q9)</f>
        <v/>
      </c>
      <c r="AG56" s="132"/>
      <c r="AH56" s="132"/>
      <c r="AI56" s="134" t="str">
        <f ca="1">IF(SUMIFS(Carteira!$C$5:$C$20,Carteira!$AC$5:$AC$20,1)=0,"",'Base Painel'!R9)</f>
        <v/>
      </c>
      <c r="AJ56" s="132"/>
      <c r="AK56" s="133"/>
      <c r="AL56" s="4"/>
    </row>
    <row r="57" spans="1:38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:38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:38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:38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:38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:38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:38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:38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:38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:38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:38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:38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:38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:38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:38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:38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:38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:38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:38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:38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:38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:38" ht="21.95" customHeight="1">
      <c r="A78" s="4"/>
      <c r="B78" s="4"/>
      <c r="C78" s="4"/>
      <c r="D78" s="4"/>
      <c r="E78" s="4"/>
      <c r="F78" s="4"/>
      <c r="G78" s="4"/>
      <c r="H78" s="4"/>
      <c r="I78" s="13" t="s">
        <v>41</v>
      </c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15" t="s">
        <v>42</v>
      </c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:38" ht="21.95" customHeight="1">
      <c r="A79" s="4"/>
      <c r="B79" s="4"/>
      <c r="C79" s="4"/>
      <c r="D79" s="4"/>
      <c r="E79" s="4"/>
      <c r="F79" s="4"/>
      <c r="G79" s="4"/>
      <c r="H79" s="4"/>
      <c r="I79" s="141" t="s">
        <v>43</v>
      </c>
      <c r="J79" s="124"/>
      <c r="K79" s="124"/>
      <c r="L79" s="124"/>
      <c r="M79" s="124"/>
      <c r="N79" s="123" t="s">
        <v>44</v>
      </c>
      <c r="O79" s="124"/>
      <c r="P79" s="124"/>
      <c r="Q79" s="124"/>
      <c r="R79" s="124"/>
      <c r="S79" s="123" t="s">
        <v>45</v>
      </c>
      <c r="T79" s="124"/>
      <c r="U79" s="124"/>
      <c r="V79" s="124"/>
      <c r="W79" s="123" t="s">
        <v>46</v>
      </c>
      <c r="X79" s="124"/>
      <c r="Y79" s="124"/>
      <c r="Z79" s="124"/>
      <c r="AA79" s="123" t="s">
        <v>47</v>
      </c>
      <c r="AB79" s="124"/>
      <c r="AC79" s="124"/>
      <c r="AD79" s="124"/>
      <c r="AE79" s="123" t="s">
        <v>48</v>
      </c>
      <c r="AF79" s="124"/>
      <c r="AG79" s="124"/>
      <c r="AH79" s="124"/>
      <c r="AI79" s="124"/>
      <c r="AJ79" s="124"/>
      <c r="AK79" s="165"/>
      <c r="AL79" s="4"/>
    </row>
    <row r="80" spans="1:38" ht="20.100000000000001" customHeight="1">
      <c r="A80" s="4"/>
      <c r="B80" s="4"/>
      <c r="C80" s="4"/>
      <c r="D80" s="4"/>
      <c r="E80" s="4"/>
      <c r="F80" s="4"/>
      <c r="G80" s="4"/>
      <c r="H80" s="4"/>
      <c r="I80" s="116" t="s">
        <v>49</v>
      </c>
      <c r="J80" s="110"/>
      <c r="K80" s="110"/>
      <c r="L80" s="110"/>
      <c r="M80" s="110"/>
      <c r="N80" s="145">
        <f ca="1">Carteira!G23</f>
        <v>0</v>
      </c>
      <c r="O80" s="110"/>
      <c r="P80" s="110"/>
      <c r="Q80" s="110"/>
      <c r="R80" s="110"/>
      <c r="S80" s="135">
        <f ca="1">IF($N$85&gt;0,N80/$N$85,0)</f>
        <v>0</v>
      </c>
      <c r="T80" s="110"/>
      <c r="U80" s="110"/>
      <c r="V80" s="110"/>
      <c r="W80" s="135">
        <f>PESO_RV*SUMIFS(Ativos!$F$5:$F$20,Ativos!$B$5:$B$20,"AÇÃO")/Ativos!$F$21</f>
        <v>0.22399999999999992</v>
      </c>
      <c r="X80" s="110"/>
      <c r="Y80" s="110"/>
      <c r="Z80" s="110"/>
      <c r="AA80" s="111">
        <f ca="1">S80-W80</f>
        <v>-0.22399999999999992</v>
      </c>
      <c r="AB80" s="110"/>
      <c r="AC80" s="110"/>
      <c r="AD80" s="110"/>
      <c r="AE80" s="117">
        <f ca="1">MAX(0,W80*$N$85-N80)</f>
        <v>223.99999999999991</v>
      </c>
      <c r="AF80" s="110"/>
      <c r="AG80" s="110"/>
      <c r="AH80" s="110"/>
      <c r="AI80" s="110"/>
      <c r="AJ80" s="110"/>
      <c r="AK80" s="118"/>
      <c r="AL80" s="4"/>
    </row>
    <row r="81" spans="1:38" ht="20.100000000000001" customHeight="1">
      <c r="A81" s="4"/>
      <c r="B81" s="4"/>
      <c r="C81" s="4"/>
      <c r="D81" s="4"/>
      <c r="E81" s="4"/>
      <c r="F81" s="4"/>
      <c r="G81" s="4"/>
      <c r="H81" s="4"/>
      <c r="I81" s="116" t="s">
        <v>50</v>
      </c>
      <c r="J81" s="110"/>
      <c r="K81" s="110"/>
      <c r="L81" s="110"/>
      <c r="M81" s="110"/>
      <c r="N81" s="145">
        <f ca="1">Carteira!G24</f>
        <v>0</v>
      </c>
      <c r="O81" s="110"/>
      <c r="P81" s="110"/>
      <c r="Q81" s="110"/>
      <c r="R81" s="110"/>
      <c r="S81" s="135">
        <f ca="1">IF($N$85&gt;0,N81/$N$85,0)</f>
        <v>0</v>
      </c>
      <c r="T81" s="110"/>
      <c r="U81" s="110"/>
      <c r="V81" s="110"/>
      <c r="W81" s="135">
        <f>PESO_RV*SUMIFS(Ativos!$F$5:$F$20,Ativos!$B$5:$B$20,"FII")/Ativos!$F$21</f>
        <v>9.5999999999999974E-2</v>
      </c>
      <c r="X81" s="110"/>
      <c r="Y81" s="110"/>
      <c r="Z81" s="110"/>
      <c r="AA81" s="111">
        <f ca="1">S81-W81</f>
        <v>-9.5999999999999974E-2</v>
      </c>
      <c r="AB81" s="110"/>
      <c r="AC81" s="110"/>
      <c r="AD81" s="110"/>
      <c r="AE81" s="117">
        <f ca="1">MAX(0,W81*$N$85-N81)</f>
        <v>95.999999999999972</v>
      </c>
      <c r="AF81" s="110"/>
      <c r="AG81" s="110"/>
      <c r="AH81" s="110"/>
      <c r="AI81" s="110"/>
      <c r="AJ81" s="110"/>
      <c r="AK81" s="118"/>
      <c r="AL81" s="4"/>
    </row>
    <row r="82" spans="1:38" ht="20.100000000000001" customHeight="1">
      <c r="A82" s="4"/>
      <c r="B82" s="4"/>
      <c r="C82" s="4"/>
      <c r="D82" s="4"/>
      <c r="E82" s="4"/>
      <c r="F82" s="4"/>
      <c r="G82" s="4"/>
      <c r="H82" s="4"/>
      <c r="I82" s="116" t="str">
        <f>Premissas!A11</f>
        <v>Renda fixa (CDB Nubank)</v>
      </c>
      <c r="J82" s="110"/>
      <c r="K82" s="110"/>
      <c r="L82" s="110"/>
      <c r="M82" s="110"/>
      <c r="N82" s="145">
        <f>Premissas!B11</f>
        <v>1000</v>
      </c>
      <c r="O82" s="110"/>
      <c r="P82" s="110"/>
      <c r="Q82" s="110"/>
      <c r="R82" s="110"/>
      <c r="S82" s="135">
        <f ca="1">IF($N$85&gt;0,N82/$N$85,0)</f>
        <v>1</v>
      </c>
      <c r="T82" s="110"/>
      <c r="U82" s="110"/>
      <c r="V82" s="110"/>
      <c r="W82" s="135">
        <f>Premissas!C11</f>
        <v>0.5</v>
      </c>
      <c r="X82" s="110"/>
      <c r="Y82" s="110"/>
      <c r="Z82" s="110"/>
      <c r="AA82" s="111">
        <f ca="1">S82-W82</f>
        <v>0.5</v>
      </c>
      <c r="AB82" s="110"/>
      <c r="AC82" s="110"/>
      <c r="AD82" s="110"/>
      <c r="AE82" s="117">
        <f ca="1">MAX(0,W82*$N$85-N82)</f>
        <v>0</v>
      </c>
      <c r="AF82" s="110"/>
      <c r="AG82" s="110"/>
      <c r="AH82" s="110"/>
      <c r="AI82" s="110"/>
      <c r="AJ82" s="110"/>
      <c r="AK82" s="118"/>
      <c r="AL82" s="4"/>
    </row>
    <row r="83" spans="1:38" ht="20.100000000000001" customHeight="1">
      <c r="A83" s="4"/>
      <c r="B83" s="4"/>
      <c r="C83" s="4"/>
      <c r="D83" s="4"/>
      <c r="E83" s="4"/>
      <c r="F83" s="4"/>
      <c r="G83" s="4"/>
      <c r="H83" s="4"/>
      <c r="I83" s="116" t="str">
        <f>Premissas!A12</f>
        <v>Internacional</v>
      </c>
      <c r="J83" s="110"/>
      <c r="K83" s="110"/>
      <c r="L83" s="110"/>
      <c r="M83" s="110"/>
      <c r="N83" s="145">
        <f>Premissas!B12</f>
        <v>0</v>
      </c>
      <c r="O83" s="110"/>
      <c r="P83" s="110"/>
      <c r="Q83" s="110"/>
      <c r="R83" s="110"/>
      <c r="S83" s="135">
        <f ca="1">IF($N$85&gt;0,N83/$N$85,0)</f>
        <v>0</v>
      </c>
      <c r="T83" s="110"/>
      <c r="U83" s="110"/>
      <c r="V83" s="110"/>
      <c r="W83" s="135">
        <f>Premissas!C12</f>
        <v>0.15</v>
      </c>
      <c r="X83" s="110"/>
      <c r="Y83" s="110"/>
      <c r="Z83" s="110"/>
      <c r="AA83" s="111">
        <f ca="1">S83-W83</f>
        <v>-0.15</v>
      </c>
      <c r="AB83" s="110"/>
      <c r="AC83" s="110"/>
      <c r="AD83" s="110"/>
      <c r="AE83" s="117">
        <f ca="1">MAX(0,W83*$N$85-N83)</f>
        <v>150</v>
      </c>
      <c r="AF83" s="110"/>
      <c r="AG83" s="110"/>
      <c r="AH83" s="110"/>
      <c r="AI83" s="110"/>
      <c r="AJ83" s="110"/>
      <c r="AK83" s="118"/>
      <c r="AL83" s="4"/>
    </row>
    <row r="84" spans="1:38" ht="20.100000000000001" customHeight="1">
      <c r="A84" s="4"/>
      <c r="B84" s="4"/>
      <c r="C84" s="4"/>
      <c r="D84" s="4"/>
      <c r="E84" s="4"/>
      <c r="F84" s="4"/>
      <c r="G84" s="4"/>
      <c r="H84" s="4"/>
      <c r="I84" s="116" t="str">
        <f>Premissas!A13</f>
        <v>Cripto</v>
      </c>
      <c r="J84" s="110"/>
      <c r="K84" s="110"/>
      <c r="L84" s="110"/>
      <c r="M84" s="110"/>
      <c r="N84" s="145">
        <f>Premissas!B13</f>
        <v>0</v>
      </c>
      <c r="O84" s="110"/>
      <c r="P84" s="110"/>
      <c r="Q84" s="110"/>
      <c r="R84" s="110"/>
      <c r="S84" s="135">
        <f ca="1">IF($N$85&gt;0,N84/$N$85,0)</f>
        <v>0</v>
      </c>
      <c r="T84" s="110"/>
      <c r="U84" s="110"/>
      <c r="V84" s="110"/>
      <c r="W84" s="135">
        <f>Premissas!C13</f>
        <v>0.03</v>
      </c>
      <c r="X84" s="110"/>
      <c r="Y84" s="110"/>
      <c r="Z84" s="110"/>
      <c r="AA84" s="111">
        <f ca="1">S84-W84</f>
        <v>-0.03</v>
      </c>
      <c r="AB84" s="110"/>
      <c r="AC84" s="110"/>
      <c r="AD84" s="110"/>
      <c r="AE84" s="117">
        <f ca="1">MAX(0,W84*$N$85-N84)</f>
        <v>30</v>
      </c>
      <c r="AF84" s="110"/>
      <c r="AG84" s="110"/>
      <c r="AH84" s="110"/>
      <c r="AI84" s="110"/>
      <c r="AJ84" s="110"/>
      <c r="AK84" s="118"/>
      <c r="AL84" s="4"/>
    </row>
    <row r="85" spans="1:38" ht="20.100000000000001" customHeight="1">
      <c r="A85" s="4"/>
      <c r="B85" s="4"/>
      <c r="C85" s="4"/>
      <c r="D85" s="4"/>
      <c r="E85" s="4"/>
      <c r="F85" s="4"/>
      <c r="G85" s="4"/>
      <c r="H85" s="4"/>
      <c r="I85" s="166" t="s">
        <v>51</v>
      </c>
      <c r="J85" s="153"/>
      <c r="K85" s="153"/>
      <c r="L85" s="153"/>
      <c r="M85" s="153"/>
      <c r="N85" s="175">
        <f ca="1">SUM(N80:N84)</f>
        <v>1000</v>
      </c>
      <c r="O85" s="153"/>
      <c r="P85" s="153"/>
      <c r="Q85" s="153"/>
      <c r="R85" s="153"/>
      <c r="S85" s="152">
        <f ca="1">SUM(S80:S84)</f>
        <v>1</v>
      </c>
      <c r="T85" s="153"/>
      <c r="U85" s="153"/>
      <c r="V85" s="153"/>
      <c r="W85" s="152">
        <f>SUM(W80:W84)</f>
        <v>0.99999999999999989</v>
      </c>
      <c r="X85" s="153"/>
      <c r="Y85" s="153"/>
      <c r="Z85" s="153"/>
      <c r="AA85" s="164"/>
      <c r="AB85" s="153"/>
      <c r="AC85" s="153"/>
      <c r="AD85" s="153"/>
      <c r="AE85" s="157">
        <f ca="1">SUM(AE80:AE84)</f>
        <v>499.99999999999989</v>
      </c>
      <c r="AF85" s="153"/>
      <c r="AG85" s="153"/>
      <c r="AH85" s="153"/>
      <c r="AI85" s="153"/>
      <c r="AJ85" s="153"/>
      <c r="AK85" s="158"/>
      <c r="AL85" s="4"/>
    </row>
    <row r="86" spans="1:38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:38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:38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:38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:38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:38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:38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:38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:38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:38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:38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:38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:38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  <row r="99" spans="1:38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</row>
    <row r="100" spans="1:38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</row>
  </sheetData>
  <mergeCells count="168">
    <mergeCell ref="W85:Z85"/>
    <mergeCell ref="J56:K56"/>
    <mergeCell ref="X47:AA47"/>
    <mergeCell ref="Y55:AA55"/>
    <mergeCell ref="T52:U52"/>
    <mergeCell ref="AC55"/>
    <mergeCell ref="AE82:AK82"/>
    <mergeCell ref="Y54:AA54"/>
    <mergeCell ref="I84:M84"/>
    <mergeCell ref="N79:R79"/>
    <mergeCell ref="S84:V84"/>
    <mergeCell ref="Q1:Z1"/>
    <mergeCell ref="B18:G18"/>
    <mergeCell ref="AC54"/>
    <mergeCell ref="AF53:AH53"/>
    <mergeCell ref="W81:Z81"/>
    <mergeCell ref="J52:K52"/>
    <mergeCell ref="S6:V6"/>
    <mergeCell ref="N83:R83"/>
    <mergeCell ref="AD55:AE55"/>
    <mergeCell ref="AD52:AE52"/>
    <mergeCell ref="Y51:AA51"/>
    <mergeCell ref="S80:V80"/>
    <mergeCell ref="AC46:AF46"/>
    <mergeCell ref="I8:L8"/>
    <mergeCell ref="I81:M81"/>
    <mergeCell ref="O54:Q54"/>
    <mergeCell ref="AC56"/>
    <mergeCell ref="B17:G17"/>
    <mergeCell ref="B19:G19"/>
    <mergeCell ref="AE80:AK80"/>
    <mergeCell ref="N45:Q45"/>
    <mergeCell ref="O55:Q55"/>
    <mergeCell ref="S51"/>
    <mergeCell ref="Y52:AA52"/>
    <mergeCell ref="AA85:AD85"/>
    <mergeCell ref="X46:AA46"/>
    <mergeCell ref="V51:X51"/>
    <mergeCell ref="AC52"/>
    <mergeCell ref="AF51:AH51"/>
    <mergeCell ref="L54:N54"/>
    <mergeCell ref="T54:U54"/>
    <mergeCell ref="AE79:AK79"/>
    <mergeCell ref="I85:M85"/>
    <mergeCell ref="AA82:AD82"/>
    <mergeCell ref="AE81:AK81"/>
    <mergeCell ref="L56:N56"/>
    <mergeCell ref="W84:Z84"/>
    <mergeCell ref="I54"/>
    <mergeCell ref="I50:Q50"/>
    <mergeCell ref="I47:L47"/>
    <mergeCell ref="I56"/>
    <mergeCell ref="O53:Q53"/>
    <mergeCell ref="W79:Z79"/>
    <mergeCell ref="AD53:AE53"/>
    <mergeCell ref="AI53:AK53"/>
    <mergeCell ref="L53:N53"/>
    <mergeCell ref="N85:R85"/>
    <mergeCell ref="N47:Q47"/>
    <mergeCell ref="B3:AK3"/>
    <mergeCell ref="I52"/>
    <mergeCell ref="X45:AA45"/>
    <mergeCell ref="AD56:AE56"/>
    <mergeCell ref="AE84:AK84"/>
    <mergeCell ref="AA83:AD83"/>
    <mergeCell ref="N6:Q6"/>
    <mergeCell ref="W82:Z82"/>
    <mergeCell ref="L55:N55"/>
    <mergeCell ref="AI51:AK51"/>
    <mergeCell ref="AF55:AH55"/>
    <mergeCell ref="D10:G10"/>
    <mergeCell ref="N7:Q7"/>
    <mergeCell ref="B15:G15"/>
    <mergeCell ref="I45:L45"/>
    <mergeCell ref="B24:G24"/>
    <mergeCell ref="B16:G16"/>
    <mergeCell ref="N8:Q8"/>
    <mergeCell ref="AC7:AF7"/>
    <mergeCell ref="J55:K55"/>
    <mergeCell ref="B20:G20"/>
    <mergeCell ref="S52"/>
    <mergeCell ref="W83:Z83"/>
    <mergeCell ref="J54:K54"/>
    <mergeCell ref="S85:V85"/>
    <mergeCell ref="T53:U53"/>
    <mergeCell ref="N81:R81"/>
    <mergeCell ref="V54:X54"/>
    <mergeCell ref="AH47:AK47"/>
    <mergeCell ref="S47:V47"/>
    <mergeCell ref="T55:U55"/>
    <mergeCell ref="I6:L6"/>
    <mergeCell ref="O52:Q52"/>
    <mergeCell ref="I46:L46"/>
    <mergeCell ref="AE85:AK85"/>
    <mergeCell ref="S46:V46"/>
    <mergeCell ref="L52:N52"/>
    <mergeCell ref="X8:AA8"/>
    <mergeCell ref="AF52:AH52"/>
    <mergeCell ref="W80:Z80"/>
    <mergeCell ref="AH8:AK8"/>
    <mergeCell ref="N82:R82"/>
    <mergeCell ref="S50:AA50"/>
    <mergeCell ref="I7:L7"/>
    <mergeCell ref="V55:X55"/>
    <mergeCell ref="Y56:AA56"/>
    <mergeCell ref="I53"/>
    <mergeCell ref="V52:X52"/>
    <mergeCell ref="AA84:AD84"/>
    <mergeCell ref="S83:V83"/>
    <mergeCell ref="B14:G14"/>
    <mergeCell ref="B23:G23"/>
    <mergeCell ref="AD51:AE51"/>
    <mergeCell ref="S55"/>
    <mergeCell ref="B13:G13"/>
    <mergeCell ref="AH45:AK45"/>
    <mergeCell ref="AI55:AK55"/>
    <mergeCell ref="L51:N51"/>
    <mergeCell ref="AC51"/>
    <mergeCell ref="B25:G25"/>
    <mergeCell ref="J51:K51"/>
    <mergeCell ref="I55"/>
    <mergeCell ref="AI52:AK52"/>
    <mergeCell ref="AD54:AE54"/>
    <mergeCell ref="Y53:AA53"/>
    <mergeCell ref="S82:V82"/>
    <mergeCell ref="V56:X56"/>
    <mergeCell ref="AC53"/>
    <mergeCell ref="AF56:AH56"/>
    <mergeCell ref="N84:R84"/>
    <mergeCell ref="I83:M83"/>
    <mergeCell ref="S7:V7"/>
    <mergeCell ref="N46:Q46"/>
    <mergeCell ref="I79:M79"/>
    <mergeCell ref="AC8:AF8"/>
    <mergeCell ref="I82:M82"/>
    <mergeCell ref="T56:U56"/>
    <mergeCell ref="I5:AK5"/>
    <mergeCell ref="X6:AA6"/>
    <mergeCell ref="N80:R80"/>
    <mergeCell ref="AH6:AK6"/>
    <mergeCell ref="S53"/>
    <mergeCell ref="AH46:AK46"/>
    <mergeCell ref="S8:V8"/>
    <mergeCell ref="X7:AA7"/>
    <mergeCell ref="AF54:AH54"/>
    <mergeCell ref="AA80:AD80"/>
    <mergeCell ref="S45:V45"/>
    <mergeCell ref="I51"/>
    <mergeCell ref="AC6:AF6"/>
    <mergeCell ref="I80:M80"/>
    <mergeCell ref="AE83:AK83"/>
    <mergeCell ref="AH7:AK7"/>
    <mergeCell ref="S54"/>
    <mergeCell ref="AA79:AD79"/>
    <mergeCell ref="AI54:AK54"/>
    <mergeCell ref="S79:V79"/>
    <mergeCell ref="O51:Q51"/>
    <mergeCell ref="AC50:AK50"/>
    <mergeCell ref="J53:K53"/>
    <mergeCell ref="S56"/>
    <mergeCell ref="O56:Q56"/>
    <mergeCell ref="AC45:AF45"/>
    <mergeCell ref="AA81:AD81"/>
    <mergeCell ref="AI56:AK56"/>
    <mergeCell ref="S81:V81"/>
    <mergeCell ref="V53:X53"/>
    <mergeCell ref="AC47:AF47"/>
    <mergeCell ref="T51:U51"/>
  </mergeCells>
  <conditionalFormatting sqref="B24">
    <cfRule type="dataBar" priority="3">
      <dataBar showValue="0">
        <cfvo type="num" val="0"/>
        <cfvo type="num" val="1"/>
        <color rgb="FFC9A43A"/>
      </dataBar>
    </cfRule>
  </conditionalFormatting>
  <conditionalFormatting sqref="Q1">
    <cfRule type="expression" dxfId="41" priority="1">
      <formula>LEFT(Q1,1)="⚠"</formula>
    </cfRule>
    <cfRule type="expression" dxfId="40" priority="2">
      <formula>LEFT(Q1,1)="●"</formula>
    </cfRule>
  </conditionalFormatting>
  <conditionalFormatting sqref="S7">
    <cfRule type="cellIs" dxfId="39" priority="8" operator="lessThan">
      <formula>0</formula>
    </cfRule>
    <cfRule type="cellIs" dxfId="38" priority="9" operator="greaterThan">
      <formula>0</formula>
    </cfRule>
  </conditionalFormatting>
  <conditionalFormatting sqref="S8">
    <cfRule type="cellIs" dxfId="37" priority="4" operator="lessThan">
      <formula>0</formula>
    </cfRule>
    <cfRule type="cellIs" dxfId="36" priority="5" operator="greaterThan">
      <formula>0</formula>
    </cfRule>
  </conditionalFormatting>
  <conditionalFormatting sqref="V52:AA56">
    <cfRule type="cellIs" dxfId="35" priority="12" operator="lessThan">
      <formula>0</formula>
    </cfRule>
    <cfRule type="cellIs" dxfId="34" priority="13" operator="greaterThan">
      <formula>0</formula>
    </cfRule>
  </conditionalFormatting>
  <conditionalFormatting sqref="AA80:AA84">
    <cfRule type="cellIs" dxfId="33" priority="10" operator="lessThan">
      <formula>0</formula>
    </cfRule>
    <cfRule type="cellIs" dxfId="32" priority="11" operator="greaterThan">
      <formula>0</formula>
    </cfRule>
  </conditionalFormatting>
  <conditionalFormatting sqref="AF52:AK56">
    <cfRule type="cellIs" dxfId="31" priority="14" operator="lessThan">
      <formula>0</formula>
    </cfRule>
    <cfRule type="cellIs" dxfId="30" priority="15" operator="greaterThan">
      <formula>0</formula>
    </cfRule>
  </conditionalFormatting>
  <conditionalFormatting sqref="AH8">
    <cfRule type="cellIs" dxfId="29" priority="6" operator="lessThan">
      <formula>0</formula>
    </cfRule>
    <cfRule type="cellIs" dxfId="28" priority="7" operator="greaterThan">
      <formula>0</formula>
    </cfRule>
  </conditionalFormatting>
  <dataValidations count="1">
    <dataValidation type="list" sqref="D10" xr:uid="{00000000-0002-0000-0000-000000000000}">
      <formula1>"Todos,AÇÃO,FII"</formula1>
    </dataValidation>
  </dataValidations>
  <hyperlinks>
    <hyperlink ref="Q1" location="Verificar!A1" display="Verificar!A1" xr:uid="{00000000-0004-0000-0000-000000000000}"/>
    <hyperlink ref="I5" location="Cadastro!A1" display="Cadastro!A1" xr:uid="{00000000-0004-0000-0000-000001000000}"/>
    <hyperlink ref="B13" location="Cadastro!A1" display="✚  Lançar compra ou provento" xr:uid="{00000000-0004-0000-0000-000002000000}"/>
    <hyperlink ref="B14" location="Carteira!A1" display="◧  Carteira completa" xr:uid="{00000000-0004-0000-0000-000003000000}"/>
    <hyperlink ref="B15" location="Meta!A1" display="◎  Meta de renda por ativo" xr:uid="{00000000-0004-0000-0000-000004000000}"/>
    <hyperlink ref="B16" location="Quant!A1" display="∑  Análise quantitativa" xr:uid="{00000000-0004-0000-0000-000005000000}"/>
    <hyperlink ref="B17" location="Modelos!A1" display="λ  Modelos matemáticos" xr:uid="{00000000-0004-0000-0000-000006000000}"/>
    <hyperlink ref="B18" location="Projeção!A1" display="↗  Projeção futura" xr:uid="{00000000-0004-0000-0000-000007000000}"/>
    <hyperlink ref="B19" location="Premissas!A1" display="⚙  Premissas e metas" xr:uid="{00000000-0004-0000-0000-000008000000}"/>
    <hyperlink ref="B20" location="Verificar!A1" display="⚠  Verificar dados" xr:uid="{00000000-0004-0000-0000-000009000000}"/>
  </hyperlinks>
  <pageMargins left="0.75" right="0.75" top="1" bottom="1" header="0.5" footer="0.5"/>
  <pageSetup fitToHeight="0" orientation="landscape"/>
  <rowBreaks count="1" manualBreakCount="1">
    <brk id="43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2563EB"/>
    <pageSetUpPr fitToPage="1"/>
  </sheetPr>
  <dimension ref="A1:AN29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/>
  <cols>
    <col min="1" max="1" width="10" customWidth="1"/>
    <col min="2" max="2" width="7" customWidth="1"/>
    <col min="3" max="3" width="10" customWidth="1"/>
    <col min="4" max="4" width="12" customWidth="1"/>
    <col min="5" max="5" width="15" customWidth="1"/>
    <col min="6" max="6" width="11" customWidth="1"/>
    <col min="7" max="8" width="15" customWidth="1"/>
    <col min="9" max="9" width="11" customWidth="1"/>
    <col min="10" max="10" width="14" customWidth="1"/>
    <col min="11" max="11" width="13" customWidth="1"/>
    <col min="12" max="12" width="14" customWidth="1"/>
    <col min="13" max="13" width="11" customWidth="1"/>
    <col min="14" max="14" width="10" customWidth="1"/>
    <col min="15" max="17" width="9" customWidth="1"/>
    <col min="18" max="18" width="10" customWidth="1"/>
    <col min="19" max="19" width="15" customWidth="1"/>
    <col min="20" max="22" width="13" customWidth="1"/>
    <col min="23" max="23" width="10" customWidth="1"/>
    <col min="24" max="25" width="11" customWidth="1"/>
    <col min="26" max="26" width="14" customWidth="1"/>
    <col min="27" max="27" width="12" customWidth="1"/>
    <col min="28" max="28" width="22" customWidth="1"/>
    <col min="29" max="29" width="8" hidden="1" customWidth="1"/>
  </cols>
  <sheetData>
    <row r="1" spans="1:40" ht="33.950000000000003" customHeight="1">
      <c r="A1" s="1" t="s">
        <v>52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53</v>
      </c>
    </row>
    <row r="4" spans="1:40" ht="32.1" customHeight="1">
      <c r="A4" s="19" t="s">
        <v>54</v>
      </c>
      <c r="B4" s="19" t="s">
        <v>55</v>
      </c>
      <c r="C4" s="19" t="s">
        <v>56</v>
      </c>
      <c r="D4" s="19" t="s">
        <v>57</v>
      </c>
      <c r="E4" s="19" t="s">
        <v>58</v>
      </c>
      <c r="F4" s="19" t="s">
        <v>59</v>
      </c>
      <c r="G4" s="19" t="s">
        <v>60</v>
      </c>
      <c r="H4" s="19" t="s">
        <v>61</v>
      </c>
      <c r="I4" s="19" t="s">
        <v>62</v>
      </c>
      <c r="J4" s="19" t="s">
        <v>63</v>
      </c>
      <c r="K4" s="19" t="s">
        <v>64</v>
      </c>
      <c r="L4" s="19" t="s">
        <v>65</v>
      </c>
      <c r="M4" s="19" t="s">
        <v>66</v>
      </c>
      <c r="N4" s="19" t="s">
        <v>67</v>
      </c>
      <c r="O4" s="19" t="s">
        <v>68</v>
      </c>
      <c r="P4" s="19" t="s">
        <v>69</v>
      </c>
      <c r="Q4" s="19" t="s">
        <v>70</v>
      </c>
      <c r="R4" s="19" t="s">
        <v>71</v>
      </c>
      <c r="S4" s="19" t="s">
        <v>72</v>
      </c>
      <c r="T4" s="19" t="s">
        <v>73</v>
      </c>
      <c r="U4" s="19" t="s">
        <v>74</v>
      </c>
      <c r="V4" s="19" t="s">
        <v>75</v>
      </c>
      <c r="W4" s="19" t="s">
        <v>76</v>
      </c>
      <c r="X4" s="19" t="s">
        <v>77</v>
      </c>
      <c r="Y4" s="19" t="s">
        <v>78</v>
      </c>
      <c r="Z4" s="19" t="s">
        <v>79</v>
      </c>
      <c r="AA4" s="19" t="s">
        <v>80</v>
      </c>
      <c r="AB4" s="19" t="s">
        <v>81</v>
      </c>
      <c r="AC4" s="19" t="s">
        <v>82</v>
      </c>
    </row>
    <row r="5" spans="1:40">
      <c r="A5" s="20" t="str">
        <f>IF(Ativos!A5="","",Ativos!A5)</f>
        <v>VALE3</v>
      </c>
      <c r="B5" s="20" t="str">
        <f>IF(Ativos!B5="","",Ativos!B5)</f>
        <v>AÇÃO</v>
      </c>
      <c r="C5" s="21">
        <f ca="1">SUMIFS(Lançamentos!$D$5:$D$5000,Lançamentos!$B$5:$B$5000,A5,Lançamentos!$C$5:$C$5000,"COMPRA")-SUMIFS(Lançamentos!$D$5:$D$5000,Lançamentos!$B$5:$B$5000,A5,Lançamentos!$C$5:$C$5000,"VENDA")</f>
        <v>0</v>
      </c>
      <c r="D5" s="22">
        <f ca="1">IFERROR(SUMIFS(Lançamentos!$G$5:$G$5000,Lançamentos!$B$5:$B$5000,A5,Lançamentos!$C$5:$C$5000,"COMPRA")/SUMIFS(Lançamentos!$D$5:$D$5000,Lançamentos!$B$5:$B$5000,A5,Lançamentos!$C$5:$C$5000,"COMPRA"),0)</f>
        <v>0</v>
      </c>
      <c r="E5" s="22">
        <f t="shared" ref="E5:E20" ca="1" si="0">C5*D5</f>
        <v>0</v>
      </c>
      <c r="F5" s="23">
        <f>N(Ativos!D5)</f>
        <v>71.16</v>
      </c>
      <c r="G5" s="22">
        <f t="shared" ref="G5:G20" ca="1" si="1">C5*F5</f>
        <v>0</v>
      </c>
      <c r="H5" s="22">
        <f t="shared" ref="H5:H20" ca="1" si="2">G5-E5</f>
        <v>0</v>
      </c>
      <c r="I5" s="24">
        <f t="shared" ref="I5:I21" ca="1" si="3">IF(E5&gt;0,H5/E5,0)</f>
        <v>0</v>
      </c>
      <c r="J5" s="22">
        <f>SUMIFS(Proventos!$F$5:$F$5000,Proventos!$B$5:$B$5000,A5)</f>
        <v>0</v>
      </c>
      <c r="K5" s="22">
        <f ca="1">SUMIFS(Proventos!$F$5:$F$5000,Proventos!$B$5:$B$5000,A5,Proventos!$A$5:$A$5000,"&gt;="&amp;(TODAY()-365))</f>
        <v>0</v>
      </c>
      <c r="L5" s="22">
        <f t="shared" ref="L5:L20" ca="1" si="4">H5+J5</f>
        <v>0</v>
      </c>
      <c r="M5" s="24">
        <f t="shared" ref="M5:M21" ca="1" si="5">IF(E5&gt;0,L5/E5,0)</f>
        <v>0</v>
      </c>
      <c r="N5" s="24">
        <f t="shared" ref="N5:N20" ca="1" si="6">IF(D5&gt;0,T5/D5,0)</f>
        <v>0</v>
      </c>
      <c r="O5" s="24">
        <f t="shared" ref="O5:O20" si="7">IF(F5&gt;0,T5/F5,0)</f>
        <v>7.8871557054525018E-2</v>
      </c>
      <c r="P5" s="24">
        <f t="shared" ref="P5:P20" ca="1" si="8">IF($G$21&gt;0,G5/$G$21,0)</f>
        <v>0</v>
      </c>
      <c r="Q5" s="25">
        <f>N(Ativos!F5)</f>
        <v>0.1</v>
      </c>
      <c r="R5" s="24">
        <f t="shared" ref="R5:R20" ca="1" si="9">P5-Q5</f>
        <v>-0.1</v>
      </c>
      <c r="S5" s="22">
        <f t="shared" ref="S5:S20" ca="1" si="10">MAX(0,Q5*$G$21-G5)</f>
        <v>0</v>
      </c>
      <c r="T5" s="23">
        <f>N(Ativos!E5)</f>
        <v>5.6124999999999998</v>
      </c>
      <c r="U5" s="26">
        <f t="shared" ref="U5:U20" si="11">T5/12</f>
        <v>0.46770833333333334</v>
      </c>
      <c r="V5" s="22">
        <f t="shared" ref="V5:V20" ca="1" si="12">C5*U5</f>
        <v>0</v>
      </c>
      <c r="W5" s="24">
        <f t="shared" ref="W5:W20" ca="1" si="13">IF(META_MENSAL&gt;0,MIN(1,V5/META_MENSAL),0)</f>
        <v>0</v>
      </c>
      <c r="X5" s="21">
        <f t="shared" ref="X5:X20" si="14">IF(U5&gt;0,ROUNDUP(META_MENSAL/U5,0),0)</f>
        <v>2350</v>
      </c>
      <c r="Y5" s="21">
        <f t="shared" ref="Y5:Y20" ca="1" si="15">MAX(0,X5-C5)</f>
        <v>2350</v>
      </c>
      <c r="Z5" s="27">
        <f t="shared" ref="Z5:Z20" ca="1" si="16">Y5*F5</f>
        <v>167226</v>
      </c>
      <c r="AA5" s="28">
        <f t="shared" ref="AA5:AA21" ca="1" si="17">IF(APORTE_MENSAL&gt;0,ROUNDUP(Z5/APORTE_MENSAL,0),0)</f>
        <v>56</v>
      </c>
      <c r="AB5" s="20" t="str">
        <f>IF(Ativos!C5="","",Ativos!C5)</f>
        <v>Mineração</v>
      </c>
      <c r="AC5" s="29">
        <f t="shared" ref="AC5:AC20" si="18">IF(A5="",0,IF(OR(FILTRO_TIPO="Todos",B5=FILTRO_TIPO),1,0))</f>
        <v>1</v>
      </c>
    </row>
    <row r="6" spans="1:40">
      <c r="A6" s="30" t="str">
        <f>IF(Ativos!A6="","",Ativos!A6)</f>
        <v>TAEE11</v>
      </c>
      <c r="B6" s="30" t="str">
        <f>IF(Ativos!B6="","",Ativos!B6)</f>
        <v>AÇÃO</v>
      </c>
      <c r="C6" s="31">
        <f ca="1">SUMIFS(Lançamentos!$D$5:$D$5000,Lançamentos!$B$5:$B$5000,A6,Lançamentos!$C$5:$C$5000,"COMPRA")-SUMIFS(Lançamentos!$D$5:$D$5000,Lançamentos!$B$5:$B$5000,A6,Lançamentos!$C$5:$C$5000,"VENDA")</f>
        <v>0</v>
      </c>
      <c r="D6" s="32">
        <f ca="1">IFERROR(SUMIFS(Lançamentos!$G$5:$G$5000,Lançamentos!$B$5:$B$5000,A6,Lançamentos!$C$5:$C$5000,"COMPRA")/SUMIFS(Lançamentos!$D$5:$D$5000,Lançamentos!$B$5:$B$5000,A6,Lançamentos!$C$5:$C$5000,"COMPRA"),0)</f>
        <v>0</v>
      </c>
      <c r="E6" s="32">
        <f t="shared" ca="1" si="0"/>
        <v>0</v>
      </c>
      <c r="F6" s="33">
        <f>N(Ativos!D6)</f>
        <v>40.22</v>
      </c>
      <c r="G6" s="32">
        <f t="shared" ca="1" si="1"/>
        <v>0</v>
      </c>
      <c r="H6" s="32">
        <f t="shared" ca="1" si="2"/>
        <v>0</v>
      </c>
      <c r="I6" s="34">
        <f t="shared" ca="1" si="3"/>
        <v>0</v>
      </c>
      <c r="J6" s="32">
        <f>SUMIFS(Proventos!$F$5:$F$5000,Proventos!$B$5:$B$5000,A6)</f>
        <v>0</v>
      </c>
      <c r="K6" s="32">
        <f ca="1">SUMIFS(Proventos!$F$5:$F$5000,Proventos!$B$5:$B$5000,A6,Proventos!$A$5:$A$5000,"&gt;="&amp;(TODAY()-365))</f>
        <v>0</v>
      </c>
      <c r="L6" s="32">
        <f t="shared" ca="1" si="4"/>
        <v>0</v>
      </c>
      <c r="M6" s="34">
        <f t="shared" ca="1" si="5"/>
        <v>0</v>
      </c>
      <c r="N6" s="34">
        <f t="shared" ca="1" si="6"/>
        <v>0</v>
      </c>
      <c r="O6" s="34">
        <f t="shared" si="7"/>
        <v>7.4751367478866237E-2</v>
      </c>
      <c r="P6" s="34">
        <f t="shared" ca="1" si="8"/>
        <v>0</v>
      </c>
      <c r="Q6" s="35">
        <f>N(Ativos!F6)</f>
        <v>0.05</v>
      </c>
      <c r="R6" s="34">
        <f t="shared" ca="1" si="9"/>
        <v>-0.05</v>
      </c>
      <c r="S6" s="32">
        <f t="shared" ca="1" si="10"/>
        <v>0</v>
      </c>
      <c r="T6" s="33">
        <f>N(Ativos!E6)</f>
        <v>3.0065</v>
      </c>
      <c r="U6" s="36">
        <f t="shared" si="11"/>
        <v>0.25054166666666666</v>
      </c>
      <c r="V6" s="32">
        <f t="shared" ca="1" si="12"/>
        <v>0</v>
      </c>
      <c r="W6" s="34">
        <f t="shared" ca="1" si="13"/>
        <v>0</v>
      </c>
      <c r="X6" s="31">
        <f t="shared" si="14"/>
        <v>4387</v>
      </c>
      <c r="Y6" s="31">
        <f t="shared" ca="1" si="15"/>
        <v>4387</v>
      </c>
      <c r="Z6" s="37">
        <f t="shared" ca="1" si="16"/>
        <v>176445.13999999998</v>
      </c>
      <c r="AA6" s="38">
        <f t="shared" ca="1" si="17"/>
        <v>59</v>
      </c>
      <c r="AB6" s="30" t="str">
        <f>IF(Ativos!C6="","",Ativos!C6)</f>
        <v>Energia – Transmissão</v>
      </c>
      <c r="AC6" s="39">
        <f t="shared" si="18"/>
        <v>1</v>
      </c>
    </row>
    <row r="7" spans="1:40">
      <c r="A7" s="20" t="str">
        <f>IF(Ativos!A7="","",Ativos!A7)</f>
        <v>PETR4</v>
      </c>
      <c r="B7" s="20" t="str">
        <f>IF(Ativos!B7="","",Ativos!B7)</f>
        <v>AÇÃO</v>
      </c>
      <c r="C7" s="21">
        <f ca="1">SUMIFS(Lançamentos!$D$5:$D$5000,Lançamentos!$B$5:$B$5000,A7,Lançamentos!$C$5:$C$5000,"COMPRA")-SUMIFS(Lançamentos!$D$5:$D$5000,Lançamentos!$B$5:$B$5000,A7,Lançamentos!$C$5:$C$5000,"VENDA")</f>
        <v>0</v>
      </c>
      <c r="D7" s="22">
        <f ca="1">IFERROR(SUMIFS(Lançamentos!$G$5:$G$5000,Lançamentos!$B$5:$B$5000,A7,Lançamentos!$C$5:$C$5000,"COMPRA")/SUMIFS(Lançamentos!$D$5:$D$5000,Lançamentos!$B$5:$B$5000,A7,Lançamentos!$C$5:$C$5000,"COMPRA"),0)</f>
        <v>0</v>
      </c>
      <c r="E7" s="22">
        <f t="shared" ca="1" si="0"/>
        <v>0</v>
      </c>
      <c r="F7" s="23">
        <f>N(Ativos!D7)</f>
        <v>48.72</v>
      </c>
      <c r="G7" s="22">
        <f t="shared" ca="1" si="1"/>
        <v>0</v>
      </c>
      <c r="H7" s="22">
        <f t="shared" ca="1" si="2"/>
        <v>0</v>
      </c>
      <c r="I7" s="24">
        <f t="shared" ca="1" si="3"/>
        <v>0</v>
      </c>
      <c r="J7" s="22">
        <f>SUMIFS(Proventos!$F$5:$F$5000,Proventos!$B$5:$B$5000,A7)</f>
        <v>0</v>
      </c>
      <c r="K7" s="22">
        <f ca="1">SUMIFS(Proventos!$F$5:$F$5000,Proventos!$B$5:$B$5000,A7,Proventos!$A$5:$A$5000,"&gt;="&amp;(TODAY()-365))</f>
        <v>0</v>
      </c>
      <c r="L7" s="22">
        <f t="shared" ca="1" si="4"/>
        <v>0</v>
      </c>
      <c r="M7" s="24">
        <f t="shared" ca="1" si="5"/>
        <v>0</v>
      </c>
      <c r="N7" s="24">
        <f t="shared" ca="1" si="6"/>
        <v>0</v>
      </c>
      <c r="O7" s="24">
        <f t="shared" si="7"/>
        <v>7.5211412151067317E-2</v>
      </c>
      <c r="P7" s="24">
        <f t="shared" ca="1" si="8"/>
        <v>0</v>
      </c>
      <c r="Q7" s="25">
        <f>N(Ativos!F7)</f>
        <v>7.0000000000000007E-2</v>
      </c>
      <c r="R7" s="24">
        <f t="shared" ca="1" si="9"/>
        <v>-7.0000000000000007E-2</v>
      </c>
      <c r="S7" s="22">
        <f t="shared" ca="1" si="10"/>
        <v>0</v>
      </c>
      <c r="T7" s="23">
        <f>N(Ativos!E7)</f>
        <v>3.6642999999999999</v>
      </c>
      <c r="U7" s="26">
        <f t="shared" si="11"/>
        <v>0.30535833333333334</v>
      </c>
      <c r="V7" s="22">
        <f t="shared" ca="1" si="12"/>
        <v>0</v>
      </c>
      <c r="W7" s="24">
        <f t="shared" ca="1" si="13"/>
        <v>0</v>
      </c>
      <c r="X7" s="21">
        <f t="shared" si="14"/>
        <v>3600</v>
      </c>
      <c r="Y7" s="21">
        <f t="shared" ca="1" si="15"/>
        <v>3600</v>
      </c>
      <c r="Z7" s="27">
        <f t="shared" ca="1" si="16"/>
        <v>175392</v>
      </c>
      <c r="AA7" s="28">
        <f t="shared" ca="1" si="17"/>
        <v>59</v>
      </c>
      <c r="AB7" s="20" t="str">
        <f>IF(Ativos!C7="","",Ativos!C7)</f>
        <v>Petróleo &amp; Gás</v>
      </c>
      <c r="AC7" s="29">
        <f t="shared" si="18"/>
        <v>1</v>
      </c>
    </row>
    <row r="8" spans="1:40">
      <c r="A8" s="30" t="str">
        <f>IF(Ativos!A8="","",Ativos!A8)</f>
        <v>BBAS3</v>
      </c>
      <c r="B8" s="30" t="str">
        <f>IF(Ativos!B8="","",Ativos!B8)</f>
        <v>AÇÃO</v>
      </c>
      <c r="C8" s="31">
        <f ca="1">SUMIFS(Lançamentos!$D$5:$D$5000,Lançamentos!$B$5:$B$5000,A8,Lançamentos!$C$5:$C$5000,"COMPRA")-SUMIFS(Lançamentos!$D$5:$D$5000,Lançamentos!$B$5:$B$5000,A8,Lançamentos!$C$5:$C$5000,"VENDA")</f>
        <v>0</v>
      </c>
      <c r="D8" s="32">
        <f ca="1">IFERROR(SUMIFS(Lançamentos!$G$5:$G$5000,Lançamentos!$B$5:$B$5000,A8,Lançamentos!$C$5:$C$5000,"COMPRA")/SUMIFS(Lançamentos!$D$5:$D$5000,Lançamentos!$B$5:$B$5000,A8,Lançamentos!$C$5:$C$5000,"COMPRA"),0)</f>
        <v>0</v>
      </c>
      <c r="E8" s="32">
        <f t="shared" ca="1" si="0"/>
        <v>0</v>
      </c>
      <c r="F8" s="33">
        <f>N(Ativos!D8)</f>
        <v>21.49</v>
      </c>
      <c r="G8" s="32">
        <f t="shared" ca="1" si="1"/>
        <v>0</v>
      </c>
      <c r="H8" s="32">
        <f t="shared" ca="1" si="2"/>
        <v>0</v>
      </c>
      <c r="I8" s="34">
        <f t="shared" ca="1" si="3"/>
        <v>0</v>
      </c>
      <c r="J8" s="32">
        <f>SUMIFS(Proventos!$F$5:$F$5000,Proventos!$B$5:$B$5000,A8)</f>
        <v>0</v>
      </c>
      <c r="K8" s="32">
        <f ca="1">SUMIFS(Proventos!$F$5:$F$5000,Proventos!$B$5:$B$5000,A8,Proventos!$A$5:$A$5000,"&gt;="&amp;(TODAY()-365))</f>
        <v>0</v>
      </c>
      <c r="L8" s="32">
        <f t="shared" ca="1" si="4"/>
        <v>0</v>
      </c>
      <c r="M8" s="34">
        <f t="shared" ca="1" si="5"/>
        <v>0</v>
      </c>
      <c r="N8" s="34">
        <f t="shared" ca="1" si="6"/>
        <v>0</v>
      </c>
      <c r="O8" s="34">
        <f t="shared" si="7"/>
        <v>3.0479292694276412E-2</v>
      </c>
      <c r="P8" s="34">
        <f t="shared" ca="1" si="8"/>
        <v>0</v>
      </c>
      <c r="Q8" s="35">
        <f>N(Ativos!F8)</f>
        <v>0.06</v>
      </c>
      <c r="R8" s="34">
        <f t="shared" ca="1" si="9"/>
        <v>-0.06</v>
      </c>
      <c r="S8" s="32">
        <f t="shared" ca="1" si="10"/>
        <v>0</v>
      </c>
      <c r="T8" s="33">
        <f>N(Ativos!E8)</f>
        <v>0.65500000000000003</v>
      </c>
      <c r="U8" s="36">
        <f t="shared" si="11"/>
        <v>5.4583333333333338E-2</v>
      </c>
      <c r="V8" s="32">
        <f t="shared" ca="1" si="12"/>
        <v>0</v>
      </c>
      <c r="W8" s="34">
        <f t="shared" ca="1" si="13"/>
        <v>0</v>
      </c>
      <c r="X8" s="31">
        <f t="shared" si="14"/>
        <v>20135</v>
      </c>
      <c r="Y8" s="31">
        <f t="shared" ca="1" si="15"/>
        <v>20135</v>
      </c>
      <c r="Z8" s="37">
        <f t="shared" ca="1" si="16"/>
        <v>432701.14999999997</v>
      </c>
      <c r="AA8" s="38">
        <f t="shared" ca="1" si="17"/>
        <v>145</v>
      </c>
      <c r="AB8" s="30" t="str">
        <f>IF(Ativos!C8="","",Ativos!C8)</f>
        <v>Bancos</v>
      </c>
      <c r="AC8" s="39">
        <f t="shared" si="18"/>
        <v>1</v>
      </c>
    </row>
    <row r="9" spans="1:40">
      <c r="A9" s="20" t="str">
        <f>IF(Ativos!A9="","",Ativos!A9)</f>
        <v>BRBI11</v>
      </c>
      <c r="B9" s="20" t="str">
        <f>IF(Ativos!B9="","",Ativos!B9)</f>
        <v>AÇÃO</v>
      </c>
      <c r="C9" s="21">
        <f ca="1">SUMIFS(Lançamentos!$D$5:$D$5000,Lançamentos!$B$5:$B$5000,A9,Lançamentos!$C$5:$C$5000,"COMPRA")-SUMIFS(Lançamentos!$D$5:$D$5000,Lançamentos!$B$5:$B$5000,A9,Lançamentos!$C$5:$C$5000,"VENDA")</f>
        <v>0</v>
      </c>
      <c r="D9" s="22">
        <f ca="1">IFERROR(SUMIFS(Lançamentos!$G$5:$G$5000,Lançamentos!$B$5:$B$5000,A9,Lançamentos!$C$5:$C$5000,"COMPRA")/SUMIFS(Lançamentos!$D$5:$D$5000,Lançamentos!$B$5:$B$5000,A9,Lançamentos!$C$5:$C$5000,"COMPRA"),0)</f>
        <v>0</v>
      </c>
      <c r="E9" s="22">
        <f t="shared" ca="1" si="0"/>
        <v>0</v>
      </c>
      <c r="F9" s="23">
        <f>N(Ativos!D9)</f>
        <v>14.5</v>
      </c>
      <c r="G9" s="22">
        <f t="shared" ca="1" si="1"/>
        <v>0</v>
      </c>
      <c r="H9" s="22">
        <f t="shared" ca="1" si="2"/>
        <v>0</v>
      </c>
      <c r="I9" s="24">
        <f t="shared" ca="1" si="3"/>
        <v>0</v>
      </c>
      <c r="J9" s="22">
        <f>SUMIFS(Proventos!$F$5:$F$5000,Proventos!$B$5:$B$5000,A9)</f>
        <v>0</v>
      </c>
      <c r="K9" s="22">
        <f ca="1">SUMIFS(Proventos!$F$5:$F$5000,Proventos!$B$5:$B$5000,A9,Proventos!$A$5:$A$5000,"&gt;="&amp;(TODAY()-365))</f>
        <v>0</v>
      </c>
      <c r="L9" s="22">
        <f t="shared" ca="1" si="4"/>
        <v>0</v>
      </c>
      <c r="M9" s="24">
        <f t="shared" ca="1" si="5"/>
        <v>0</v>
      </c>
      <c r="N9" s="24">
        <f t="shared" ca="1" si="6"/>
        <v>0</v>
      </c>
      <c r="O9" s="24">
        <f t="shared" si="7"/>
        <v>9.5172413793103441E-2</v>
      </c>
      <c r="P9" s="24">
        <f t="shared" ca="1" si="8"/>
        <v>0</v>
      </c>
      <c r="Q9" s="25">
        <f>N(Ativos!F9)</f>
        <v>0.05</v>
      </c>
      <c r="R9" s="24">
        <f t="shared" ca="1" si="9"/>
        <v>-0.05</v>
      </c>
      <c r="S9" s="22">
        <f t="shared" ca="1" si="10"/>
        <v>0</v>
      </c>
      <c r="T9" s="23">
        <f>N(Ativos!E9)</f>
        <v>1.38</v>
      </c>
      <c r="U9" s="26">
        <f t="shared" si="11"/>
        <v>0.11499999999999999</v>
      </c>
      <c r="V9" s="22">
        <f t="shared" ca="1" si="12"/>
        <v>0</v>
      </c>
      <c r="W9" s="24">
        <f t="shared" ca="1" si="13"/>
        <v>0</v>
      </c>
      <c r="X9" s="21">
        <f t="shared" si="14"/>
        <v>9557</v>
      </c>
      <c r="Y9" s="21">
        <f t="shared" ca="1" si="15"/>
        <v>9557</v>
      </c>
      <c r="Z9" s="27">
        <f t="shared" ca="1" si="16"/>
        <v>138576.5</v>
      </c>
      <c r="AA9" s="28">
        <f t="shared" ca="1" si="17"/>
        <v>47</v>
      </c>
      <c r="AB9" s="20" t="str">
        <f>IF(Ativos!C9="","",Ativos!C9)</f>
        <v>Banco de investimento</v>
      </c>
      <c r="AC9" s="29">
        <f t="shared" si="18"/>
        <v>1</v>
      </c>
    </row>
    <row r="10" spans="1:40">
      <c r="A10" s="30" t="str">
        <f>IF(Ativos!A10="","",Ativos!A10)</f>
        <v>BBDC4</v>
      </c>
      <c r="B10" s="30" t="str">
        <f>IF(Ativos!B10="","",Ativos!B10)</f>
        <v>AÇÃO</v>
      </c>
      <c r="C10" s="31">
        <f ca="1">SUMIFS(Lançamentos!$D$5:$D$5000,Lançamentos!$B$5:$B$5000,A10,Lançamentos!$C$5:$C$5000,"COMPRA")-SUMIFS(Lançamentos!$D$5:$D$5000,Lançamentos!$B$5:$B$5000,A10,Lançamentos!$C$5:$C$5000,"VENDA")</f>
        <v>0</v>
      </c>
      <c r="D10" s="32">
        <f ca="1">IFERROR(SUMIFS(Lançamentos!$G$5:$G$5000,Lançamentos!$B$5:$B$5000,A10,Lançamentos!$C$5:$C$5000,"COMPRA")/SUMIFS(Lançamentos!$D$5:$D$5000,Lançamentos!$B$5:$B$5000,A10,Lançamentos!$C$5:$C$5000,"COMPRA"),0)</f>
        <v>0</v>
      </c>
      <c r="E10" s="32">
        <f t="shared" ca="1" si="0"/>
        <v>0</v>
      </c>
      <c r="F10" s="33">
        <f>N(Ativos!D10)</f>
        <v>17.66</v>
      </c>
      <c r="G10" s="32">
        <f t="shared" ca="1" si="1"/>
        <v>0</v>
      </c>
      <c r="H10" s="32">
        <f t="shared" ca="1" si="2"/>
        <v>0</v>
      </c>
      <c r="I10" s="34">
        <f t="shared" ca="1" si="3"/>
        <v>0</v>
      </c>
      <c r="J10" s="32">
        <f>SUMIFS(Proventos!$F$5:$F$5000,Proventos!$B$5:$B$5000,A10)</f>
        <v>0</v>
      </c>
      <c r="K10" s="32">
        <f ca="1">SUMIFS(Proventos!$F$5:$F$5000,Proventos!$B$5:$B$5000,A10,Proventos!$A$5:$A$5000,"&gt;="&amp;(TODAY()-365))</f>
        <v>0</v>
      </c>
      <c r="L10" s="32">
        <f t="shared" ca="1" si="4"/>
        <v>0</v>
      </c>
      <c r="M10" s="34">
        <f t="shared" ca="1" si="5"/>
        <v>0</v>
      </c>
      <c r="N10" s="34">
        <f t="shared" ca="1" si="6"/>
        <v>0</v>
      </c>
      <c r="O10" s="34">
        <f t="shared" si="7"/>
        <v>8.7927519818799538E-2</v>
      </c>
      <c r="P10" s="34">
        <f t="shared" ca="1" si="8"/>
        <v>0</v>
      </c>
      <c r="Q10" s="35">
        <f>N(Ativos!F10)</f>
        <v>0.05</v>
      </c>
      <c r="R10" s="34">
        <f t="shared" ca="1" si="9"/>
        <v>-0.05</v>
      </c>
      <c r="S10" s="32">
        <f t="shared" ca="1" si="10"/>
        <v>0</v>
      </c>
      <c r="T10" s="33">
        <f>N(Ativos!E10)</f>
        <v>1.5528</v>
      </c>
      <c r="U10" s="36">
        <f t="shared" si="11"/>
        <v>0.12939999999999999</v>
      </c>
      <c r="V10" s="32">
        <f t="shared" ca="1" si="12"/>
        <v>0</v>
      </c>
      <c r="W10" s="34">
        <f t="shared" ca="1" si="13"/>
        <v>0</v>
      </c>
      <c r="X10" s="31">
        <f t="shared" si="14"/>
        <v>8494</v>
      </c>
      <c r="Y10" s="31">
        <f t="shared" ca="1" si="15"/>
        <v>8494</v>
      </c>
      <c r="Z10" s="37">
        <f t="shared" ca="1" si="16"/>
        <v>150004.04</v>
      </c>
      <c r="AA10" s="38">
        <f t="shared" ca="1" si="17"/>
        <v>51</v>
      </c>
      <c r="AB10" s="30" t="str">
        <f>IF(Ativos!C10="","",Ativos!C10)</f>
        <v>Bancos</v>
      </c>
      <c r="AC10" s="39">
        <f t="shared" si="18"/>
        <v>1</v>
      </c>
    </row>
    <row r="11" spans="1:40">
      <c r="A11" s="20" t="str">
        <f>IF(Ativos!A11="","",Ativos!A11)</f>
        <v>ITSA4</v>
      </c>
      <c r="B11" s="20" t="str">
        <f>IF(Ativos!B11="","",Ativos!B11)</f>
        <v>AÇÃO</v>
      </c>
      <c r="C11" s="21">
        <f ca="1">SUMIFS(Lançamentos!$D$5:$D$5000,Lançamentos!$B$5:$B$5000,A11,Lançamentos!$C$5:$C$5000,"COMPRA")-SUMIFS(Lançamentos!$D$5:$D$5000,Lançamentos!$B$5:$B$5000,A11,Lançamentos!$C$5:$C$5000,"VENDA")</f>
        <v>0</v>
      </c>
      <c r="D11" s="22">
        <f ca="1">IFERROR(SUMIFS(Lançamentos!$G$5:$G$5000,Lançamentos!$B$5:$B$5000,A11,Lançamentos!$C$5:$C$5000,"COMPRA")/SUMIFS(Lançamentos!$D$5:$D$5000,Lançamentos!$B$5:$B$5000,A11,Lançamentos!$C$5:$C$5000,"COMPRA"),0)</f>
        <v>0</v>
      </c>
      <c r="E11" s="22">
        <f t="shared" ca="1" si="0"/>
        <v>0</v>
      </c>
      <c r="F11" s="23">
        <f>N(Ativos!D11)</f>
        <v>13.95</v>
      </c>
      <c r="G11" s="22">
        <f t="shared" ca="1" si="1"/>
        <v>0</v>
      </c>
      <c r="H11" s="22">
        <f t="shared" ca="1" si="2"/>
        <v>0</v>
      </c>
      <c r="I11" s="24">
        <f t="shared" ca="1" si="3"/>
        <v>0</v>
      </c>
      <c r="J11" s="22">
        <f>SUMIFS(Proventos!$F$5:$F$5000,Proventos!$B$5:$B$5000,A11)</f>
        <v>0</v>
      </c>
      <c r="K11" s="22">
        <f ca="1">SUMIFS(Proventos!$F$5:$F$5000,Proventos!$B$5:$B$5000,A11,Proventos!$A$5:$A$5000,"&gt;="&amp;(TODAY()-365))</f>
        <v>0</v>
      </c>
      <c r="L11" s="22">
        <f t="shared" ca="1" si="4"/>
        <v>0</v>
      </c>
      <c r="M11" s="24">
        <f t="shared" ca="1" si="5"/>
        <v>0</v>
      </c>
      <c r="N11" s="24">
        <f t="shared" ca="1" si="6"/>
        <v>0</v>
      </c>
      <c r="O11" s="24">
        <f t="shared" si="7"/>
        <v>8.0845878136200713E-2</v>
      </c>
      <c r="P11" s="24">
        <f t="shared" ca="1" si="8"/>
        <v>0</v>
      </c>
      <c r="Q11" s="25">
        <f>N(Ativos!F11)</f>
        <v>0.1</v>
      </c>
      <c r="R11" s="24">
        <f t="shared" ca="1" si="9"/>
        <v>-0.1</v>
      </c>
      <c r="S11" s="22">
        <f t="shared" ca="1" si="10"/>
        <v>0</v>
      </c>
      <c r="T11" s="23">
        <f>N(Ativos!E11)</f>
        <v>1.1277999999999999</v>
      </c>
      <c r="U11" s="26">
        <f t="shared" si="11"/>
        <v>9.3983333333333322E-2</v>
      </c>
      <c r="V11" s="22">
        <f t="shared" ca="1" si="12"/>
        <v>0</v>
      </c>
      <c r="W11" s="24">
        <f t="shared" ca="1" si="13"/>
        <v>0</v>
      </c>
      <c r="X11" s="21">
        <f t="shared" si="14"/>
        <v>11694</v>
      </c>
      <c r="Y11" s="21">
        <f t="shared" ca="1" si="15"/>
        <v>11694</v>
      </c>
      <c r="Z11" s="27">
        <f t="shared" ca="1" si="16"/>
        <v>163131.29999999999</v>
      </c>
      <c r="AA11" s="28">
        <f t="shared" ca="1" si="17"/>
        <v>55</v>
      </c>
      <c r="AB11" s="20" t="str">
        <f>IF(Ativos!C11="","",Ativos!C11)</f>
        <v>Holding – Bancos</v>
      </c>
      <c r="AC11" s="29">
        <f t="shared" si="18"/>
        <v>1</v>
      </c>
    </row>
    <row r="12" spans="1:40">
      <c r="A12" s="30" t="str">
        <f>IF(Ativos!A12="","",Ativos!A12)</f>
        <v>CMIG4</v>
      </c>
      <c r="B12" s="30" t="str">
        <f>IF(Ativos!B12="","",Ativos!B12)</f>
        <v>AÇÃO</v>
      </c>
      <c r="C12" s="31">
        <f ca="1">SUMIFS(Lançamentos!$D$5:$D$5000,Lançamentos!$B$5:$B$5000,A12,Lançamentos!$C$5:$C$5000,"COMPRA")-SUMIFS(Lançamentos!$D$5:$D$5000,Lançamentos!$B$5:$B$5000,A12,Lançamentos!$C$5:$C$5000,"VENDA")</f>
        <v>0</v>
      </c>
      <c r="D12" s="32">
        <f ca="1">IFERROR(SUMIFS(Lançamentos!$G$5:$G$5000,Lançamentos!$B$5:$B$5000,A12,Lançamentos!$C$5:$C$5000,"COMPRA")/SUMIFS(Lançamentos!$D$5:$D$5000,Lançamentos!$B$5:$B$5000,A12,Lançamentos!$C$5:$C$5000,"COMPRA"),0)</f>
        <v>0</v>
      </c>
      <c r="E12" s="32">
        <f t="shared" ca="1" si="0"/>
        <v>0</v>
      </c>
      <c r="F12" s="33">
        <f>N(Ativos!D12)</f>
        <v>10.84</v>
      </c>
      <c r="G12" s="32">
        <f t="shared" ca="1" si="1"/>
        <v>0</v>
      </c>
      <c r="H12" s="32">
        <f t="shared" ca="1" si="2"/>
        <v>0</v>
      </c>
      <c r="I12" s="34">
        <f t="shared" ca="1" si="3"/>
        <v>0</v>
      </c>
      <c r="J12" s="32">
        <f>SUMIFS(Proventos!$F$5:$F$5000,Proventos!$B$5:$B$5000,A12)</f>
        <v>0</v>
      </c>
      <c r="K12" s="32">
        <f ca="1">SUMIFS(Proventos!$F$5:$F$5000,Proventos!$B$5:$B$5000,A12,Proventos!$A$5:$A$5000,"&gt;="&amp;(TODAY()-365))</f>
        <v>0</v>
      </c>
      <c r="L12" s="32">
        <f t="shared" ca="1" si="4"/>
        <v>0</v>
      </c>
      <c r="M12" s="34">
        <f t="shared" ca="1" si="5"/>
        <v>0</v>
      </c>
      <c r="N12" s="34">
        <f t="shared" ca="1" si="6"/>
        <v>0</v>
      </c>
      <c r="O12" s="34">
        <f t="shared" si="7"/>
        <v>0.12460332103321034</v>
      </c>
      <c r="P12" s="34">
        <f t="shared" ca="1" si="8"/>
        <v>0</v>
      </c>
      <c r="Q12" s="35">
        <f>N(Ativos!F12)</f>
        <v>0.1</v>
      </c>
      <c r="R12" s="34">
        <f t="shared" ca="1" si="9"/>
        <v>-0.1</v>
      </c>
      <c r="S12" s="32">
        <f t="shared" ca="1" si="10"/>
        <v>0</v>
      </c>
      <c r="T12" s="33">
        <f>N(Ativos!E12)</f>
        <v>1.3507</v>
      </c>
      <c r="U12" s="36">
        <f t="shared" si="11"/>
        <v>0.11255833333333333</v>
      </c>
      <c r="V12" s="32">
        <f t="shared" ca="1" si="12"/>
        <v>0</v>
      </c>
      <c r="W12" s="34">
        <f t="shared" ca="1" si="13"/>
        <v>0</v>
      </c>
      <c r="X12" s="31">
        <f t="shared" si="14"/>
        <v>9764</v>
      </c>
      <c r="Y12" s="31">
        <f t="shared" ca="1" si="15"/>
        <v>9764</v>
      </c>
      <c r="Z12" s="37">
        <f t="shared" ca="1" si="16"/>
        <v>105841.76</v>
      </c>
      <c r="AA12" s="38">
        <f t="shared" ca="1" si="17"/>
        <v>36</v>
      </c>
      <c r="AB12" s="30" t="str">
        <f>IF(Ativos!C12="","",Ativos!C12)</f>
        <v>Energia – Utilities</v>
      </c>
      <c r="AC12" s="39">
        <f t="shared" si="18"/>
        <v>1</v>
      </c>
    </row>
    <row r="13" spans="1:40">
      <c r="A13" s="20" t="str">
        <f>IF(Ativos!A13="","",Ativos!A13)</f>
        <v>FIQE3</v>
      </c>
      <c r="B13" s="20" t="str">
        <f>IF(Ativos!B13="","",Ativos!B13)</f>
        <v>AÇÃO</v>
      </c>
      <c r="C13" s="21">
        <f ca="1">SUMIFS(Lançamentos!$D$5:$D$5000,Lançamentos!$B$5:$B$5000,A13,Lançamentos!$C$5:$C$5000,"COMPRA")-SUMIFS(Lançamentos!$D$5:$D$5000,Lançamentos!$B$5:$B$5000,A13,Lançamentos!$C$5:$C$5000,"VENDA")</f>
        <v>0</v>
      </c>
      <c r="D13" s="22">
        <f ca="1">IFERROR(SUMIFS(Lançamentos!$G$5:$G$5000,Lançamentos!$B$5:$B$5000,A13,Lançamentos!$C$5:$C$5000,"COMPRA")/SUMIFS(Lançamentos!$D$5:$D$5000,Lançamentos!$B$5:$B$5000,A13,Lançamentos!$C$5:$C$5000,"COMPRA"),0)</f>
        <v>0</v>
      </c>
      <c r="E13" s="22">
        <f t="shared" ca="1" si="0"/>
        <v>0</v>
      </c>
      <c r="F13" s="23">
        <f>N(Ativos!D13)</f>
        <v>4.92</v>
      </c>
      <c r="G13" s="22">
        <f t="shared" ca="1" si="1"/>
        <v>0</v>
      </c>
      <c r="H13" s="22">
        <f t="shared" ca="1" si="2"/>
        <v>0</v>
      </c>
      <c r="I13" s="24">
        <f t="shared" ca="1" si="3"/>
        <v>0</v>
      </c>
      <c r="J13" s="22">
        <f>SUMIFS(Proventos!$F$5:$F$5000,Proventos!$B$5:$B$5000,A13)</f>
        <v>0</v>
      </c>
      <c r="K13" s="22">
        <f ca="1">SUMIFS(Proventos!$F$5:$F$5000,Proventos!$B$5:$B$5000,A13,Proventos!$A$5:$A$5000,"&gt;="&amp;(TODAY()-365))</f>
        <v>0</v>
      </c>
      <c r="L13" s="22">
        <f t="shared" ca="1" si="4"/>
        <v>0</v>
      </c>
      <c r="M13" s="24">
        <f t="shared" ca="1" si="5"/>
        <v>0</v>
      </c>
      <c r="N13" s="24">
        <f t="shared" ca="1" si="6"/>
        <v>0</v>
      </c>
      <c r="O13" s="24">
        <f t="shared" si="7"/>
        <v>0.13861788617886181</v>
      </c>
      <c r="P13" s="24">
        <f t="shared" ca="1" si="8"/>
        <v>0</v>
      </c>
      <c r="Q13" s="25">
        <f>N(Ativos!F13)</f>
        <v>0.05</v>
      </c>
      <c r="R13" s="24">
        <f t="shared" ca="1" si="9"/>
        <v>-0.05</v>
      </c>
      <c r="S13" s="22">
        <f t="shared" ca="1" si="10"/>
        <v>0</v>
      </c>
      <c r="T13" s="23">
        <f>N(Ativos!E13)</f>
        <v>0.68200000000000005</v>
      </c>
      <c r="U13" s="26">
        <f t="shared" si="11"/>
        <v>5.683333333333334E-2</v>
      </c>
      <c r="V13" s="22">
        <f t="shared" ca="1" si="12"/>
        <v>0</v>
      </c>
      <c r="W13" s="24">
        <f t="shared" ca="1" si="13"/>
        <v>0</v>
      </c>
      <c r="X13" s="21">
        <f t="shared" si="14"/>
        <v>19338</v>
      </c>
      <c r="Y13" s="21">
        <f t="shared" ca="1" si="15"/>
        <v>19338</v>
      </c>
      <c r="Z13" s="27">
        <f t="shared" ca="1" si="16"/>
        <v>95142.959999999992</v>
      </c>
      <c r="AA13" s="28">
        <f t="shared" ca="1" si="17"/>
        <v>32</v>
      </c>
      <c r="AB13" s="20" t="str">
        <f>IF(Ativos!C13="","",Ativos!C13)</f>
        <v>Telecom / Tecnologia</v>
      </c>
      <c r="AC13" s="29">
        <f t="shared" si="18"/>
        <v>1</v>
      </c>
    </row>
    <row r="14" spans="1:40">
      <c r="A14" s="30" t="str">
        <f>IF(Ativos!A14="","",Ativos!A14)</f>
        <v>KLBN11</v>
      </c>
      <c r="B14" s="30" t="str">
        <f>IF(Ativos!B14="","",Ativos!B14)</f>
        <v>AÇÃO</v>
      </c>
      <c r="C14" s="31">
        <f ca="1">SUMIFS(Lançamentos!$D$5:$D$5000,Lançamentos!$B$5:$B$5000,A14,Lançamentos!$C$5:$C$5000,"COMPRA")-SUMIFS(Lançamentos!$D$5:$D$5000,Lançamentos!$B$5:$B$5000,A14,Lançamentos!$C$5:$C$5000,"VENDA")</f>
        <v>0</v>
      </c>
      <c r="D14" s="32">
        <f ca="1">IFERROR(SUMIFS(Lançamentos!$G$5:$G$5000,Lançamentos!$B$5:$B$5000,A14,Lançamentos!$C$5:$C$5000,"COMPRA")/SUMIFS(Lançamentos!$D$5:$D$5000,Lançamentos!$B$5:$B$5000,A14,Lançamentos!$C$5:$C$5000,"COMPRA"),0)</f>
        <v>0</v>
      </c>
      <c r="E14" s="32">
        <f t="shared" ca="1" si="0"/>
        <v>0</v>
      </c>
      <c r="F14" s="33">
        <f>N(Ativos!D14)</f>
        <v>18.309999999999999</v>
      </c>
      <c r="G14" s="32">
        <f t="shared" ca="1" si="1"/>
        <v>0</v>
      </c>
      <c r="H14" s="32">
        <f t="shared" ca="1" si="2"/>
        <v>0</v>
      </c>
      <c r="I14" s="34">
        <f t="shared" ca="1" si="3"/>
        <v>0</v>
      </c>
      <c r="J14" s="32">
        <f>SUMIFS(Proventos!$F$5:$F$5000,Proventos!$B$5:$B$5000,A14)</f>
        <v>0</v>
      </c>
      <c r="K14" s="32">
        <f ca="1">SUMIFS(Proventos!$F$5:$F$5000,Proventos!$B$5:$B$5000,A14,Proventos!$A$5:$A$5000,"&gt;="&amp;(TODAY()-365))</f>
        <v>0</v>
      </c>
      <c r="L14" s="32">
        <f t="shared" ca="1" si="4"/>
        <v>0</v>
      </c>
      <c r="M14" s="34">
        <f t="shared" ca="1" si="5"/>
        <v>0</v>
      </c>
      <c r="N14" s="34">
        <f t="shared" ca="1" si="6"/>
        <v>0</v>
      </c>
      <c r="O14" s="34">
        <f t="shared" si="7"/>
        <v>6.3413435281267069E-2</v>
      </c>
      <c r="P14" s="34">
        <f t="shared" ca="1" si="8"/>
        <v>0</v>
      </c>
      <c r="Q14" s="35">
        <f>N(Ativos!F14)</f>
        <v>7.0000000000000007E-2</v>
      </c>
      <c r="R14" s="34">
        <f t="shared" ca="1" si="9"/>
        <v>-7.0000000000000007E-2</v>
      </c>
      <c r="S14" s="32">
        <f t="shared" ca="1" si="10"/>
        <v>0</v>
      </c>
      <c r="T14" s="33">
        <f>N(Ativos!E14)</f>
        <v>1.1611</v>
      </c>
      <c r="U14" s="36">
        <f t="shared" si="11"/>
        <v>9.6758333333333335E-2</v>
      </c>
      <c r="V14" s="32">
        <f t="shared" ca="1" si="12"/>
        <v>0</v>
      </c>
      <c r="W14" s="34">
        <f t="shared" ca="1" si="13"/>
        <v>0</v>
      </c>
      <c r="X14" s="31">
        <f t="shared" si="14"/>
        <v>11359</v>
      </c>
      <c r="Y14" s="31">
        <f t="shared" ca="1" si="15"/>
        <v>11359</v>
      </c>
      <c r="Z14" s="37">
        <f t="shared" ca="1" si="16"/>
        <v>207983.28999999998</v>
      </c>
      <c r="AA14" s="38">
        <f t="shared" ca="1" si="17"/>
        <v>70</v>
      </c>
      <c r="AB14" s="30" t="str">
        <f>IF(Ativos!C14="","",Ativos!C14)</f>
        <v>Papel &amp; Celulose</v>
      </c>
      <c r="AC14" s="39">
        <f t="shared" si="18"/>
        <v>1</v>
      </c>
    </row>
    <row r="15" spans="1:40">
      <c r="A15" s="20" t="str">
        <f>IF(Ativos!A15="","",Ativos!A15)</f>
        <v>MXRF11</v>
      </c>
      <c r="B15" s="20" t="str">
        <f>IF(Ativos!B15="","",Ativos!B15)</f>
        <v>FII</v>
      </c>
      <c r="C15" s="21">
        <f ca="1">SUMIFS(Lançamentos!$D$5:$D$5000,Lançamentos!$B$5:$B$5000,A15,Lançamentos!$C$5:$C$5000,"COMPRA")-SUMIFS(Lançamentos!$D$5:$D$5000,Lançamentos!$B$5:$B$5000,A15,Lançamentos!$C$5:$C$5000,"VENDA")</f>
        <v>0</v>
      </c>
      <c r="D15" s="22">
        <f ca="1">IFERROR(SUMIFS(Lançamentos!$G$5:$G$5000,Lançamentos!$B$5:$B$5000,A15,Lançamentos!$C$5:$C$5000,"COMPRA")/SUMIFS(Lançamentos!$D$5:$D$5000,Lançamentos!$B$5:$B$5000,A15,Lançamentos!$C$5:$C$5000,"COMPRA"),0)</f>
        <v>0</v>
      </c>
      <c r="E15" s="22">
        <f t="shared" ca="1" si="0"/>
        <v>0</v>
      </c>
      <c r="F15" s="23">
        <f>N(Ativos!D15)</f>
        <v>9.08</v>
      </c>
      <c r="G15" s="22">
        <f t="shared" ca="1" si="1"/>
        <v>0</v>
      </c>
      <c r="H15" s="22">
        <f t="shared" ca="1" si="2"/>
        <v>0</v>
      </c>
      <c r="I15" s="24">
        <f t="shared" ca="1" si="3"/>
        <v>0</v>
      </c>
      <c r="J15" s="22">
        <f>SUMIFS(Proventos!$F$5:$F$5000,Proventos!$B$5:$B$5000,A15)</f>
        <v>0</v>
      </c>
      <c r="K15" s="22">
        <f ca="1">SUMIFS(Proventos!$F$5:$F$5000,Proventos!$B$5:$B$5000,A15,Proventos!$A$5:$A$5000,"&gt;="&amp;(TODAY()-365))</f>
        <v>0</v>
      </c>
      <c r="L15" s="22">
        <f t="shared" ca="1" si="4"/>
        <v>0</v>
      </c>
      <c r="M15" s="24">
        <f t="shared" ca="1" si="5"/>
        <v>0</v>
      </c>
      <c r="N15" s="24">
        <f t="shared" ca="1" si="6"/>
        <v>0</v>
      </c>
      <c r="O15" s="24">
        <f t="shared" si="7"/>
        <v>0.13153083700440527</v>
      </c>
      <c r="P15" s="24">
        <f t="shared" ca="1" si="8"/>
        <v>0</v>
      </c>
      <c r="Q15" s="25">
        <f>N(Ativos!F15)</f>
        <v>0.05</v>
      </c>
      <c r="R15" s="24">
        <f t="shared" ca="1" si="9"/>
        <v>-0.05</v>
      </c>
      <c r="S15" s="22">
        <f t="shared" ca="1" si="10"/>
        <v>0</v>
      </c>
      <c r="T15" s="23">
        <f>N(Ativos!E15)</f>
        <v>1.1942999999999999</v>
      </c>
      <c r="U15" s="26">
        <f t="shared" si="11"/>
        <v>9.9524999999999988E-2</v>
      </c>
      <c r="V15" s="22">
        <f t="shared" ca="1" si="12"/>
        <v>0</v>
      </c>
      <c r="W15" s="24">
        <f t="shared" ca="1" si="13"/>
        <v>0</v>
      </c>
      <c r="X15" s="21">
        <f t="shared" si="14"/>
        <v>11043</v>
      </c>
      <c r="Y15" s="21">
        <f t="shared" ca="1" si="15"/>
        <v>11043</v>
      </c>
      <c r="Z15" s="27">
        <f t="shared" ca="1" si="16"/>
        <v>100270.44</v>
      </c>
      <c r="AA15" s="28">
        <f t="shared" ca="1" si="17"/>
        <v>34</v>
      </c>
      <c r="AB15" s="20" t="str">
        <f>IF(Ativos!C15="","",Ativos!C15)</f>
        <v>Papel (recebíveis)</v>
      </c>
      <c r="AC15" s="29">
        <f t="shared" si="18"/>
        <v>1</v>
      </c>
    </row>
    <row r="16" spans="1:40">
      <c r="A16" s="30" t="str">
        <f>IF(Ativos!A16="","",Ativos!A16)</f>
        <v>BRCR11</v>
      </c>
      <c r="B16" s="30" t="str">
        <f>IF(Ativos!B16="","",Ativos!B16)</f>
        <v>FII</v>
      </c>
      <c r="C16" s="31">
        <f ca="1">SUMIFS(Lançamentos!$D$5:$D$5000,Lançamentos!$B$5:$B$5000,A16,Lançamentos!$C$5:$C$5000,"COMPRA")-SUMIFS(Lançamentos!$D$5:$D$5000,Lançamentos!$B$5:$B$5000,A16,Lançamentos!$C$5:$C$5000,"VENDA")</f>
        <v>0</v>
      </c>
      <c r="D16" s="32">
        <f ca="1">IFERROR(SUMIFS(Lançamentos!$G$5:$G$5000,Lançamentos!$B$5:$B$5000,A16,Lançamentos!$C$5:$C$5000,"COMPRA")/SUMIFS(Lançamentos!$D$5:$D$5000,Lançamentos!$B$5:$B$5000,A16,Lançamentos!$C$5:$C$5000,"COMPRA"),0)</f>
        <v>0</v>
      </c>
      <c r="E16" s="32">
        <f t="shared" ca="1" si="0"/>
        <v>0</v>
      </c>
      <c r="F16" s="33">
        <f>N(Ativos!D16)</f>
        <v>41.31</v>
      </c>
      <c r="G16" s="32">
        <f t="shared" ca="1" si="1"/>
        <v>0</v>
      </c>
      <c r="H16" s="32">
        <f t="shared" ca="1" si="2"/>
        <v>0</v>
      </c>
      <c r="I16" s="34">
        <f t="shared" ca="1" si="3"/>
        <v>0</v>
      </c>
      <c r="J16" s="32">
        <f>SUMIFS(Proventos!$F$5:$F$5000,Proventos!$B$5:$B$5000,A16)</f>
        <v>0</v>
      </c>
      <c r="K16" s="32">
        <f ca="1">SUMIFS(Proventos!$F$5:$F$5000,Proventos!$B$5:$B$5000,A16,Proventos!$A$5:$A$5000,"&gt;="&amp;(TODAY()-365))</f>
        <v>0</v>
      </c>
      <c r="L16" s="32">
        <f t="shared" ca="1" si="4"/>
        <v>0</v>
      </c>
      <c r="M16" s="34">
        <f t="shared" ca="1" si="5"/>
        <v>0</v>
      </c>
      <c r="N16" s="34">
        <f t="shared" ca="1" si="6"/>
        <v>0</v>
      </c>
      <c r="O16" s="34">
        <f t="shared" si="7"/>
        <v>0.11909949164851125</v>
      </c>
      <c r="P16" s="34">
        <f t="shared" ca="1" si="8"/>
        <v>0</v>
      </c>
      <c r="Q16" s="35">
        <f>N(Ativos!F16)</f>
        <v>0.04</v>
      </c>
      <c r="R16" s="34">
        <f t="shared" ca="1" si="9"/>
        <v>-0.04</v>
      </c>
      <c r="S16" s="32">
        <f t="shared" ca="1" si="10"/>
        <v>0</v>
      </c>
      <c r="T16" s="33">
        <f>N(Ativos!E16)</f>
        <v>4.92</v>
      </c>
      <c r="U16" s="36">
        <f t="shared" si="11"/>
        <v>0.41</v>
      </c>
      <c r="V16" s="32">
        <f t="shared" ca="1" si="12"/>
        <v>0</v>
      </c>
      <c r="W16" s="34">
        <f t="shared" ca="1" si="13"/>
        <v>0</v>
      </c>
      <c r="X16" s="31">
        <f t="shared" si="14"/>
        <v>2681</v>
      </c>
      <c r="Y16" s="31">
        <f t="shared" ca="1" si="15"/>
        <v>2681</v>
      </c>
      <c r="Z16" s="37">
        <f t="shared" ca="1" si="16"/>
        <v>110752.11</v>
      </c>
      <c r="AA16" s="38">
        <f t="shared" ca="1" si="17"/>
        <v>37</v>
      </c>
      <c r="AB16" s="30" t="str">
        <f>IF(Ativos!C16="","",Ativos!C16)</f>
        <v>Lajes corporativas</v>
      </c>
      <c r="AC16" s="39">
        <f t="shared" si="18"/>
        <v>1</v>
      </c>
    </row>
    <row r="17" spans="1:29">
      <c r="A17" s="20" t="str">
        <f>IF(Ativos!A17="","",Ativos!A17)</f>
        <v>XPLG11</v>
      </c>
      <c r="B17" s="20" t="str">
        <f>IF(Ativos!B17="","",Ativos!B17)</f>
        <v>FII</v>
      </c>
      <c r="C17" s="21">
        <f ca="1">SUMIFS(Lançamentos!$D$5:$D$5000,Lançamentos!$B$5:$B$5000,A17,Lançamentos!$C$5:$C$5000,"COMPRA")-SUMIFS(Lançamentos!$D$5:$D$5000,Lançamentos!$B$5:$B$5000,A17,Lançamentos!$C$5:$C$5000,"VENDA")</f>
        <v>0</v>
      </c>
      <c r="D17" s="22">
        <f ca="1">IFERROR(SUMIFS(Lançamentos!$G$5:$G$5000,Lançamentos!$B$5:$B$5000,A17,Lançamentos!$C$5:$C$5000,"COMPRA")/SUMIFS(Lançamentos!$D$5:$D$5000,Lançamentos!$B$5:$B$5000,A17,Lançamentos!$C$5:$C$5000,"COMPRA"),0)</f>
        <v>0</v>
      </c>
      <c r="E17" s="22">
        <f t="shared" ca="1" si="0"/>
        <v>0</v>
      </c>
      <c r="F17" s="23">
        <f>N(Ativos!D17)</f>
        <v>92.54</v>
      </c>
      <c r="G17" s="22">
        <f t="shared" ca="1" si="1"/>
        <v>0</v>
      </c>
      <c r="H17" s="22">
        <f t="shared" ca="1" si="2"/>
        <v>0</v>
      </c>
      <c r="I17" s="24">
        <f t="shared" ca="1" si="3"/>
        <v>0</v>
      </c>
      <c r="J17" s="22">
        <f>SUMIFS(Proventos!$F$5:$F$5000,Proventos!$B$5:$B$5000,A17)</f>
        <v>0</v>
      </c>
      <c r="K17" s="22">
        <f ca="1">SUMIFS(Proventos!$F$5:$F$5000,Proventos!$B$5:$B$5000,A17,Proventos!$A$5:$A$5000,"&gt;="&amp;(TODAY()-365))</f>
        <v>0</v>
      </c>
      <c r="L17" s="22">
        <f t="shared" ca="1" si="4"/>
        <v>0</v>
      </c>
      <c r="M17" s="24">
        <f t="shared" ca="1" si="5"/>
        <v>0</v>
      </c>
      <c r="N17" s="24">
        <f t="shared" ca="1" si="6"/>
        <v>0</v>
      </c>
      <c r="O17" s="24">
        <f t="shared" si="7"/>
        <v>0.10633239680138318</v>
      </c>
      <c r="P17" s="24">
        <f t="shared" ca="1" si="8"/>
        <v>0</v>
      </c>
      <c r="Q17" s="25">
        <f>N(Ativos!F17)</f>
        <v>0.06</v>
      </c>
      <c r="R17" s="24">
        <f t="shared" ca="1" si="9"/>
        <v>-0.06</v>
      </c>
      <c r="S17" s="22">
        <f t="shared" ca="1" si="10"/>
        <v>0</v>
      </c>
      <c r="T17" s="23">
        <f>N(Ativos!E17)</f>
        <v>9.84</v>
      </c>
      <c r="U17" s="26">
        <f t="shared" si="11"/>
        <v>0.82</v>
      </c>
      <c r="V17" s="22">
        <f t="shared" ca="1" si="12"/>
        <v>0</v>
      </c>
      <c r="W17" s="24">
        <f t="shared" ca="1" si="13"/>
        <v>0</v>
      </c>
      <c r="X17" s="21">
        <f t="shared" si="14"/>
        <v>1341</v>
      </c>
      <c r="Y17" s="21">
        <f t="shared" ca="1" si="15"/>
        <v>1341</v>
      </c>
      <c r="Z17" s="27">
        <f t="shared" ca="1" si="16"/>
        <v>124096.14000000001</v>
      </c>
      <c r="AA17" s="28">
        <f t="shared" ca="1" si="17"/>
        <v>42</v>
      </c>
      <c r="AB17" s="20" t="str">
        <f>IF(Ativos!C17="","",Ativos!C17)</f>
        <v>Logística</v>
      </c>
      <c r="AC17" s="29">
        <f t="shared" si="18"/>
        <v>1</v>
      </c>
    </row>
    <row r="18" spans="1:29">
      <c r="A18" s="30" t="str">
        <f>IF(Ativos!A18="","",Ativos!A18)</f>
        <v>XPML11</v>
      </c>
      <c r="B18" s="30" t="str">
        <f>IF(Ativos!B18="","",Ativos!B18)</f>
        <v>FII</v>
      </c>
      <c r="C18" s="31">
        <f ca="1">SUMIFS(Lançamentos!$D$5:$D$5000,Lançamentos!$B$5:$B$5000,A18,Lançamentos!$C$5:$C$5000,"COMPRA")-SUMIFS(Lançamentos!$D$5:$D$5000,Lançamentos!$B$5:$B$5000,A18,Lançamentos!$C$5:$C$5000,"VENDA")</f>
        <v>0</v>
      </c>
      <c r="D18" s="32">
        <f ca="1">IFERROR(SUMIFS(Lançamentos!$G$5:$G$5000,Lançamentos!$B$5:$B$5000,A18,Lançamentos!$C$5:$C$5000,"COMPRA")/SUMIFS(Lançamentos!$D$5:$D$5000,Lançamentos!$B$5:$B$5000,A18,Lançamentos!$C$5:$C$5000,"COMPRA"),0)</f>
        <v>0</v>
      </c>
      <c r="E18" s="32">
        <f t="shared" ca="1" si="0"/>
        <v>0</v>
      </c>
      <c r="F18" s="33">
        <f>N(Ativos!D18)</f>
        <v>99.17</v>
      </c>
      <c r="G18" s="32">
        <f t="shared" ca="1" si="1"/>
        <v>0</v>
      </c>
      <c r="H18" s="32">
        <f t="shared" ca="1" si="2"/>
        <v>0</v>
      </c>
      <c r="I18" s="34">
        <f t="shared" ca="1" si="3"/>
        <v>0</v>
      </c>
      <c r="J18" s="32">
        <f>SUMIFS(Proventos!$F$5:$F$5000,Proventos!$B$5:$B$5000,A18)</f>
        <v>0</v>
      </c>
      <c r="K18" s="32">
        <f ca="1">SUMIFS(Proventos!$F$5:$F$5000,Proventos!$B$5:$B$5000,A18,Proventos!$A$5:$A$5000,"&gt;="&amp;(TODAY()-365))</f>
        <v>0</v>
      </c>
      <c r="L18" s="32">
        <f t="shared" ca="1" si="4"/>
        <v>0</v>
      </c>
      <c r="M18" s="34">
        <f t="shared" ca="1" si="5"/>
        <v>0</v>
      </c>
      <c r="N18" s="34">
        <f t="shared" ca="1" si="6"/>
        <v>0</v>
      </c>
      <c r="O18" s="34">
        <f t="shared" si="7"/>
        <v>0.11162044973278208</v>
      </c>
      <c r="P18" s="34">
        <f t="shared" ca="1" si="8"/>
        <v>0</v>
      </c>
      <c r="Q18" s="35">
        <f>N(Ativos!F18)</f>
        <v>0.05</v>
      </c>
      <c r="R18" s="34">
        <f t="shared" ca="1" si="9"/>
        <v>-0.05</v>
      </c>
      <c r="S18" s="32">
        <f t="shared" ca="1" si="10"/>
        <v>0</v>
      </c>
      <c r="T18" s="33">
        <f>N(Ativos!E18)</f>
        <v>11.0694</v>
      </c>
      <c r="U18" s="36">
        <f t="shared" si="11"/>
        <v>0.92244999999999999</v>
      </c>
      <c r="V18" s="32">
        <f t="shared" ca="1" si="12"/>
        <v>0</v>
      </c>
      <c r="W18" s="34">
        <f t="shared" ca="1" si="13"/>
        <v>0</v>
      </c>
      <c r="X18" s="31">
        <f t="shared" si="14"/>
        <v>1192</v>
      </c>
      <c r="Y18" s="31">
        <f t="shared" ca="1" si="15"/>
        <v>1192</v>
      </c>
      <c r="Z18" s="37">
        <f t="shared" ca="1" si="16"/>
        <v>118210.64</v>
      </c>
      <c r="AA18" s="38">
        <f t="shared" ca="1" si="17"/>
        <v>40</v>
      </c>
      <c r="AB18" s="30" t="str">
        <f>IF(Ativos!C18="","",Ativos!C18)</f>
        <v>Shopping</v>
      </c>
      <c r="AC18" s="39">
        <f t="shared" si="18"/>
        <v>1</v>
      </c>
    </row>
    <row r="19" spans="1:29">
      <c r="A19" s="20" t="str">
        <f>IF(Ativos!A19="","",Ativos!A19)</f>
        <v>SNAG11</v>
      </c>
      <c r="B19" s="20" t="str">
        <f>IF(Ativos!B19="","",Ativos!B19)</f>
        <v>FII</v>
      </c>
      <c r="C19" s="21">
        <f ca="1">SUMIFS(Lançamentos!$D$5:$D$5000,Lançamentos!$B$5:$B$5000,A19,Lançamentos!$C$5:$C$5000,"COMPRA")-SUMIFS(Lançamentos!$D$5:$D$5000,Lançamentos!$B$5:$B$5000,A19,Lançamentos!$C$5:$C$5000,"VENDA")</f>
        <v>0</v>
      </c>
      <c r="D19" s="22">
        <f ca="1">IFERROR(SUMIFS(Lançamentos!$G$5:$G$5000,Lançamentos!$B$5:$B$5000,A19,Lançamentos!$C$5:$C$5000,"COMPRA")/SUMIFS(Lançamentos!$D$5:$D$5000,Lançamentos!$B$5:$B$5000,A19,Lançamentos!$C$5:$C$5000,"COMPRA"),0)</f>
        <v>0</v>
      </c>
      <c r="E19" s="22">
        <f t="shared" ca="1" si="0"/>
        <v>0</v>
      </c>
      <c r="F19" s="23">
        <f>N(Ativos!D19)</f>
        <v>9.81</v>
      </c>
      <c r="G19" s="22">
        <f t="shared" ca="1" si="1"/>
        <v>0</v>
      </c>
      <c r="H19" s="22">
        <f t="shared" ca="1" si="2"/>
        <v>0</v>
      </c>
      <c r="I19" s="24">
        <f t="shared" ca="1" si="3"/>
        <v>0</v>
      </c>
      <c r="J19" s="22">
        <f>SUMIFS(Proventos!$F$5:$F$5000,Proventos!$B$5:$B$5000,A19)</f>
        <v>0</v>
      </c>
      <c r="K19" s="22">
        <f ca="1">SUMIFS(Proventos!$F$5:$F$5000,Proventos!$B$5:$B$5000,A19,Proventos!$A$5:$A$5000,"&gt;="&amp;(TODAY()-365))</f>
        <v>0</v>
      </c>
      <c r="L19" s="22">
        <f t="shared" ca="1" si="4"/>
        <v>0</v>
      </c>
      <c r="M19" s="24">
        <f t="shared" ca="1" si="5"/>
        <v>0</v>
      </c>
      <c r="N19" s="24">
        <f t="shared" ca="1" si="6"/>
        <v>0</v>
      </c>
      <c r="O19" s="24">
        <f t="shared" si="7"/>
        <v>0.16106014271151886</v>
      </c>
      <c r="P19" s="24">
        <f t="shared" ca="1" si="8"/>
        <v>0</v>
      </c>
      <c r="Q19" s="25">
        <f>N(Ativos!F19)</f>
        <v>0.06</v>
      </c>
      <c r="R19" s="24">
        <f t="shared" ca="1" si="9"/>
        <v>-0.06</v>
      </c>
      <c r="S19" s="22">
        <f t="shared" ca="1" si="10"/>
        <v>0</v>
      </c>
      <c r="T19" s="23">
        <f>N(Ativos!E19)</f>
        <v>1.58</v>
      </c>
      <c r="U19" s="26">
        <f t="shared" si="11"/>
        <v>0.13166666666666668</v>
      </c>
      <c r="V19" s="22">
        <f t="shared" ca="1" si="12"/>
        <v>0</v>
      </c>
      <c r="W19" s="24">
        <f t="shared" ca="1" si="13"/>
        <v>0</v>
      </c>
      <c r="X19" s="21">
        <f t="shared" si="14"/>
        <v>8347</v>
      </c>
      <c r="Y19" s="21">
        <f t="shared" ca="1" si="15"/>
        <v>8347</v>
      </c>
      <c r="Z19" s="27">
        <f t="shared" ca="1" si="16"/>
        <v>81884.070000000007</v>
      </c>
      <c r="AA19" s="28">
        <f t="shared" ca="1" si="17"/>
        <v>28</v>
      </c>
      <c r="AB19" s="20" t="str">
        <f>IF(Ativos!C19="","",Ativos!C19)</f>
        <v>Fiagro</v>
      </c>
      <c r="AC19" s="29">
        <f t="shared" si="18"/>
        <v>1</v>
      </c>
    </row>
    <row r="20" spans="1:29">
      <c r="A20" s="30" t="str">
        <f>IF(Ativos!A20="","",Ativos!A20)</f>
        <v>CPTS11</v>
      </c>
      <c r="B20" s="30" t="str">
        <f>IF(Ativos!B20="","",Ativos!B20)</f>
        <v>FII</v>
      </c>
      <c r="C20" s="31">
        <f ca="1">SUMIFS(Lançamentos!$D$5:$D$5000,Lançamentos!$B$5:$B$5000,A20,Lançamentos!$C$5:$C$5000,"COMPRA")-SUMIFS(Lançamentos!$D$5:$D$5000,Lançamentos!$B$5:$B$5000,A20,Lançamentos!$C$5:$C$5000,"VENDA")</f>
        <v>0</v>
      </c>
      <c r="D20" s="32">
        <f ca="1">IFERROR(SUMIFS(Lançamentos!$G$5:$G$5000,Lançamentos!$B$5:$B$5000,A20,Lançamentos!$C$5:$C$5000,"COMPRA")/SUMIFS(Lançamentos!$D$5:$D$5000,Lançamentos!$B$5:$B$5000,A20,Lançamentos!$C$5:$C$5000,"COMPRA"),0)</f>
        <v>0</v>
      </c>
      <c r="E20" s="32">
        <f t="shared" ca="1" si="0"/>
        <v>0</v>
      </c>
      <c r="F20" s="33">
        <f>N(Ativos!D20)</f>
        <v>7.42</v>
      </c>
      <c r="G20" s="32">
        <f t="shared" ca="1" si="1"/>
        <v>0</v>
      </c>
      <c r="H20" s="32">
        <f t="shared" ca="1" si="2"/>
        <v>0</v>
      </c>
      <c r="I20" s="34">
        <f t="shared" ca="1" si="3"/>
        <v>0</v>
      </c>
      <c r="J20" s="32">
        <f>SUMIFS(Proventos!$F$5:$F$5000,Proventos!$B$5:$B$5000,A20)</f>
        <v>0</v>
      </c>
      <c r="K20" s="32">
        <f ca="1">SUMIFS(Proventos!$F$5:$F$5000,Proventos!$B$5:$B$5000,A20,Proventos!$A$5:$A$5000,"&gt;="&amp;(TODAY()-365))</f>
        <v>0</v>
      </c>
      <c r="L20" s="32">
        <f t="shared" ca="1" si="4"/>
        <v>0</v>
      </c>
      <c r="M20" s="34">
        <f t="shared" ca="1" si="5"/>
        <v>0</v>
      </c>
      <c r="N20" s="34">
        <f t="shared" ca="1" si="6"/>
        <v>0</v>
      </c>
      <c r="O20" s="34">
        <f t="shared" si="7"/>
        <v>0.14555256064690028</v>
      </c>
      <c r="P20" s="34">
        <f t="shared" ca="1" si="8"/>
        <v>0</v>
      </c>
      <c r="Q20" s="35">
        <f>N(Ativos!F20)</f>
        <v>0.04</v>
      </c>
      <c r="R20" s="34">
        <f t="shared" ca="1" si="9"/>
        <v>-0.04</v>
      </c>
      <c r="S20" s="32">
        <f t="shared" ca="1" si="10"/>
        <v>0</v>
      </c>
      <c r="T20" s="33">
        <f>N(Ativos!E20)</f>
        <v>1.08</v>
      </c>
      <c r="U20" s="36">
        <f t="shared" si="11"/>
        <v>9.0000000000000011E-2</v>
      </c>
      <c r="V20" s="32">
        <f t="shared" ca="1" si="12"/>
        <v>0</v>
      </c>
      <c r="W20" s="34">
        <f t="shared" ca="1" si="13"/>
        <v>0</v>
      </c>
      <c r="X20" s="31">
        <f t="shared" si="14"/>
        <v>12212</v>
      </c>
      <c r="Y20" s="31">
        <f t="shared" ca="1" si="15"/>
        <v>12212</v>
      </c>
      <c r="Z20" s="37">
        <f t="shared" ca="1" si="16"/>
        <v>90613.04</v>
      </c>
      <c r="AA20" s="38">
        <f t="shared" ca="1" si="17"/>
        <v>31</v>
      </c>
      <c r="AB20" s="30" t="str">
        <f>IF(Ativos!C20="","",Ativos!C20)</f>
        <v>Híbrido (papel)</v>
      </c>
      <c r="AC20" s="39">
        <f t="shared" si="18"/>
        <v>1</v>
      </c>
    </row>
    <row r="21" spans="1:29">
      <c r="A21" s="40" t="s">
        <v>51</v>
      </c>
      <c r="B21" s="40"/>
      <c r="C21" s="40"/>
      <c r="D21" s="40"/>
      <c r="E21" s="41">
        <f ca="1">SUM(E5:E20)</f>
        <v>0</v>
      </c>
      <c r="F21" s="40"/>
      <c r="G21" s="41">
        <f ca="1">SUM(G5:G20)</f>
        <v>0</v>
      </c>
      <c r="H21" s="41">
        <f ca="1">SUM(H5:H20)</f>
        <v>0</v>
      </c>
      <c r="I21" s="42">
        <f t="shared" ca="1" si="3"/>
        <v>0</v>
      </c>
      <c r="J21" s="41">
        <f>SUM(J5:J20)</f>
        <v>0</v>
      </c>
      <c r="K21" s="41">
        <f ca="1">SUM(K5:K20)</f>
        <v>0</v>
      </c>
      <c r="L21" s="41">
        <f ca="1">SUM(L5:L20)</f>
        <v>0</v>
      </c>
      <c r="M21" s="42">
        <f t="shared" ca="1" si="5"/>
        <v>0</v>
      </c>
      <c r="N21" s="42">
        <f ca="1">IF(E21&gt;0,SUMPRODUCT(C5:C20,T5:T20)/E21,0)</f>
        <v>0</v>
      </c>
      <c r="O21" s="42">
        <f ca="1">IF(G21&gt;0,SUMPRODUCT(C5:C20,T5:T20)/G21,0)</f>
        <v>0</v>
      </c>
      <c r="P21" s="42">
        <f ca="1">SUM(P5:P20)</f>
        <v>0</v>
      </c>
      <c r="Q21" s="42">
        <f>SUM(Q5:Q20)</f>
        <v>1.0000000000000002</v>
      </c>
      <c r="R21" s="40"/>
      <c r="S21" s="41">
        <f ca="1">SUM(S5:S20)</f>
        <v>0</v>
      </c>
      <c r="T21" s="40"/>
      <c r="U21" s="40"/>
      <c r="V21" s="41">
        <f ca="1">SUM(V5:V20)</f>
        <v>0</v>
      </c>
      <c r="W21" s="42">
        <f ca="1">IFERROR(AVERAGEIF(A5:A20,"?*",W5:W20),0)</f>
        <v>0</v>
      </c>
      <c r="X21" s="40" t="str">
        <f ca="1">COUNTIF(W5:W20,"&gt;=1")&amp;" de "&amp;COUNTIF(A5:A20,"?*")&amp;" na meta"</f>
        <v>0 de 16 na meta</v>
      </c>
      <c r="Y21" s="43">
        <f ca="1">SUM(Y5:Y20)</f>
        <v>137494</v>
      </c>
      <c r="Z21" s="41">
        <f ca="1">SUM(Z5:Z20)</f>
        <v>2438270.58</v>
      </c>
      <c r="AA21" s="44">
        <f t="shared" ca="1" si="17"/>
        <v>813</v>
      </c>
      <c r="AB21" s="40"/>
      <c r="AC21" s="40"/>
    </row>
    <row r="23" spans="1:29">
      <c r="A23" s="45" t="s">
        <v>83</v>
      </c>
      <c r="E23" s="41">
        <f ca="1">SUMIFS(E5:E20,$B$5:$B$20,"AÇÃO")</f>
        <v>0</v>
      </c>
      <c r="G23" s="41">
        <f ca="1">SUMIFS(G5:G20,$B$5:$B$20,"AÇÃO")</f>
        <v>0</v>
      </c>
      <c r="H23" s="41">
        <f ca="1">SUMIFS(H5:H20,$B$5:$B$20,"AÇÃO")</f>
        <v>0</v>
      </c>
      <c r="I23" s="42">
        <f ca="1">IF(E23&gt;0,H23/E23,0)</f>
        <v>0</v>
      </c>
      <c r="J23" s="41">
        <f>SUMIFS(J5:J20,$B$5:$B$20,"AÇÃO")</f>
        <v>0</v>
      </c>
      <c r="L23" s="41">
        <f ca="1">SUMIFS(L5:L20,$B$5:$B$20,"AÇÃO")</f>
        <v>0</v>
      </c>
      <c r="P23" s="42">
        <f ca="1">SUMIFS(P5:P20,$B$5:$B$20,"AÇÃO")</f>
        <v>0</v>
      </c>
      <c r="V23" s="41">
        <f ca="1">SUMIFS(V5:V20,$B$5:$B$20,"AÇÃO")</f>
        <v>0</v>
      </c>
    </row>
    <row r="24" spans="1:29">
      <c r="A24" s="45" t="s">
        <v>84</v>
      </c>
      <c r="E24" s="41">
        <f ca="1">SUMIFS(E5:E20,$B$5:$B$20,"FII")</f>
        <v>0</v>
      </c>
      <c r="G24" s="41">
        <f ca="1">SUMIFS(G5:G20,$B$5:$B$20,"FII")</f>
        <v>0</v>
      </c>
      <c r="H24" s="41">
        <f ca="1">SUMIFS(H5:H20,$B$5:$B$20,"FII")</f>
        <v>0</v>
      </c>
      <c r="I24" s="42">
        <f ca="1">IF(E24&gt;0,H24/E24,0)</f>
        <v>0</v>
      </c>
      <c r="J24" s="41">
        <f>SUMIFS(J5:J20,$B$5:$B$20,"FII")</f>
        <v>0</v>
      </c>
      <c r="L24" s="41">
        <f ca="1">SUMIFS(L5:L20,$B$5:$B$20,"FII")</f>
        <v>0</v>
      </c>
      <c r="P24" s="42">
        <f ca="1">SUMIFS(P5:P20,$B$5:$B$20,"FII")</f>
        <v>0</v>
      </c>
      <c r="V24" s="41">
        <f ca="1">SUMIFS(V5:V20,$B$5:$B$20,"FII")</f>
        <v>0</v>
      </c>
    </row>
    <row r="26" spans="1:29">
      <c r="A26" s="45" t="s">
        <v>85</v>
      </c>
    </row>
    <row r="27" spans="1:29">
      <c r="A27" s="46" t="s">
        <v>86</v>
      </c>
    </row>
    <row r="28" spans="1:29">
      <c r="A28" s="46" t="s">
        <v>87</v>
      </c>
    </row>
    <row r="29" spans="1:29">
      <c r="A29" s="46" t="s">
        <v>88</v>
      </c>
    </row>
  </sheetData>
  <conditionalFormatting sqref="A5:AB20">
    <cfRule type="expression" dxfId="27" priority="9">
      <formula>$C5=0</formula>
    </cfRule>
  </conditionalFormatting>
  <conditionalFormatting sqref="H5:I20">
    <cfRule type="cellIs" dxfId="26" priority="1" operator="lessThan">
      <formula>0</formula>
    </cfRule>
    <cfRule type="cellIs" dxfId="25" priority="2" operator="greaterThan">
      <formula>0</formula>
    </cfRule>
  </conditionalFormatting>
  <conditionalFormatting sqref="L5:M20">
    <cfRule type="cellIs" dxfId="24" priority="3" operator="lessThan">
      <formula>0</formula>
    </cfRule>
    <cfRule type="cellIs" dxfId="23" priority="4" operator="greaterThan">
      <formula>0</formula>
    </cfRule>
  </conditionalFormatting>
  <conditionalFormatting sqref="P5:P20">
    <cfRule type="dataBar" priority="7">
      <dataBar>
        <cfvo type="num" val="0"/>
        <cfvo type="max"/>
        <color rgb="FF5B8DB8"/>
      </dataBar>
    </cfRule>
  </conditionalFormatting>
  <conditionalFormatting sqref="R5:R20">
    <cfRule type="cellIs" dxfId="22" priority="5" operator="lessThan">
      <formula>0</formula>
    </cfRule>
    <cfRule type="cellIs" dxfId="21" priority="6" operator="greaterThan">
      <formula>0</formula>
    </cfRule>
  </conditionalFormatting>
  <conditionalFormatting sqref="W5:W20">
    <cfRule type="dataBar" priority="8">
      <dataBar>
        <cfvo type="num" val="0"/>
        <cfvo type="num" val="1"/>
        <color rgb="FF0D9488"/>
      </dataBar>
    </cfRule>
  </conditionalFormatting>
  <pageMargins left="0.75" right="0.75" top="1" bottom="1" header="0.5" footer="0.5"/>
  <pageSetup scale="35" fitToHeight="0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2563EB"/>
    <pageSetUpPr fitToPage="1"/>
  </sheetPr>
  <dimension ref="A1:AN34"/>
  <sheetViews>
    <sheetView showGridLines="0" workbookViewId="0"/>
  </sheetViews>
  <sheetFormatPr defaultRowHeight="15"/>
  <cols>
    <col min="1" max="1" width="10.7109375" bestFit="1" customWidth="1"/>
    <col min="2" max="2" width="19.42578125" bestFit="1" customWidth="1"/>
    <col min="3" max="3" width="7.7109375" bestFit="1" customWidth="1"/>
    <col min="4" max="4" width="14.85546875" bestFit="1" customWidth="1"/>
    <col min="5" max="5" width="10" bestFit="1" customWidth="1"/>
    <col min="6" max="6" width="3" customWidth="1"/>
    <col min="7" max="7" width="18.85546875" bestFit="1" customWidth="1"/>
    <col min="8" max="8" width="11.7109375" bestFit="1" customWidth="1"/>
    <col min="9" max="9" width="10.7109375" bestFit="1" customWidth="1"/>
    <col min="10" max="10" width="14" customWidth="1"/>
    <col min="11" max="11" width="3" customWidth="1"/>
    <col min="12" max="16" width="14" customWidth="1"/>
    <col min="18" max="18" width="10.7109375" hidden="1" customWidth="1"/>
    <col min="19" max="19" width="12.5703125" hidden="1" customWidth="1"/>
  </cols>
  <sheetData>
    <row r="1" spans="1:40" ht="33.950000000000003" customHeight="1">
      <c r="A1" s="1" t="s">
        <v>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394</v>
      </c>
    </row>
    <row r="5" spans="1:40" ht="16.5">
      <c r="A5" s="191" t="s">
        <v>383</v>
      </c>
    </row>
    <row r="7" spans="1:40">
      <c r="A7" s="192" t="s">
        <v>55</v>
      </c>
      <c r="B7" t="s">
        <v>385</v>
      </c>
      <c r="C7" t="s">
        <v>381</v>
      </c>
      <c r="D7" t="s">
        <v>386</v>
      </c>
      <c r="E7" t="s">
        <v>380</v>
      </c>
      <c r="R7" s="192" t="s">
        <v>54</v>
      </c>
      <c r="S7" t="s">
        <v>387</v>
      </c>
    </row>
    <row r="8" spans="1:40">
      <c r="A8" t="s">
        <v>322</v>
      </c>
      <c r="B8" s="193">
        <v>0</v>
      </c>
      <c r="C8" s="193">
        <v>0</v>
      </c>
      <c r="D8" s="193">
        <v>0</v>
      </c>
      <c r="E8" s="193">
        <v>0</v>
      </c>
      <c r="R8" t="s">
        <v>190</v>
      </c>
      <c r="S8" s="193">
        <v>0</v>
      </c>
    </row>
    <row r="9" spans="1:40">
      <c r="A9" t="s">
        <v>333</v>
      </c>
      <c r="B9" s="193">
        <v>0</v>
      </c>
      <c r="C9" s="193">
        <v>0</v>
      </c>
      <c r="D9" s="193">
        <v>0</v>
      </c>
      <c r="E9" s="193">
        <v>0</v>
      </c>
      <c r="R9" t="s">
        <v>191</v>
      </c>
      <c r="S9" s="193">
        <v>0</v>
      </c>
    </row>
    <row r="10" spans="1:40">
      <c r="A10" t="s">
        <v>384</v>
      </c>
      <c r="B10" s="193">
        <v>0</v>
      </c>
      <c r="C10" s="193">
        <v>0</v>
      </c>
      <c r="D10" s="193">
        <v>0</v>
      </c>
      <c r="E10" s="193">
        <v>0</v>
      </c>
      <c r="R10" t="s">
        <v>187</v>
      </c>
      <c r="S10" s="193">
        <v>0</v>
      </c>
    </row>
    <row r="11" spans="1:40">
      <c r="R11" t="s">
        <v>182</v>
      </c>
      <c r="S11" s="193">
        <v>0</v>
      </c>
    </row>
    <row r="12" spans="1:40">
      <c r="R12" t="s">
        <v>177</v>
      </c>
      <c r="S12" s="193">
        <v>0</v>
      </c>
    </row>
    <row r="13" spans="1:40">
      <c r="R13" t="s">
        <v>181</v>
      </c>
      <c r="S13" s="193">
        <v>0</v>
      </c>
    </row>
    <row r="14" spans="1:40">
      <c r="R14" t="s">
        <v>186</v>
      </c>
      <c r="S14" s="193">
        <v>0</v>
      </c>
    </row>
    <row r="15" spans="1:40">
      <c r="R15" t="s">
        <v>188</v>
      </c>
      <c r="S15" s="193">
        <v>0</v>
      </c>
    </row>
    <row r="16" spans="1:40">
      <c r="R16" t="s">
        <v>179</v>
      </c>
      <c r="S16" s="193">
        <v>0</v>
      </c>
    </row>
    <row r="17" spans="1:19">
      <c r="R17" t="s">
        <v>184</v>
      </c>
      <c r="S17" s="193">
        <v>0</v>
      </c>
    </row>
    <row r="18" spans="1:19">
      <c r="R18" t="s">
        <v>178</v>
      </c>
      <c r="S18" s="193">
        <v>0</v>
      </c>
    </row>
    <row r="19" spans="1:19">
      <c r="R19" t="s">
        <v>192</v>
      </c>
      <c r="S19" s="193">
        <v>0</v>
      </c>
    </row>
    <row r="20" spans="1:19">
      <c r="R20" t="s">
        <v>189</v>
      </c>
      <c r="S20" s="193">
        <v>0</v>
      </c>
    </row>
    <row r="21" spans="1:19">
      <c r="R21" t="s">
        <v>185</v>
      </c>
      <c r="S21" s="193">
        <v>0</v>
      </c>
    </row>
    <row r="22" spans="1:19">
      <c r="R22" t="s">
        <v>180</v>
      </c>
      <c r="S22" s="193">
        <v>0</v>
      </c>
    </row>
    <row r="23" spans="1:19">
      <c r="R23" t="s">
        <v>183</v>
      </c>
      <c r="S23" s="193">
        <v>0</v>
      </c>
    </row>
    <row r="24" spans="1:19">
      <c r="R24" t="s">
        <v>384</v>
      </c>
      <c r="S24" s="193">
        <v>0</v>
      </c>
    </row>
    <row r="27" spans="1:19" ht="16.5">
      <c r="A27" s="194" t="s">
        <v>388</v>
      </c>
      <c r="G27" s="194" t="s">
        <v>392</v>
      </c>
    </row>
    <row r="29" spans="1:19">
      <c r="A29" s="192" t="s">
        <v>55</v>
      </c>
      <c r="B29" t="s">
        <v>389</v>
      </c>
    </row>
    <row r="31" spans="1:19">
      <c r="A31" s="192" t="s">
        <v>54</v>
      </c>
      <c r="B31" t="s">
        <v>391</v>
      </c>
      <c r="G31" s="192" t="s">
        <v>393</v>
      </c>
      <c r="H31" s="192" t="s">
        <v>299</v>
      </c>
    </row>
    <row r="32" spans="1:19">
      <c r="A32" t="s">
        <v>390</v>
      </c>
      <c r="B32" s="193"/>
      <c r="G32" s="192" t="s">
        <v>54</v>
      </c>
      <c r="H32" t="s">
        <v>390</v>
      </c>
      <c r="I32" t="s">
        <v>384</v>
      </c>
    </row>
    <row r="33" spans="1:9">
      <c r="A33" t="s">
        <v>384</v>
      </c>
      <c r="B33" s="193"/>
      <c r="G33" t="s">
        <v>390</v>
      </c>
      <c r="H33" s="193"/>
      <c r="I33" s="193"/>
    </row>
    <row r="34" spans="1:9">
      <c r="G34" t="s">
        <v>384</v>
      </c>
      <c r="H34" s="193"/>
      <c r="I34" s="193"/>
    </row>
  </sheetData>
  <pageMargins left="0.75" right="0.75" top="1" bottom="1" header="0.5" footer="0.5"/>
  <pageSetup fitToHeight="0" orientation="landscape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2563EB"/>
    <pageSetUpPr fitToPage="1"/>
  </sheetPr>
  <dimension ref="A1:AN32"/>
  <sheetViews>
    <sheetView showGridLines="0" workbookViewId="0">
      <pane xSplit="1" ySplit="4" topLeftCell="B5" activePane="bottomRight" state="frozen"/>
      <selection pane="topRight"/>
      <selection pane="bottomLeft"/>
      <selection pane="bottomRight"/>
    </sheetView>
  </sheetViews>
  <sheetFormatPr defaultRowHeight="15"/>
  <cols>
    <col min="1" max="1" width="10" customWidth="1"/>
    <col min="2" max="2" width="7" customWidth="1"/>
    <col min="3" max="3" width="22" customWidth="1"/>
    <col min="4" max="4" width="12" customWidth="1"/>
    <col min="5" max="6" width="14" customWidth="1"/>
    <col min="7" max="7" width="13" customWidth="1"/>
    <col min="8" max="9" width="12" customWidth="1"/>
    <col min="10" max="10" width="16" customWidth="1"/>
    <col min="11" max="11" width="12" customWidth="1"/>
    <col min="12" max="12" width="14" customWidth="1"/>
    <col min="13" max="13" width="10" customWidth="1"/>
    <col min="14" max="14" width="12" customWidth="1"/>
    <col min="15" max="15" width="16" customWidth="1"/>
    <col min="16" max="16" width="14" customWidth="1"/>
  </cols>
  <sheetData>
    <row r="1" spans="1:40" ht="33.950000000000003" customHeight="1">
      <c r="A1" s="1" t="s">
        <v>90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91</v>
      </c>
    </row>
    <row r="4" spans="1:40" ht="44.1" customHeight="1">
      <c r="A4" s="19" t="s">
        <v>54</v>
      </c>
      <c r="B4" s="19" t="s">
        <v>55</v>
      </c>
      <c r="C4" s="19" t="s">
        <v>81</v>
      </c>
      <c r="D4" s="19" t="s">
        <v>59</v>
      </c>
      <c r="E4" s="19" t="s">
        <v>73</v>
      </c>
      <c r="F4" s="19" t="s">
        <v>74</v>
      </c>
      <c r="G4" s="19" t="s">
        <v>92</v>
      </c>
      <c r="H4" s="19" t="s">
        <v>93</v>
      </c>
      <c r="I4" s="19" t="s">
        <v>94</v>
      </c>
      <c r="J4" s="19" t="s">
        <v>95</v>
      </c>
      <c r="K4" s="19" t="s">
        <v>96</v>
      </c>
      <c r="L4" s="19" t="s">
        <v>97</v>
      </c>
      <c r="M4" s="19" t="s">
        <v>76</v>
      </c>
      <c r="N4" s="19" t="s">
        <v>78</v>
      </c>
      <c r="O4" s="19" t="s">
        <v>98</v>
      </c>
      <c r="P4" s="19" t="s">
        <v>99</v>
      </c>
    </row>
    <row r="5" spans="1:40">
      <c r="A5" s="20" t="str">
        <f>Carteira!A5</f>
        <v>VALE3</v>
      </c>
      <c r="B5" s="20" t="str">
        <f>Carteira!B5</f>
        <v>AÇÃO</v>
      </c>
      <c r="C5" s="20" t="str">
        <f>Carteira!AB5</f>
        <v>Mineração</v>
      </c>
      <c r="D5" s="23">
        <f>Carteira!F5</f>
        <v>71.16</v>
      </c>
      <c r="E5" s="47">
        <f>Carteira!T5</f>
        <v>5.6124999999999998</v>
      </c>
      <c r="F5" s="47">
        <f>Carteira!U5</f>
        <v>0.46770833333333334</v>
      </c>
      <c r="G5" s="48">
        <f t="shared" ref="G5:G20" si="0">IF(D5&gt;0,F5/D5,0)</f>
        <v>6.5726297545437512E-3</v>
      </c>
      <c r="H5" s="22">
        <f t="shared" ref="H5:H20" si="1">IF(A5="","",META_MENSAL)</f>
        <v>1099</v>
      </c>
      <c r="I5" s="21">
        <f t="shared" ref="I5:I20" si="2">IF(A5="","",IF(F5&gt;0,ROUNDUP(H5/F5,0),"sem proventos"))</f>
        <v>2350</v>
      </c>
      <c r="J5" s="27">
        <f t="shared" ref="J5:J20" si="3">IF(ISNUMBER(I5),I5*D5,"")</f>
        <v>167226</v>
      </c>
      <c r="K5" s="49">
        <f ca="1">Carteira!C5</f>
        <v>0</v>
      </c>
      <c r="L5" s="23">
        <f ca="1">Carteira!V5</f>
        <v>0</v>
      </c>
      <c r="M5" s="24">
        <f t="shared" ref="M5:M20" ca="1" si="4">IF(N(H5)&gt;0,MIN(1,L5/H5),0)</f>
        <v>0</v>
      </c>
      <c r="N5" s="21">
        <f t="shared" ref="N5:N20" ca="1" si="5">IF(ISNUMBER(I5),MAX(0,I5-K5),"")</f>
        <v>2350</v>
      </c>
      <c r="O5" s="27">
        <f t="shared" ref="O5:O20" ca="1" si="6">IF(ISNUMBER(N5),N5*D5,"")</f>
        <v>167226</v>
      </c>
      <c r="P5" s="28">
        <f t="shared" ref="P5:P20" ca="1" si="7">IF(AND(ISNUMBER(O5),APORTE_MENSAL&gt;0),ROUNDUP(O5/APORTE_MENSAL,0),"")</f>
        <v>56</v>
      </c>
    </row>
    <row r="6" spans="1:40">
      <c r="A6" s="30" t="str">
        <f>Carteira!A6</f>
        <v>TAEE11</v>
      </c>
      <c r="B6" s="30" t="str">
        <f>Carteira!B6</f>
        <v>AÇÃO</v>
      </c>
      <c r="C6" s="30" t="str">
        <f>Carteira!AB6</f>
        <v>Energia – Transmissão</v>
      </c>
      <c r="D6" s="33">
        <f>Carteira!F6</f>
        <v>40.22</v>
      </c>
      <c r="E6" s="50">
        <f>Carteira!T6</f>
        <v>3.0065</v>
      </c>
      <c r="F6" s="50">
        <f>Carteira!U6</f>
        <v>0.25054166666666666</v>
      </c>
      <c r="G6" s="51">
        <f t="shared" si="0"/>
        <v>6.2292806232388531E-3</v>
      </c>
      <c r="H6" s="32">
        <f t="shared" si="1"/>
        <v>1099</v>
      </c>
      <c r="I6" s="31">
        <f t="shared" si="2"/>
        <v>4387</v>
      </c>
      <c r="J6" s="37">
        <f t="shared" si="3"/>
        <v>176445.13999999998</v>
      </c>
      <c r="K6" s="52">
        <f ca="1">Carteira!C6</f>
        <v>0</v>
      </c>
      <c r="L6" s="33">
        <f ca="1">Carteira!V6</f>
        <v>0</v>
      </c>
      <c r="M6" s="34">
        <f t="shared" ca="1" si="4"/>
        <v>0</v>
      </c>
      <c r="N6" s="31">
        <f t="shared" ca="1" si="5"/>
        <v>4387</v>
      </c>
      <c r="O6" s="37">
        <f t="shared" ca="1" si="6"/>
        <v>176445.13999999998</v>
      </c>
      <c r="P6" s="38">
        <f t="shared" ca="1" si="7"/>
        <v>59</v>
      </c>
    </row>
    <row r="7" spans="1:40">
      <c r="A7" s="20" t="str">
        <f>Carteira!A7</f>
        <v>PETR4</v>
      </c>
      <c r="B7" s="20" t="str">
        <f>Carteira!B7</f>
        <v>AÇÃO</v>
      </c>
      <c r="C7" s="20" t="str">
        <f>Carteira!AB7</f>
        <v>Petróleo &amp; Gás</v>
      </c>
      <c r="D7" s="23">
        <f>Carteira!F7</f>
        <v>48.72</v>
      </c>
      <c r="E7" s="47">
        <f>Carteira!T7</f>
        <v>3.6642999999999999</v>
      </c>
      <c r="F7" s="47">
        <f>Carteira!U7</f>
        <v>0.30535833333333334</v>
      </c>
      <c r="G7" s="48">
        <f t="shared" si="0"/>
        <v>6.2676176792556106E-3</v>
      </c>
      <c r="H7" s="22">
        <f t="shared" si="1"/>
        <v>1099</v>
      </c>
      <c r="I7" s="21">
        <f t="shared" si="2"/>
        <v>3600</v>
      </c>
      <c r="J7" s="27">
        <f t="shared" si="3"/>
        <v>175392</v>
      </c>
      <c r="K7" s="49">
        <f ca="1">Carteira!C7</f>
        <v>0</v>
      </c>
      <c r="L7" s="23">
        <f ca="1">Carteira!V7</f>
        <v>0</v>
      </c>
      <c r="M7" s="24">
        <f t="shared" ca="1" si="4"/>
        <v>0</v>
      </c>
      <c r="N7" s="21">
        <f t="shared" ca="1" si="5"/>
        <v>3600</v>
      </c>
      <c r="O7" s="27">
        <f t="shared" ca="1" si="6"/>
        <v>175392</v>
      </c>
      <c r="P7" s="28">
        <f t="shared" ca="1" si="7"/>
        <v>59</v>
      </c>
    </row>
    <row r="8" spans="1:40">
      <c r="A8" s="30" t="str">
        <f>Carteira!A8</f>
        <v>BBAS3</v>
      </c>
      <c r="B8" s="30" t="str">
        <f>Carteira!B8</f>
        <v>AÇÃO</v>
      </c>
      <c r="C8" s="30" t="str">
        <f>Carteira!AB8</f>
        <v>Bancos</v>
      </c>
      <c r="D8" s="33">
        <f>Carteira!F8</f>
        <v>21.49</v>
      </c>
      <c r="E8" s="50">
        <f>Carteira!T8</f>
        <v>0.65500000000000003</v>
      </c>
      <c r="F8" s="50">
        <f>Carteira!U8</f>
        <v>5.4583333333333338E-2</v>
      </c>
      <c r="G8" s="51">
        <f t="shared" si="0"/>
        <v>2.5399410578563677E-3</v>
      </c>
      <c r="H8" s="32">
        <f t="shared" si="1"/>
        <v>1099</v>
      </c>
      <c r="I8" s="31">
        <f t="shared" si="2"/>
        <v>20135</v>
      </c>
      <c r="J8" s="37">
        <f t="shared" si="3"/>
        <v>432701.14999999997</v>
      </c>
      <c r="K8" s="52">
        <f ca="1">Carteira!C8</f>
        <v>0</v>
      </c>
      <c r="L8" s="33">
        <f ca="1">Carteira!V8</f>
        <v>0</v>
      </c>
      <c r="M8" s="34">
        <f t="shared" ca="1" si="4"/>
        <v>0</v>
      </c>
      <c r="N8" s="31">
        <f t="shared" ca="1" si="5"/>
        <v>20135</v>
      </c>
      <c r="O8" s="37">
        <f t="shared" ca="1" si="6"/>
        <v>432701.14999999997</v>
      </c>
      <c r="P8" s="38">
        <f t="shared" ca="1" si="7"/>
        <v>145</v>
      </c>
    </row>
    <row r="9" spans="1:40">
      <c r="A9" s="20" t="str">
        <f>Carteira!A9</f>
        <v>BRBI11</v>
      </c>
      <c r="B9" s="20" t="str">
        <f>Carteira!B9</f>
        <v>AÇÃO</v>
      </c>
      <c r="C9" s="20" t="str">
        <f>Carteira!AB9</f>
        <v>Banco de investimento</v>
      </c>
      <c r="D9" s="23">
        <f>Carteira!F9</f>
        <v>14.5</v>
      </c>
      <c r="E9" s="47">
        <f>Carteira!T9</f>
        <v>1.38</v>
      </c>
      <c r="F9" s="47">
        <f>Carteira!U9</f>
        <v>0.11499999999999999</v>
      </c>
      <c r="G9" s="48">
        <f t="shared" si="0"/>
        <v>7.9310344827586195E-3</v>
      </c>
      <c r="H9" s="22">
        <f t="shared" si="1"/>
        <v>1099</v>
      </c>
      <c r="I9" s="21">
        <f t="shared" si="2"/>
        <v>9557</v>
      </c>
      <c r="J9" s="27">
        <f t="shared" si="3"/>
        <v>138576.5</v>
      </c>
      <c r="K9" s="49">
        <f ca="1">Carteira!C9</f>
        <v>0</v>
      </c>
      <c r="L9" s="23">
        <f ca="1">Carteira!V9</f>
        <v>0</v>
      </c>
      <c r="M9" s="24">
        <f t="shared" ca="1" si="4"/>
        <v>0</v>
      </c>
      <c r="N9" s="21">
        <f t="shared" ca="1" si="5"/>
        <v>9557</v>
      </c>
      <c r="O9" s="27">
        <f t="shared" ca="1" si="6"/>
        <v>138576.5</v>
      </c>
      <c r="P9" s="28">
        <f t="shared" ca="1" si="7"/>
        <v>47</v>
      </c>
    </row>
    <row r="10" spans="1:40">
      <c r="A10" s="30" t="str">
        <f>Carteira!A10</f>
        <v>BBDC4</v>
      </c>
      <c r="B10" s="30" t="str">
        <f>Carteira!B10</f>
        <v>AÇÃO</v>
      </c>
      <c r="C10" s="30" t="str">
        <f>Carteira!AB10</f>
        <v>Bancos</v>
      </c>
      <c r="D10" s="33">
        <f>Carteira!F10</f>
        <v>17.66</v>
      </c>
      <c r="E10" s="50">
        <f>Carteira!T10</f>
        <v>1.5528</v>
      </c>
      <c r="F10" s="50">
        <f>Carteira!U10</f>
        <v>0.12939999999999999</v>
      </c>
      <c r="G10" s="51">
        <f t="shared" si="0"/>
        <v>7.3272933182332951E-3</v>
      </c>
      <c r="H10" s="32">
        <f t="shared" si="1"/>
        <v>1099</v>
      </c>
      <c r="I10" s="31">
        <f t="shared" si="2"/>
        <v>8494</v>
      </c>
      <c r="J10" s="37">
        <f t="shared" si="3"/>
        <v>150004.04</v>
      </c>
      <c r="K10" s="52">
        <f ca="1">Carteira!C10</f>
        <v>0</v>
      </c>
      <c r="L10" s="33">
        <f ca="1">Carteira!V10</f>
        <v>0</v>
      </c>
      <c r="M10" s="34">
        <f t="shared" ca="1" si="4"/>
        <v>0</v>
      </c>
      <c r="N10" s="31">
        <f t="shared" ca="1" si="5"/>
        <v>8494</v>
      </c>
      <c r="O10" s="37">
        <f t="shared" ca="1" si="6"/>
        <v>150004.04</v>
      </c>
      <c r="P10" s="38">
        <f t="shared" ca="1" si="7"/>
        <v>51</v>
      </c>
    </row>
    <row r="11" spans="1:40">
      <c r="A11" s="20" t="str">
        <f>Carteira!A11</f>
        <v>ITSA4</v>
      </c>
      <c r="B11" s="20" t="str">
        <f>Carteira!B11</f>
        <v>AÇÃO</v>
      </c>
      <c r="C11" s="20" t="str">
        <f>Carteira!AB11</f>
        <v>Holding – Bancos</v>
      </c>
      <c r="D11" s="23">
        <f>Carteira!F11</f>
        <v>13.95</v>
      </c>
      <c r="E11" s="47">
        <f>Carteira!T11</f>
        <v>1.1277999999999999</v>
      </c>
      <c r="F11" s="47">
        <f>Carteira!U11</f>
        <v>9.3983333333333322E-2</v>
      </c>
      <c r="G11" s="48">
        <f t="shared" si="0"/>
        <v>6.7371565113500589E-3</v>
      </c>
      <c r="H11" s="22">
        <f t="shared" si="1"/>
        <v>1099</v>
      </c>
      <c r="I11" s="21">
        <f t="shared" si="2"/>
        <v>11694</v>
      </c>
      <c r="J11" s="27">
        <f t="shared" si="3"/>
        <v>163131.29999999999</v>
      </c>
      <c r="K11" s="49">
        <f ca="1">Carteira!C11</f>
        <v>0</v>
      </c>
      <c r="L11" s="23">
        <f ca="1">Carteira!V11</f>
        <v>0</v>
      </c>
      <c r="M11" s="24">
        <f t="shared" ca="1" si="4"/>
        <v>0</v>
      </c>
      <c r="N11" s="21">
        <f t="shared" ca="1" si="5"/>
        <v>11694</v>
      </c>
      <c r="O11" s="27">
        <f t="shared" ca="1" si="6"/>
        <v>163131.29999999999</v>
      </c>
      <c r="P11" s="28">
        <f t="shared" ca="1" si="7"/>
        <v>55</v>
      </c>
    </row>
    <row r="12" spans="1:40">
      <c r="A12" s="30" t="str">
        <f>Carteira!A12</f>
        <v>CMIG4</v>
      </c>
      <c r="B12" s="30" t="str">
        <f>Carteira!B12</f>
        <v>AÇÃO</v>
      </c>
      <c r="C12" s="30" t="str">
        <f>Carteira!AB12</f>
        <v>Energia – Utilities</v>
      </c>
      <c r="D12" s="33">
        <f>Carteira!F12</f>
        <v>10.84</v>
      </c>
      <c r="E12" s="50">
        <f>Carteira!T12</f>
        <v>1.3507</v>
      </c>
      <c r="F12" s="50">
        <f>Carteira!U12</f>
        <v>0.11255833333333333</v>
      </c>
      <c r="G12" s="51">
        <f t="shared" si="0"/>
        <v>1.0383610086100861E-2</v>
      </c>
      <c r="H12" s="32">
        <f t="shared" si="1"/>
        <v>1099</v>
      </c>
      <c r="I12" s="31">
        <f t="shared" si="2"/>
        <v>9764</v>
      </c>
      <c r="J12" s="37">
        <f t="shared" si="3"/>
        <v>105841.76</v>
      </c>
      <c r="K12" s="52">
        <f ca="1">Carteira!C12</f>
        <v>0</v>
      </c>
      <c r="L12" s="33">
        <f ca="1">Carteira!V12</f>
        <v>0</v>
      </c>
      <c r="M12" s="34">
        <f t="shared" ca="1" si="4"/>
        <v>0</v>
      </c>
      <c r="N12" s="31">
        <f t="shared" ca="1" si="5"/>
        <v>9764</v>
      </c>
      <c r="O12" s="37">
        <f t="shared" ca="1" si="6"/>
        <v>105841.76</v>
      </c>
      <c r="P12" s="38">
        <f t="shared" ca="1" si="7"/>
        <v>36</v>
      </c>
    </row>
    <row r="13" spans="1:40">
      <c r="A13" s="20" t="str">
        <f>Carteira!A13</f>
        <v>FIQE3</v>
      </c>
      <c r="B13" s="20" t="str">
        <f>Carteira!B13</f>
        <v>AÇÃO</v>
      </c>
      <c r="C13" s="20" t="str">
        <f>Carteira!AB13</f>
        <v>Telecom / Tecnologia</v>
      </c>
      <c r="D13" s="23">
        <f>Carteira!F13</f>
        <v>4.92</v>
      </c>
      <c r="E13" s="47">
        <f>Carteira!T13</f>
        <v>0.68200000000000005</v>
      </c>
      <c r="F13" s="47">
        <f>Carteira!U13</f>
        <v>5.683333333333334E-2</v>
      </c>
      <c r="G13" s="48">
        <f t="shared" si="0"/>
        <v>1.1551490514905151E-2</v>
      </c>
      <c r="H13" s="22">
        <f t="shared" si="1"/>
        <v>1099</v>
      </c>
      <c r="I13" s="21">
        <f t="shared" si="2"/>
        <v>19338</v>
      </c>
      <c r="J13" s="27">
        <f t="shared" si="3"/>
        <v>95142.959999999992</v>
      </c>
      <c r="K13" s="49">
        <f ca="1">Carteira!C13</f>
        <v>0</v>
      </c>
      <c r="L13" s="23">
        <f ca="1">Carteira!V13</f>
        <v>0</v>
      </c>
      <c r="M13" s="24">
        <f t="shared" ca="1" si="4"/>
        <v>0</v>
      </c>
      <c r="N13" s="21">
        <f t="shared" ca="1" si="5"/>
        <v>19338</v>
      </c>
      <c r="O13" s="27">
        <f t="shared" ca="1" si="6"/>
        <v>95142.959999999992</v>
      </c>
      <c r="P13" s="28">
        <f t="shared" ca="1" si="7"/>
        <v>32</v>
      </c>
    </row>
    <row r="14" spans="1:40">
      <c r="A14" s="30" t="str">
        <f>Carteira!A14</f>
        <v>KLBN11</v>
      </c>
      <c r="B14" s="30" t="str">
        <f>Carteira!B14</f>
        <v>AÇÃO</v>
      </c>
      <c r="C14" s="30" t="str">
        <f>Carteira!AB14</f>
        <v>Papel &amp; Celulose</v>
      </c>
      <c r="D14" s="33">
        <f>Carteira!F14</f>
        <v>18.309999999999999</v>
      </c>
      <c r="E14" s="50">
        <f>Carteira!T14</f>
        <v>1.1611</v>
      </c>
      <c r="F14" s="50">
        <f>Carteira!U14</f>
        <v>9.6758333333333335E-2</v>
      </c>
      <c r="G14" s="51">
        <f t="shared" si="0"/>
        <v>5.2844529401055891E-3</v>
      </c>
      <c r="H14" s="32">
        <f t="shared" si="1"/>
        <v>1099</v>
      </c>
      <c r="I14" s="31">
        <f t="shared" si="2"/>
        <v>11359</v>
      </c>
      <c r="J14" s="37">
        <f t="shared" si="3"/>
        <v>207983.28999999998</v>
      </c>
      <c r="K14" s="52">
        <f ca="1">Carteira!C14</f>
        <v>0</v>
      </c>
      <c r="L14" s="33">
        <f ca="1">Carteira!V14</f>
        <v>0</v>
      </c>
      <c r="M14" s="34">
        <f t="shared" ca="1" si="4"/>
        <v>0</v>
      </c>
      <c r="N14" s="31">
        <f t="shared" ca="1" si="5"/>
        <v>11359</v>
      </c>
      <c r="O14" s="37">
        <f t="shared" ca="1" si="6"/>
        <v>207983.28999999998</v>
      </c>
      <c r="P14" s="38">
        <f t="shared" ca="1" si="7"/>
        <v>70</v>
      </c>
    </row>
    <row r="15" spans="1:40">
      <c r="A15" s="20" t="str">
        <f>Carteira!A15</f>
        <v>MXRF11</v>
      </c>
      <c r="B15" s="20" t="str">
        <f>Carteira!B15</f>
        <v>FII</v>
      </c>
      <c r="C15" s="20" t="str">
        <f>Carteira!AB15</f>
        <v>Papel (recebíveis)</v>
      </c>
      <c r="D15" s="23">
        <f>Carteira!F15</f>
        <v>9.08</v>
      </c>
      <c r="E15" s="47">
        <f>Carteira!T15</f>
        <v>1.1942999999999999</v>
      </c>
      <c r="F15" s="47">
        <f>Carteira!U15</f>
        <v>9.9524999999999988E-2</v>
      </c>
      <c r="G15" s="48">
        <f t="shared" si="0"/>
        <v>1.096090308370044E-2</v>
      </c>
      <c r="H15" s="22">
        <f t="shared" si="1"/>
        <v>1099</v>
      </c>
      <c r="I15" s="21">
        <f t="shared" si="2"/>
        <v>11043</v>
      </c>
      <c r="J15" s="27">
        <f t="shared" si="3"/>
        <v>100270.44</v>
      </c>
      <c r="K15" s="49">
        <f ca="1">Carteira!C15</f>
        <v>0</v>
      </c>
      <c r="L15" s="23">
        <f ca="1">Carteira!V15</f>
        <v>0</v>
      </c>
      <c r="M15" s="24">
        <f t="shared" ca="1" si="4"/>
        <v>0</v>
      </c>
      <c r="N15" s="21">
        <f t="shared" ca="1" si="5"/>
        <v>11043</v>
      </c>
      <c r="O15" s="27">
        <f t="shared" ca="1" si="6"/>
        <v>100270.44</v>
      </c>
      <c r="P15" s="28">
        <f t="shared" ca="1" si="7"/>
        <v>34</v>
      </c>
    </row>
    <row r="16" spans="1:40">
      <c r="A16" s="30" t="str">
        <f>Carteira!A16</f>
        <v>BRCR11</v>
      </c>
      <c r="B16" s="30" t="str">
        <f>Carteira!B16</f>
        <v>FII</v>
      </c>
      <c r="C16" s="30" t="str">
        <f>Carteira!AB16</f>
        <v>Lajes corporativas</v>
      </c>
      <c r="D16" s="33">
        <f>Carteira!F16</f>
        <v>41.31</v>
      </c>
      <c r="E16" s="50">
        <f>Carteira!T16</f>
        <v>4.92</v>
      </c>
      <c r="F16" s="50">
        <f>Carteira!U16</f>
        <v>0.41</v>
      </c>
      <c r="G16" s="51">
        <f t="shared" si="0"/>
        <v>9.9249576373759366E-3</v>
      </c>
      <c r="H16" s="32">
        <f t="shared" si="1"/>
        <v>1099</v>
      </c>
      <c r="I16" s="31">
        <f t="shared" si="2"/>
        <v>2681</v>
      </c>
      <c r="J16" s="37">
        <f t="shared" si="3"/>
        <v>110752.11</v>
      </c>
      <c r="K16" s="52">
        <f ca="1">Carteira!C16</f>
        <v>0</v>
      </c>
      <c r="L16" s="33">
        <f ca="1">Carteira!V16</f>
        <v>0</v>
      </c>
      <c r="M16" s="34">
        <f t="shared" ca="1" si="4"/>
        <v>0</v>
      </c>
      <c r="N16" s="31">
        <f t="shared" ca="1" si="5"/>
        <v>2681</v>
      </c>
      <c r="O16" s="37">
        <f t="shared" ca="1" si="6"/>
        <v>110752.11</v>
      </c>
      <c r="P16" s="38">
        <f t="shared" ca="1" si="7"/>
        <v>37</v>
      </c>
    </row>
    <row r="17" spans="1:16">
      <c r="A17" s="20" t="str">
        <f>Carteira!A17</f>
        <v>XPLG11</v>
      </c>
      <c r="B17" s="20" t="str">
        <f>Carteira!B17</f>
        <v>FII</v>
      </c>
      <c r="C17" s="20" t="str">
        <f>Carteira!AB17</f>
        <v>Logística</v>
      </c>
      <c r="D17" s="23">
        <f>Carteira!F17</f>
        <v>92.54</v>
      </c>
      <c r="E17" s="47">
        <f>Carteira!T17</f>
        <v>9.84</v>
      </c>
      <c r="F17" s="47">
        <f>Carteira!U17</f>
        <v>0.82</v>
      </c>
      <c r="G17" s="48">
        <f t="shared" si="0"/>
        <v>8.8610330667819315E-3</v>
      </c>
      <c r="H17" s="22">
        <f t="shared" si="1"/>
        <v>1099</v>
      </c>
      <c r="I17" s="21">
        <f t="shared" si="2"/>
        <v>1341</v>
      </c>
      <c r="J17" s="27">
        <f t="shared" si="3"/>
        <v>124096.14000000001</v>
      </c>
      <c r="K17" s="49">
        <f ca="1">Carteira!C17</f>
        <v>0</v>
      </c>
      <c r="L17" s="23">
        <f ca="1">Carteira!V17</f>
        <v>0</v>
      </c>
      <c r="M17" s="24">
        <f t="shared" ca="1" si="4"/>
        <v>0</v>
      </c>
      <c r="N17" s="21">
        <f t="shared" ca="1" si="5"/>
        <v>1341</v>
      </c>
      <c r="O17" s="27">
        <f t="shared" ca="1" si="6"/>
        <v>124096.14000000001</v>
      </c>
      <c r="P17" s="28">
        <f t="shared" ca="1" si="7"/>
        <v>42</v>
      </c>
    </row>
    <row r="18" spans="1:16">
      <c r="A18" s="30" t="str">
        <f>Carteira!A18</f>
        <v>XPML11</v>
      </c>
      <c r="B18" s="30" t="str">
        <f>Carteira!B18</f>
        <v>FII</v>
      </c>
      <c r="C18" s="30" t="str">
        <f>Carteira!AB18</f>
        <v>Shopping</v>
      </c>
      <c r="D18" s="33">
        <f>Carteira!F18</f>
        <v>99.17</v>
      </c>
      <c r="E18" s="50">
        <f>Carteira!T18</f>
        <v>11.0694</v>
      </c>
      <c r="F18" s="50">
        <f>Carteira!U18</f>
        <v>0.92244999999999999</v>
      </c>
      <c r="G18" s="51">
        <f t="shared" si="0"/>
        <v>9.301704144398508E-3</v>
      </c>
      <c r="H18" s="32">
        <f t="shared" si="1"/>
        <v>1099</v>
      </c>
      <c r="I18" s="31">
        <f t="shared" si="2"/>
        <v>1192</v>
      </c>
      <c r="J18" s="37">
        <f t="shared" si="3"/>
        <v>118210.64</v>
      </c>
      <c r="K18" s="52">
        <f ca="1">Carteira!C18</f>
        <v>0</v>
      </c>
      <c r="L18" s="33">
        <f ca="1">Carteira!V18</f>
        <v>0</v>
      </c>
      <c r="M18" s="34">
        <f t="shared" ca="1" si="4"/>
        <v>0</v>
      </c>
      <c r="N18" s="31">
        <f t="shared" ca="1" si="5"/>
        <v>1192</v>
      </c>
      <c r="O18" s="37">
        <f t="shared" ca="1" si="6"/>
        <v>118210.64</v>
      </c>
      <c r="P18" s="38">
        <f t="shared" ca="1" si="7"/>
        <v>40</v>
      </c>
    </row>
    <row r="19" spans="1:16">
      <c r="A19" s="20" t="str">
        <f>Carteira!A19</f>
        <v>SNAG11</v>
      </c>
      <c r="B19" s="20" t="str">
        <f>Carteira!B19</f>
        <v>FII</v>
      </c>
      <c r="C19" s="20" t="str">
        <f>Carteira!AB19</f>
        <v>Fiagro</v>
      </c>
      <c r="D19" s="23">
        <f>Carteira!F19</f>
        <v>9.81</v>
      </c>
      <c r="E19" s="47">
        <f>Carteira!T19</f>
        <v>1.58</v>
      </c>
      <c r="F19" s="47">
        <f>Carteira!U19</f>
        <v>0.13166666666666668</v>
      </c>
      <c r="G19" s="48">
        <f t="shared" si="0"/>
        <v>1.342167855929324E-2</v>
      </c>
      <c r="H19" s="22">
        <f t="shared" si="1"/>
        <v>1099</v>
      </c>
      <c r="I19" s="21">
        <f t="shared" si="2"/>
        <v>8347</v>
      </c>
      <c r="J19" s="27">
        <f t="shared" si="3"/>
        <v>81884.070000000007</v>
      </c>
      <c r="K19" s="49">
        <f ca="1">Carteira!C19</f>
        <v>0</v>
      </c>
      <c r="L19" s="23">
        <f ca="1">Carteira!V19</f>
        <v>0</v>
      </c>
      <c r="M19" s="24">
        <f t="shared" ca="1" si="4"/>
        <v>0</v>
      </c>
      <c r="N19" s="21">
        <f t="shared" ca="1" si="5"/>
        <v>8347</v>
      </c>
      <c r="O19" s="27">
        <f t="shared" ca="1" si="6"/>
        <v>81884.070000000007</v>
      </c>
      <c r="P19" s="28">
        <f t="shared" ca="1" si="7"/>
        <v>28</v>
      </c>
    </row>
    <row r="20" spans="1:16">
      <c r="A20" s="30" t="str">
        <f>Carteira!A20</f>
        <v>CPTS11</v>
      </c>
      <c r="B20" s="30" t="str">
        <f>Carteira!B20</f>
        <v>FII</v>
      </c>
      <c r="C20" s="30" t="str">
        <f>Carteira!AB20</f>
        <v>Híbrido (papel)</v>
      </c>
      <c r="D20" s="33">
        <f>Carteira!F20</f>
        <v>7.42</v>
      </c>
      <c r="E20" s="50">
        <f>Carteira!T20</f>
        <v>1.08</v>
      </c>
      <c r="F20" s="50">
        <f>Carteira!U20</f>
        <v>9.0000000000000011E-2</v>
      </c>
      <c r="G20" s="51">
        <f t="shared" si="0"/>
        <v>1.2129380053908357E-2</v>
      </c>
      <c r="H20" s="32">
        <f t="shared" si="1"/>
        <v>1099</v>
      </c>
      <c r="I20" s="31">
        <f t="shared" si="2"/>
        <v>12212</v>
      </c>
      <c r="J20" s="37">
        <f t="shared" si="3"/>
        <v>90613.04</v>
      </c>
      <c r="K20" s="52">
        <f ca="1">Carteira!C20</f>
        <v>0</v>
      </c>
      <c r="L20" s="33">
        <f ca="1">Carteira!V20</f>
        <v>0</v>
      </c>
      <c r="M20" s="34">
        <f t="shared" ca="1" si="4"/>
        <v>0</v>
      </c>
      <c r="N20" s="31">
        <f t="shared" ca="1" si="5"/>
        <v>12212</v>
      </c>
      <c r="O20" s="37">
        <f t="shared" ca="1" si="6"/>
        <v>90613.04</v>
      </c>
      <c r="P20" s="38">
        <f t="shared" ca="1" si="7"/>
        <v>31</v>
      </c>
    </row>
    <row r="21" spans="1:16">
      <c r="A21" s="40" t="s">
        <v>51</v>
      </c>
      <c r="B21" s="40"/>
      <c r="C21" s="40"/>
      <c r="D21" s="40"/>
      <c r="E21" s="40"/>
      <c r="F21" s="40"/>
      <c r="G21" s="40"/>
      <c r="H21" s="41">
        <f>SUM(H5:H20)</f>
        <v>17584</v>
      </c>
      <c r="I21" s="40"/>
      <c r="J21" s="53">
        <f>SUM(J5:J20)</f>
        <v>2438270.58</v>
      </c>
      <c r="K21" s="40"/>
      <c r="L21" s="41">
        <f ca="1">SUM(L5:L20)</f>
        <v>0</v>
      </c>
      <c r="M21" s="42">
        <f ca="1">IF(H21&gt;0,L21/H21,0)</f>
        <v>0</v>
      </c>
      <c r="N21" s="43">
        <f ca="1">SUM(N5:N20)</f>
        <v>137494</v>
      </c>
      <c r="O21" s="53">
        <f ca="1">SUM(O5:O20)</f>
        <v>2438270.58</v>
      </c>
      <c r="P21" s="44">
        <f ca="1">IF(APORTE_MENSAL&gt;0,ROUNDUP(O21/APORTE_MENSAL,0),"")</f>
        <v>813</v>
      </c>
    </row>
    <row r="23" spans="1:16">
      <c r="A23" s="45" t="s">
        <v>83</v>
      </c>
      <c r="H23" s="53">
        <f>SUMIFS(H5:H20,$B$5:$B$20,"AÇÃO")</f>
        <v>10990</v>
      </c>
      <c r="J23" s="53">
        <f>SUMIFS(J5:J20,$B$5:$B$20,"AÇÃO")</f>
        <v>1812444.1400000001</v>
      </c>
      <c r="L23" s="53">
        <f ca="1">SUMIFS(L5:L20,$B$5:$B$20,"AÇÃO")</f>
        <v>0</v>
      </c>
      <c r="M23" s="42">
        <f ca="1">IF(H23&gt;0,L23/H23,0)</f>
        <v>0</v>
      </c>
      <c r="N23" s="43">
        <f ca="1">SUMIFS(N5:N20,$B$5:$B$20,"AÇÃO")</f>
        <v>100678</v>
      </c>
      <c r="O23" s="53">
        <f ca="1">SUMIFS(O5:O20,$B$5:$B$20,"AÇÃO")</f>
        <v>1812444.1400000001</v>
      </c>
      <c r="P23" s="44">
        <f ca="1">IF(APORTE_MENSAL&gt;0,ROUNDUP(O23/APORTE_MENSAL,0),"")</f>
        <v>605</v>
      </c>
    </row>
    <row r="24" spans="1:16">
      <c r="A24" s="45" t="s">
        <v>84</v>
      </c>
      <c r="H24" s="53">
        <f>SUMIFS(H5:H20,$B$5:$B$20,"FII")</f>
        <v>6594</v>
      </c>
      <c r="J24" s="53">
        <f>SUMIFS(J5:J20,$B$5:$B$20,"FII")</f>
        <v>625826.44000000006</v>
      </c>
      <c r="L24" s="53">
        <f ca="1">SUMIFS(L5:L20,$B$5:$B$20,"FII")</f>
        <v>0</v>
      </c>
      <c r="M24" s="42">
        <f ca="1">IF(H24&gt;0,L24/H24,0)</f>
        <v>0</v>
      </c>
      <c r="N24" s="43">
        <f ca="1">SUMIFS(N5:N20,$B$5:$B$20,"FII")</f>
        <v>36816</v>
      </c>
      <c r="O24" s="53">
        <f ca="1">SUMIFS(O5:O20,$B$5:$B$20,"FII")</f>
        <v>625826.44000000006</v>
      </c>
      <c r="P24" s="44">
        <f ca="1">IF(APORTE_MENSAL&gt;0,ROUNDUP(O24/APORTE_MENSAL,0),"")</f>
        <v>209</v>
      </c>
    </row>
    <row r="27" spans="1:16">
      <c r="A27" s="45" t="s">
        <v>85</v>
      </c>
    </row>
    <row r="28" spans="1:16">
      <c r="A28" s="46" t="s">
        <v>100</v>
      </c>
    </row>
    <row r="29" spans="1:16">
      <c r="A29" s="46" t="s">
        <v>101</v>
      </c>
    </row>
    <row r="30" spans="1:16">
      <c r="A30" s="46" t="s">
        <v>102</v>
      </c>
    </row>
    <row r="31" spans="1:16">
      <c r="A31" s="46" t="s">
        <v>103</v>
      </c>
    </row>
    <row r="32" spans="1:16">
      <c r="A32" s="46" t="s">
        <v>104</v>
      </c>
    </row>
  </sheetData>
  <conditionalFormatting sqref="M5:M20">
    <cfRule type="dataBar" priority="1">
      <dataBar>
        <cfvo type="num" val="0"/>
        <cfvo type="num" val="1"/>
        <color rgb="FF0D9488"/>
      </dataBar>
    </cfRule>
  </conditionalFormatting>
  <pageMargins left="0.75" right="0.75" top="1" bottom="1" header="0.5" footer="0.5"/>
  <pageSetup scale="57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2563EB"/>
    <pageSetUpPr fitToPage="1"/>
  </sheetPr>
  <dimension ref="A1:AN64"/>
  <sheetViews>
    <sheetView showGridLines="0" workbookViewId="0">
      <pane xSplit="1" ySplit="4" topLeftCell="B5" activePane="bottomRight" state="frozen"/>
      <selection pane="topRight"/>
      <selection pane="bottomLeft"/>
      <selection pane="bottomRight"/>
    </sheetView>
  </sheetViews>
  <sheetFormatPr defaultRowHeight="15"/>
  <cols>
    <col min="1" max="1" width="30" customWidth="1"/>
    <col min="2" max="2" width="16" customWidth="1"/>
    <col min="3" max="3" width="15" customWidth="1"/>
    <col min="4" max="4" width="10" customWidth="1"/>
    <col min="5" max="27" width="12" customWidth="1"/>
    <col min="28" max="28" width="20" customWidth="1"/>
    <col min="29" max="38" width="12" customWidth="1"/>
  </cols>
  <sheetData>
    <row r="1" spans="1:40" ht="33.950000000000003" customHeight="1">
      <c r="A1" s="1" t="s">
        <v>105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106</v>
      </c>
    </row>
    <row r="4" spans="1:40" ht="44.1" customHeight="1">
      <c r="A4" s="19" t="s">
        <v>54</v>
      </c>
      <c r="B4" s="19" t="s">
        <v>55</v>
      </c>
      <c r="C4" s="19" t="s">
        <v>60</v>
      </c>
      <c r="D4" s="19" t="s">
        <v>69</v>
      </c>
      <c r="E4" s="19" t="s">
        <v>107</v>
      </c>
      <c r="F4" s="19" t="s">
        <v>108</v>
      </c>
      <c r="G4" s="19" t="s">
        <v>109</v>
      </c>
      <c r="H4" s="19" t="s">
        <v>110</v>
      </c>
      <c r="I4" s="19" t="s">
        <v>111</v>
      </c>
      <c r="J4" s="19" t="s">
        <v>112</v>
      </c>
      <c r="K4" s="19" t="s">
        <v>113</v>
      </c>
      <c r="L4" s="19" t="s">
        <v>114</v>
      </c>
      <c r="M4" s="19" t="s">
        <v>115</v>
      </c>
      <c r="N4" s="19" t="s">
        <v>116</v>
      </c>
      <c r="O4" s="19" t="s">
        <v>117</v>
      </c>
      <c r="P4" s="19" t="s">
        <v>118</v>
      </c>
      <c r="Q4" s="19" t="s">
        <v>119</v>
      </c>
      <c r="R4" s="19" t="s">
        <v>120</v>
      </c>
      <c r="S4" s="19" t="s">
        <v>121</v>
      </c>
      <c r="T4" s="19" t="s">
        <v>122</v>
      </c>
      <c r="U4" s="19" t="s">
        <v>123</v>
      </c>
      <c r="V4" s="19" t="s">
        <v>124</v>
      </c>
      <c r="W4" s="19" t="s">
        <v>125</v>
      </c>
      <c r="X4" s="19" t="s">
        <v>126</v>
      </c>
      <c r="Y4" s="19" t="s">
        <v>127</v>
      </c>
      <c r="Z4" s="19" t="s">
        <v>128</v>
      </c>
      <c r="AA4" s="19" t="s">
        <v>129</v>
      </c>
      <c r="AB4" s="19" t="s">
        <v>130</v>
      </c>
      <c r="AC4" s="19" t="s">
        <v>131</v>
      </c>
      <c r="AD4" s="19" t="s">
        <v>132</v>
      </c>
      <c r="AE4" s="19" t="s">
        <v>133</v>
      </c>
      <c r="AF4" s="19" t="s">
        <v>134</v>
      </c>
      <c r="AG4" s="19" t="s">
        <v>135</v>
      </c>
      <c r="AH4" s="19" t="s">
        <v>136</v>
      </c>
      <c r="AI4" s="19" t="s">
        <v>137</v>
      </c>
      <c r="AJ4" s="19" t="s">
        <v>138</v>
      </c>
      <c r="AK4" s="19" t="s">
        <v>139</v>
      </c>
      <c r="AL4" s="19" t="s">
        <v>140</v>
      </c>
    </row>
    <row r="5" spans="1:40">
      <c r="A5" s="20" t="str">
        <f>Carteira!A5</f>
        <v>VALE3</v>
      </c>
      <c r="B5" s="20" t="str">
        <f>Carteira!B5</f>
        <v>AÇÃO</v>
      </c>
      <c r="C5" s="23">
        <f ca="1">Carteira!G5</f>
        <v>0</v>
      </c>
      <c r="D5" s="25">
        <f ca="1">Carteira!P5</f>
        <v>0</v>
      </c>
      <c r="E5" s="29" t="s">
        <v>141</v>
      </c>
      <c r="F5" s="21">
        <v>262</v>
      </c>
      <c r="G5" s="54">
        <v>46293</v>
      </c>
      <c r="H5" s="24">
        <v>0.18808670421573639</v>
      </c>
      <c r="I5" s="24">
        <v>0.28571539337449181</v>
      </c>
      <c r="J5" s="24">
        <v>0.2432706270491074</v>
      </c>
      <c r="K5" s="55">
        <v>-0.1237474531135237</v>
      </c>
      <c r="L5" s="24">
        <v>-0.26970724867237289</v>
      </c>
      <c r="M5" s="55">
        <v>0.86425067697871938</v>
      </c>
      <c r="N5" s="55">
        <v>0.52453639296102073</v>
      </c>
      <c r="O5" s="24">
        <v>0.25331573584148459</v>
      </c>
      <c r="P5" s="24">
        <v>5.2114276555988409E-2</v>
      </c>
      <c r="Q5" s="24">
        <v>6.7914785668716435E-2</v>
      </c>
      <c r="R5" s="55">
        <v>-0.17156540264257181</v>
      </c>
      <c r="S5" s="24">
        <v>0.1677150043107089</v>
      </c>
      <c r="T5" s="24">
        <v>-5.7819124825365859E-2</v>
      </c>
      <c r="U5" s="55">
        <v>-0.12355526852342991</v>
      </c>
      <c r="V5" s="55">
        <v>0.53252512575731448</v>
      </c>
      <c r="W5" s="56">
        <v>0.32624666650132261</v>
      </c>
      <c r="X5" s="55">
        <v>1.163284834399908E-2</v>
      </c>
      <c r="Y5" s="24">
        <v>-0.24166550774434301</v>
      </c>
      <c r="Z5" s="55">
        <v>1.1587880953698699</v>
      </c>
      <c r="AA5" s="55">
        <v>0.82625731898328936</v>
      </c>
      <c r="AB5" s="29" t="s">
        <v>142</v>
      </c>
      <c r="AC5" s="24">
        <v>6.6860180585053983E-2</v>
      </c>
      <c r="AD5" s="55">
        <v>0.13747865616684279</v>
      </c>
      <c r="AE5" s="24">
        <v>-2.5681041094572029E-2</v>
      </c>
      <c r="AF5" s="22">
        <v>76.221586875365375</v>
      </c>
      <c r="AG5" s="22">
        <v>66.17806205903041</v>
      </c>
      <c r="AH5" s="22">
        <v>87.789368939462591</v>
      </c>
      <c r="AI5" s="22">
        <v>5.6124929999999997</v>
      </c>
      <c r="AJ5" s="24">
        <v>0.23141342302641749</v>
      </c>
      <c r="AK5" s="24">
        <v>0.1</v>
      </c>
      <c r="AL5" s="24">
        <v>0.1147185001652129</v>
      </c>
    </row>
    <row r="6" spans="1:40">
      <c r="A6" s="30" t="str">
        <f>Carteira!A6</f>
        <v>TAEE11</v>
      </c>
      <c r="B6" s="30" t="str">
        <f>Carteira!B6</f>
        <v>AÇÃO</v>
      </c>
      <c r="C6" s="33">
        <f ca="1">Carteira!G6</f>
        <v>0</v>
      </c>
      <c r="D6" s="35">
        <f ca="1">Carteira!P6</f>
        <v>0</v>
      </c>
      <c r="E6" s="39" t="s">
        <v>141</v>
      </c>
      <c r="F6" s="31">
        <v>262</v>
      </c>
      <c r="G6" s="57">
        <v>46293</v>
      </c>
      <c r="H6" s="34">
        <v>0.1051771117166211</v>
      </c>
      <c r="I6" s="34">
        <v>0.18931022175067441</v>
      </c>
      <c r="J6" s="34">
        <v>0.17837025255100369</v>
      </c>
      <c r="K6" s="58">
        <v>7.2434011692354139E-2</v>
      </c>
      <c r="L6" s="34">
        <v>-0.1305464249106838</v>
      </c>
      <c r="M6" s="58">
        <v>0.78736559020039554</v>
      </c>
      <c r="N6" s="58">
        <v>0.65174780248813968</v>
      </c>
      <c r="O6" s="34">
        <v>0.21762483718553921</v>
      </c>
      <c r="P6" s="34">
        <v>3.2745529337404912E-2</v>
      </c>
      <c r="Q6" s="34">
        <v>4.1154032610750679E-2</v>
      </c>
      <c r="R6" s="58">
        <v>0.11596660551720139</v>
      </c>
      <c r="S6" s="34">
        <v>0.16524943434559231</v>
      </c>
      <c r="T6" s="34">
        <v>-1.2329361386744699E-2</v>
      </c>
      <c r="U6" s="58">
        <v>0.88612767095519651</v>
      </c>
      <c r="V6" s="58">
        <v>2.3607362801171741</v>
      </c>
      <c r="W6" s="59">
        <v>5.0189496063699633E-13</v>
      </c>
      <c r="X6" s="58">
        <v>4.0380819476240629E-2</v>
      </c>
      <c r="Y6" s="34">
        <v>0.64012703876999111</v>
      </c>
      <c r="Z6" s="58">
        <v>3.5950826831053408</v>
      </c>
      <c r="AA6" s="58">
        <v>0.45019228726342858</v>
      </c>
      <c r="AB6" s="39" t="s">
        <v>143</v>
      </c>
      <c r="AC6" s="34">
        <v>6.4927885421858039E-2</v>
      </c>
      <c r="AD6" s="58">
        <v>0.38882019560285752</v>
      </c>
      <c r="AE6" s="34">
        <v>6.0614777813103871E-3</v>
      </c>
      <c r="AF6" s="32">
        <v>42.933236175552707</v>
      </c>
      <c r="AG6" s="32">
        <v>40.081003780397381</v>
      </c>
      <c r="AH6" s="32">
        <v>45.988438278765898</v>
      </c>
      <c r="AI6" s="32">
        <v>3.006456</v>
      </c>
      <c r="AJ6" s="34">
        <v>1.5729596087432851E-2</v>
      </c>
      <c r="AK6" s="34">
        <v>0.05</v>
      </c>
      <c r="AL6" s="34">
        <v>4.9930655436399927E-2</v>
      </c>
    </row>
    <row r="7" spans="1:40">
      <c r="A7" s="20" t="str">
        <f>Carteira!A7</f>
        <v>PETR4</v>
      </c>
      <c r="B7" s="20" t="str">
        <f>Carteira!B7</f>
        <v>AÇÃO</v>
      </c>
      <c r="C7" s="23">
        <f ca="1">Carteira!G7</f>
        <v>0</v>
      </c>
      <c r="D7" s="25">
        <f ca="1">Carteira!P7</f>
        <v>0</v>
      </c>
      <c r="E7" s="29" t="s">
        <v>141</v>
      </c>
      <c r="F7" s="21">
        <v>262</v>
      </c>
      <c r="G7" s="54">
        <v>46293</v>
      </c>
      <c r="H7" s="24">
        <v>0.58387096774193559</v>
      </c>
      <c r="I7" s="24">
        <v>0.73698091270650523</v>
      </c>
      <c r="J7" s="24">
        <v>0.27688115558392279</v>
      </c>
      <c r="K7" s="55">
        <v>0.58906558334421943</v>
      </c>
      <c r="L7" s="24">
        <v>-0.2112375997243883</v>
      </c>
      <c r="M7" s="55">
        <v>0.60955148642031587</v>
      </c>
      <c r="N7" s="55">
        <v>0.32504430957171643</v>
      </c>
      <c r="O7" s="24">
        <v>0.28595813751975468</v>
      </c>
      <c r="P7" s="24">
        <v>5.8028458717488657E-2</v>
      </c>
      <c r="Q7" s="24">
        <v>7.6908098636389324E-2</v>
      </c>
      <c r="R7" s="55">
        <v>0.87377309810782344</v>
      </c>
      <c r="S7" s="24">
        <v>0.1595472477184465</v>
      </c>
      <c r="T7" s="24">
        <v>0.14355391171261861</v>
      </c>
      <c r="U7" s="55">
        <v>-0.18530850712470151</v>
      </c>
      <c r="V7" s="55">
        <v>0.1594618065306341</v>
      </c>
      <c r="W7" s="56">
        <v>0.58916359897323356</v>
      </c>
      <c r="X7" s="55">
        <v>9.6040773636369647E-2</v>
      </c>
      <c r="Y7" s="24">
        <v>0.1271716406114041</v>
      </c>
      <c r="Z7" s="55">
        <v>0.17300970681327399</v>
      </c>
      <c r="AA7" s="55">
        <v>0.72092734187186847</v>
      </c>
      <c r="AB7" s="29" t="s">
        <v>143</v>
      </c>
      <c r="AC7" s="24">
        <v>2.5975206854695749E-2</v>
      </c>
      <c r="AD7" s="55">
        <v>2.9566000960155051E-2</v>
      </c>
      <c r="AE7" s="24">
        <v>0.28190601500540358</v>
      </c>
      <c r="AF7" s="22">
        <v>39.297251176681009</v>
      </c>
      <c r="AG7" s="22">
        <v>34.573994102265708</v>
      </c>
      <c r="AH7" s="22">
        <v>44.665766572279168</v>
      </c>
      <c r="AI7" s="22">
        <v>3.6643469999999998</v>
      </c>
      <c r="AJ7" s="24">
        <v>-0.30041062618392961</v>
      </c>
      <c r="AK7" s="24">
        <v>7.0000000000000007E-2</v>
      </c>
      <c r="AL7" s="24">
        <v>5.8453934991342792E-2</v>
      </c>
    </row>
    <row r="8" spans="1:40">
      <c r="A8" s="30" t="str">
        <f>Carteira!A8</f>
        <v>BBAS3</v>
      </c>
      <c r="B8" s="30" t="str">
        <f>Carteira!B8</f>
        <v>AÇÃO</v>
      </c>
      <c r="C8" s="33">
        <f ca="1">Carteira!G8</f>
        <v>0</v>
      </c>
      <c r="D8" s="35">
        <f ca="1">Carteira!P8</f>
        <v>0</v>
      </c>
      <c r="E8" s="39" t="s">
        <v>141</v>
      </c>
      <c r="F8" s="31">
        <v>262</v>
      </c>
      <c r="G8" s="57">
        <v>46293</v>
      </c>
      <c r="H8" s="34">
        <v>2.1316033364226161E-2</v>
      </c>
      <c r="I8" s="34">
        <v>5.0878510850343561E-2</v>
      </c>
      <c r="J8" s="34">
        <v>0.26226345344785801</v>
      </c>
      <c r="K8" s="58">
        <v>-0.46235733369086829</v>
      </c>
      <c r="L8" s="34">
        <v>-0.36644177052651822</v>
      </c>
      <c r="M8" s="58">
        <v>1.114557374600764</v>
      </c>
      <c r="N8" s="58">
        <v>0.6274660400552976</v>
      </c>
      <c r="O8" s="34">
        <v>0.3731459895813295</v>
      </c>
      <c r="P8" s="34">
        <v>5.5538238020515912E-2</v>
      </c>
      <c r="Q8" s="34">
        <v>8.0484399791247982E-2</v>
      </c>
      <c r="R8" s="58">
        <v>-0.65038898129896672</v>
      </c>
      <c r="S8" s="34">
        <v>0.17574190135387449</v>
      </c>
      <c r="T8" s="34">
        <v>-0.15700133241458519</v>
      </c>
      <c r="U8" s="58">
        <v>0.19891187969168131</v>
      </c>
      <c r="V8" s="58">
        <v>2.3392525455743689</v>
      </c>
      <c r="W8" s="59">
        <v>1.129743418376262E-8</v>
      </c>
      <c r="X8" s="58">
        <v>0.1292470842050735</v>
      </c>
      <c r="Y8" s="34">
        <v>1.682130807085922</v>
      </c>
      <c r="Z8" s="58">
        <v>6.6634439336812878</v>
      </c>
      <c r="AA8" s="58">
        <v>0.49343533997886729</v>
      </c>
      <c r="AB8" s="39" t="s">
        <v>143</v>
      </c>
      <c r="AC8" s="34">
        <v>-0.1036912381456324</v>
      </c>
      <c r="AD8" s="58">
        <v>0.54825286847941257</v>
      </c>
      <c r="AE8" s="34">
        <v>6.1485101923833607E-2</v>
      </c>
      <c r="AF8" s="32">
        <v>18.610383768426871</v>
      </c>
      <c r="AG8" s="32">
        <v>17.066335603275469</v>
      </c>
      <c r="AH8" s="32">
        <v>20.294127108437589</v>
      </c>
      <c r="AI8" s="32">
        <v>0.65495099999999995</v>
      </c>
      <c r="AJ8" s="34">
        <v>-0.62030109187545879</v>
      </c>
      <c r="AK8" s="34">
        <v>0.06</v>
      </c>
      <c r="AL8" s="34">
        <v>9.3709069674544371E-2</v>
      </c>
    </row>
    <row r="9" spans="1:40">
      <c r="A9" s="20" t="str">
        <f>Carteira!A9</f>
        <v>BRBI11</v>
      </c>
      <c r="B9" s="20" t="str">
        <f>Carteira!B9</f>
        <v>AÇÃO</v>
      </c>
      <c r="C9" s="23">
        <f ca="1">Carteira!G9</f>
        <v>0</v>
      </c>
      <c r="D9" s="25">
        <f ca="1">Carteira!P9</f>
        <v>0</v>
      </c>
      <c r="E9" s="29" t="s">
        <v>141</v>
      </c>
      <c r="F9" s="21">
        <v>262</v>
      </c>
      <c r="G9" s="54">
        <v>46293</v>
      </c>
      <c r="H9" s="24">
        <v>-0.1818181818181818</v>
      </c>
      <c r="I9" s="24">
        <v>-0.11651978550468479</v>
      </c>
      <c r="J9" s="24">
        <v>0.27554984199971572</v>
      </c>
      <c r="K9" s="55">
        <v>0.1335449454184906</v>
      </c>
      <c r="L9" s="24">
        <v>-0.41012387805058959</v>
      </c>
      <c r="M9" s="55">
        <v>1.1368973629317189</v>
      </c>
      <c r="N9" s="55">
        <v>0.60918144172654198</v>
      </c>
      <c r="O9" s="24">
        <v>0.33167804217382479</v>
      </c>
      <c r="P9" s="24">
        <v>5.7794338262512977E-2</v>
      </c>
      <c r="Q9" s="24">
        <v>7.0657136464730333E-2</v>
      </c>
      <c r="R9" s="55">
        <v>0.20043422000205491</v>
      </c>
      <c r="S9" s="24">
        <v>0.1764583056210462</v>
      </c>
      <c r="T9" s="24">
        <v>3.3998298887957801E-4</v>
      </c>
      <c r="U9" s="55">
        <v>0.18553897936423361</v>
      </c>
      <c r="V9" s="55">
        <v>8.647528328322851E-2</v>
      </c>
      <c r="W9" s="56">
        <v>0.62386287601498935</v>
      </c>
      <c r="X9" s="55">
        <v>5.243192477087151E-2</v>
      </c>
      <c r="Y9" s="24">
        <v>1.5498417179803979E-2</v>
      </c>
      <c r="Z9" s="55">
        <v>4.0594248683001961</v>
      </c>
      <c r="AA9" s="55">
        <v>0.83810141656799508</v>
      </c>
      <c r="AB9" s="29" t="s">
        <v>143</v>
      </c>
      <c r="AC9" s="24">
        <v>6.5876157685649542E-2</v>
      </c>
      <c r="AD9" s="55">
        <v>0.17295030822195179</v>
      </c>
      <c r="AE9" s="24">
        <v>-0.1405198297036252</v>
      </c>
      <c r="AF9" s="22">
        <v>18.192860956706632</v>
      </c>
      <c r="AG9" s="22">
        <v>16.109839879649869</v>
      </c>
      <c r="AH9" s="22">
        <v>20.54521908738263</v>
      </c>
      <c r="AI9" s="22">
        <v>1.38</v>
      </c>
      <c r="AJ9" s="24">
        <v>-0.33333333333333348</v>
      </c>
      <c r="AK9" s="24">
        <v>0.05</v>
      </c>
      <c r="AL9" s="24">
        <v>8.0024274771707204E-2</v>
      </c>
    </row>
    <row r="10" spans="1:40">
      <c r="A10" s="30" t="str">
        <f>Carteira!A10</f>
        <v>BBDC4</v>
      </c>
      <c r="B10" s="30" t="str">
        <f>Carteira!B10</f>
        <v>AÇÃO</v>
      </c>
      <c r="C10" s="33">
        <f ca="1">Carteira!G10</f>
        <v>0</v>
      </c>
      <c r="D10" s="35">
        <f ca="1">Carteira!P10</f>
        <v>0</v>
      </c>
      <c r="E10" s="39" t="s">
        <v>141</v>
      </c>
      <c r="F10" s="31">
        <v>262</v>
      </c>
      <c r="G10" s="57">
        <v>46293</v>
      </c>
      <c r="H10" s="34">
        <v>3.9766081871344998E-2</v>
      </c>
      <c r="I10" s="34">
        <v>0.10937777604342511</v>
      </c>
      <c r="J10" s="34">
        <v>0.26056561725257971</v>
      </c>
      <c r="K10" s="58">
        <v>0.1072649768907465</v>
      </c>
      <c r="L10" s="34">
        <v>-0.28557295773293218</v>
      </c>
      <c r="M10" s="58">
        <v>1.234127189935124</v>
      </c>
      <c r="N10" s="58">
        <v>0.69930781899584316</v>
      </c>
      <c r="O10" s="34">
        <v>0.25701253714754629</v>
      </c>
      <c r="P10" s="34">
        <v>5.2315952472739929E-2</v>
      </c>
      <c r="Q10" s="34">
        <v>7.4662995892712941E-2</v>
      </c>
      <c r="R10" s="58">
        <v>0.15905758386564439</v>
      </c>
      <c r="S10" s="34">
        <v>0.17957629574394571</v>
      </c>
      <c r="T10" s="34">
        <v>-1.1626730830824611E-2</v>
      </c>
      <c r="U10" s="58">
        <v>0.31826293033544401</v>
      </c>
      <c r="V10" s="58">
        <v>2.6144191325589241</v>
      </c>
      <c r="W10" s="59">
        <v>6.0332761035386397E-11</v>
      </c>
      <c r="X10" s="58">
        <v>0.1633865552756226</v>
      </c>
      <c r="Y10" s="34">
        <v>0.3458875621387546</v>
      </c>
      <c r="Z10" s="58">
        <v>3.213737514217859</v>
      </c>
      <c r="AA10" s="58">
        <v>0.49934518899943547</v>
      </c>
      <c r="AB10" s="39" t="s">
        <v>143</v>
      </c>
      <c r="AC10" s="34">
        <v>0.12823102233605829</v>
      </c>
      <c r="AD10" s="58">
        <v>0.39188277880911931</v>
      </c>
      <c r="AE10" s="34">
        <v>-4.4808681702703801E-2</v>
      </c>
      <c r="AF10" s="32">
        <v>21.000973514807011</v>
      </c>
      <c r="AG10" s="32">
        <v>18.42243491406963</v>
      </c>
      <c r="AH10" s="32">
        <v>23.940423219125758</v>
      </c>
      <c r="AI10" s="32">
        <v>1.552753</v>
      </c>
      <c r="AJ10" s="34">
        <v>0.25016344079095681</v>
      </c>
      <c r="AK10" s="34">
        <v>0.05</v>
      </c>
      <c r="AL10" s="34">
        <v>7.6416267385510397E-2</v>
      </c>
    </row>
    <row r="11" spans="1:40">
      <c r="A11" s="20" t="str">
        <f>Carteira!A11</f>
        <v>ITSA4</v>
      </c>
      <c r="B11" s="20" t="str">
        <f>Carteira!B11</f>
        <v>AÇÃO</v>
      </c>
      <c r="C11" s="23">
        <f ca="1">Carteira!G11</f>
        <v>0</v>
      </c>
      <c r="D11" s="25">
        <f ca="1">Carteira!P11</f>
        <v>0</v>
      </c>
      <c r="E11" s="29" t="s">
        <v>141</v>
      </c>
      <c r="F11" s="21">
        <v>262</v>
      </c>
      <c r="G11" s="54">
        <v>46293</v>
      </c>
      <c r="H11" s="24">
        <v>0.28727272727272729</v>
      </c>
      <c r="I11" s="24">
        <v>0.41142751351477691</v>
      </c>
      <c r="J11" s="24">
        <v>0.20531679187547369</v>
      </c>
      <c r="K11" s="55">
        <v>0.90321703723232016</v>
      </c>
      <c r="L11" s="24">
        <v>-0.18974190361747029</v>
      </c>
      <c r="M11" s="55">
        <v>1.1926072828831471</v>
      </c>
      <c r="N11" s="55">
        <v>0.85762722497599486</v>
      </c>
      <c r="O11" s="24">
        <v>0.2488142723175378</v>
      </c>
      <c r="P11" s="24">
        <v>4.3839097824349423E-2</v>
      </c>
      <c r="Q11" s="24">
        <v>5.2612354593667733E-2</v>
      </c>
      <c r="R11" s="55">
        <v>1.429793093852485</v>
      </c>
      <c r="S11" s="24">
        <v>0.17824482510287129</v>
      </c>
      <c r="T11" s="24">
        <v>0.1472007993489389</v>
      </c>
      <c r="U11" s="55">
        <v>0.17359488624798711</v>
      </c>
      <c r="V11" s="55">
        <v>0.62569572171829746</v>
      </c>
      <c r="W11" s="56">
        <v>0.1893578644655674</v>
      </c>
      <c r="X11" s="55">
        <v>0.19154085559089409</v>
      </c>
      <c r="Y11" s="24">
        <v>0.42487245195009188</v>
      </c>
      <c r="Z11" s="55">
        <v>2.4163129384959992</v>
      </c>
      <c r="AA11" s="55">
        <v>0.66286093619318698</v>
      </c>
      <c r="AB11" s="29" t="s">
        <v>143</v>
      </c>
      <c r="AC11" s="24">
        <v>0.18294402765614201</v>
      </c>
      <c r="AD11" s="55">
        <v>0.77393575507224444</v>
      </c>
      <c r="AE11" s="24">
        <v>3.958536976954341E-2</v>
      </c>
      <c r="AF11" s="22">
        <v>16.11266175795091</v>
      </c>
      <c r="AG11" s="22">
        <v>14.8866135110174</v>
      </c>
      <c r="AH11" s="22">
        <v>17.439686247916189</v>
      </c>
      <c r="AI11" s="22">
        <v>1.1278010000000001</v>
      </c>
      <c r="AJ11" s="24">
        <v>0.12695803538952879</v>
      </c>
      <c r="AK11" s="24">
        <v>0.1</v>
      </c>
      <c r="AL11" s="24">
        <v>0.14174822397821571</v>
      </c>
    </row>
    <row r="12" spans="1:40">
      <c r="A12" s="30" t="str">
        <f>Carteira!A12</f>
        <v>CMIG4</v>
      </c>
      <c r="B12" s="30" t="str">
        <f>Carteira!B12</f>
        <v>AÇÃO</v>
      </c>
      <c r="C12" s="33">
        <f ca="1">Carteira!G12</f>
        <v>0</v>
      </c>
      <c r="D12" s="35">
        <f ca="1">Carteira!P12</f>
        <v>0</v>
      </c>
      <c r="E12" s="39" t="s">
        <v>141</v>
      </c>
      <c r="F12" s="31">
        <v>262</v>
      </c>
      <c r="G12" s="57">
        <v>46293</v>
      </c>
      <c r="H12" s="34">
        <v>1.107011070110708E-2</v>
      </c>
      <c r="I12" s="34">
        <v>0.1157565047912337</v>
      </c>
      <c r="J12" s="34">
        <v>0.2600079702074396</v>
      </c>
      <c r="K12" s="58">
        <v>0.23966850835810991</v>
      </c>
      <c r="L12" s="34">
        <v>-0.24347763865808111</v>
      </c>
      <c r="M12" s="58">
        <v>0.95259274900109314</v>
      </c>
      <c r="N12" s="58">
        <v>0.54093636971642622</v>
      </c>
      <c r="O12" s="34">
        <v>0.25032342050910777</v>
      </c>
      <c r="P12" s="34">
        <v>4.2310361745665097E-2</v>
      </c>
      <c r="Q12" s="34">
        <v>6.7321482918723669E-2</v>
      </c>
      <c r="R12" s="58">
        <v>0.33739587113186559</v>
      </c>
      <c r="S12" s="34">
        <v>0.1705479797102496</v>
      </c>
      <c r="T12" s="34">
        <v>3.1767742670587379E-2</v>
      </c>
      <c r="U12" s="58">
        <v>-0.96954322650514158</v>
      </c>
      <c r="V12" s="58">
        <v>6.9452921227080608</v>
      </c>
      <c r="W12" s="59">
        <v>4.0576148274837633E-74</v>
      </c>
      <c r="X12" s="58">
        <v>-0.11996904121896799</v>
      </c>
      <c r="Y12" s="34">
        <v>-0.17169875853263911</v>
      </c>
      <c r="Z12" s="58">
        <v>0.55654393118461998</v>
      </c>
      <c r="AA12" s="58">
        <v>0.32298594768235689</v>
      </c>
      <c r="AB12" s="39" t="s">
        <v>142</v>
      </c>
      <c r="AC12" s="34">
        <v>7.3858217432107354E-2</v>
      </c>
      <c r="AD12" s="58">
        <v>0.42857758324696688</v>
      </c>
      <c r="AE12" s="34">
        <v>-7.7057557369734075E-2</v>
      </c>
      <c r="AF12" s="32">
        <v>12.75213439043327</v>
      </c>
      <c r="AG12" s="32">
        <v>11.86961579307957</v>
      </c>
      <c r="AH12" s="32">
        <v>13.700269187018041</v>
      </c>
      <c r="AI12" s="32">
        <v>1.3507480000000001</v>
      </c>
      <c r="AJ12" s="34">
        <v>7.8574993312545915E-2</v>
      </c>
      <c r="AK12" s="34">
        <v>0.1</v>
      </c>
      <c r="AL12" s="34">
        <v>0.1468640726947216</v>
      </c>
    </row>
    <row r="13" spans="1:40">
      <c r="A13" s="20" t="str">
        <f>Carteira!A13</f>
        <v>FIQE3</v>
      </c>
      <c r="B13" s="20" t="str">
        <f>Carteira!B13</f>
        <v>AÇÃO</v>
      </c>
      <c r="C13" s="23">
        <f ca="1">Carteira!G13</f>
        <v>0</v>
      </c>
      <c r="D13" s="25">
        <f ca="1">Carteira!P13</f>
        <v>0</v>
      </c>
      <c r="E13" s="29" t="s">
        <v>141</v>
      </c>
      <c r="F13" s="21">
        <v>262</v>
      </c>
      <c r="G13" s="54">
        <v>46293</v>
      </c>
      <c r="H13" s="24">
        <v>0.23322541581197659</v>
      </c>
      <c r="I13" s="24">
        <v>0.40630544529735202</v>
      </c>
      <c r="J13" s="24">
        <v>0.27672861620611289</v>
      </c>
      <c r="K13" s="55">
        <v>0.38598104705707531</v>
      </c>
      <c r="L13" s="24">
        <v>-0.38054933755903592</v>
      </c>
      <c r="M13" s="55">
        <v>1.0995943295592769</v>
      </c>
      <c r="N13" s="55">
        <v>0.58668365887092688</v>
      </c>
      <c r="O13" s="24">
        <v>0.32485637220131819</v>
      </c>
      <c r="P13" s="24">
        <v>5.3882321844048432E-2</v>
      </c>
      <c r="Q13" s="24">
        <v>6.8431464124513564E-2</v>
      </c>
      <c r="R13" s="55">
        <v>0.63420041031397445</v>
      </c>
      <c r="S13" s="24">
        <v>0.1752620627273363</v>
      </c>
      <c r="T13" s="24">
        <v>7.1549938306554706E-2</v>
      </c>
      <c r="U13" s="55">
        <v>0.79754752508533289</v>
      </c>
      <c r="V13" s="55">
        <v>2.6626523108692508</v>
      </c>
      <c r="W13" s="56">
        <v>2.5232386930816021E-14</v>
      </c>
      <c r="X13" s="55">
        <v>0.12773940404758011</v>
      </c>
      <c r="Y13" s="24">
        <v>-0.8311085231812525</v>
      </c>
      <c r="Z13" s="55">
        <v>-5.5346293774011954</v>
      </c>
      <c r="AA13" s="55">
        <v>0.70641167905917546</v>
      </c>
      <c r="AB13" s="29" t="s">
        <v>144</v>
      </c>
      <c r="AC13" s="24">
        <v>0.24157686433742981</v>
      </c>
      <c r="AD13" s="55">
        <v>0.61542630831166822</v>
      </c>
      <c r="AE13" s="24">
        <v>-9.1549520932839301E-2</v>
      </c>
      <c r="AF13" s="22">
        <v>6.8198197874314186</v>
      </c>
      <c r="AG13" s="22">
        <v>5.8752203404760541</v>
      </c>
      <c r="AH13" s="22">
        <v>7.9162889624106496</v>
      </c>
      <c r="AI13" s="22">
        <v>0.68197700000000006</v>
      </c>
      <c r="AJ13" s="24">
        <v>1.7938541329542519</v>
      </c>
      <c r="AK13" s="24">
        <v>0.05</v>
      </c>
      <c r="AL13" s="24">
        <v>7.7136001797345394E-2</v>
      </c>
    </row>
    <row r="14" spans="1:40">
      <c r="A14" s="30" t="str">
        <f>Carteira!A14</f>
        <v>KLBN11</v>
      </c>
      <c r="B14" s="30" t="str">
        <f>Carteira!B14</f>
        <v>AÇÃO</v>
      </c>
      <c r="C14" s="33">
        <f ca="1">Carteira!G14</f>
        <v>0</v>
      </c>
      <c r="D14" s="35">
        <f ca="1">Carteira!P14</f>
        <v>0</v>
      </c>
      <c r="E14" s="39" t="s">
        <v>141</v>
      </c>
      <c r="F14" s="31">
        <v>262</v>
      </c>
      <c r="G14" s="57">
        <v>46293</v>
      </c>
      <c r="H14" s="34">
        <v>1.1107237137022439E-2</v>
      </c>
      <c r="I14" s="34">
        <v>7.6463093480098276E-2</v>
      </c>
      <c r="J14" s="34">
        <v>0.20485336247654981</v>
      </c>
      <c r="K14" s="58">
        <v>-0.64007191300882127</v>
      </c>
      <c r="L14" s="34">
        <v>-0.2389658249426232</v>
      </c>
      <c r="M14" s="58">
        <v>0.57154112315163352</v>
      </c>
      <c r="N14" s="58">
        <v>0.41193620021109251</v>
      </c>
      <c r="O14" s="34">
        <v>0.1983531108393867</v>
      </c>
      <c r="P14" s="34">
        <v>4.7936770961729158E-2</v>
      </c>
      <c r="Q14" s="34">
        <v>5.6633124708313658E-2</v>
      </c>
      <c r="R14" s="58">
        <v>-0.8523577609660058</v>
      </c>
      <c r="S14" s="34">
        <v>0.1583283219948059</v>
      </c>
      <c r="T14" s="34">
        <v>-0.14944920560146061</v>
      </c>
      <c r="U14" s="58">
        <v>-2.6495037169115911E-2</v>
      </c>
      <c r="V14" s="58">
        <v>-7.1632268950370559E-2</v>
      </c>
      <c r="W14" s="59">
        <v>0.97452785916169504</v>
      </c>
      <c r="X14" s="58">
        <v>1.7420234032373711E-2</v>
      </c>
      <c r="Y14" s="34">
        <v>1.9459682847994919</v>
      </c>
      <c r="Z14" s="58">
        <v>5.8842610481463424</v>
      </c>
      <c r="AA14" s="58">
        <v>0.51688634191990412</v>
      </c>
      <c r="AB14" s="39" t="s">
        <v>143</v>
      </c>
      <c r="AC14" s="34">
        <v>-5.8364229988890043E-2</v>
      </c>
      <c r="AD14" s="58">
        <v>0.42258992788499178</v>
      </c>
      <c r="AE14" s="34">
        <v>2.7483694584725441E-2</v>
      </c>
      <c r="AF14" s="32">
        <v>16.743511949409701</v>
      </c>
      <c r="AG14" s="32">
        <v>15.74843645991495</v>
      </c>
      <c r="AH14" s="32">
        <v>17.801461949165429</v>
      </c>
      <c r="AI14" s="32">
        <v>1.1611210000000001</v>
      </c>
      <c r="AJ14" s="34">
        <v>7.9965883703236651E-2</v>
      </c>
      <c r="AK14" s="34">
        <v>7.0000000000000007E-2</v>
      </c>
      <c r="AL14" s="34">
        <v>6.0402170286156652E-2</v>
      </c>
    </row>
    <row r="15" spans="1:40">
      <c r="A15" s="20" t="str">
        <f>Carteira!A15</f>
        <v>MXRF11</v>
      </c>
      <c r="B15" s="20" t="str">
        <f>Carteira!B15</f>
        <v>FII</v>
      </c>
      <c r="C15" s="23">
        <f ca="1">Carteira!G15</f>
        <v>0</v>
      </c>
      <c r="D15" s="25">
        <f ca="1">Carteira!P15</f>
        <v>0</v>
      </c>
      <c r="E15" s="29" t="s">
        <v>141</v>
      </c>
      <c r="F15" s="21">
        <v>262</v>
      </c>
      <c r="G15" s="54">
        <v>46293</v>
      </c>
      <c r="H15" s="24">
        <v>-5.9917355371900793E-2</v>
      </c>
      <c r="I15" s="24">
        <v>5.2712639358693192E-2</v>
      </c>
      <c r="J15" s="24">
        <v>7.1602497837158705E-2</v>
      </c>
      <c r="K15" s="55">
        <v>-1.1203819799235111</v>
      </c>
      <c r="L15" s="24">
        <v>-9.5793756020834064E-2</v>
      </c>
      <c r="M15" s="55">
        <v>5.6125261022731278E-2</v>
      </c>
      <c r="N15" s="55">
        <v>0.1157326166972653</v>
      </c>
      <c r="O15" s="24">
        <v>5.2992610085647637E-2</v>
      </c>
      <c r="P15" s="24">
        <v>1.360298723091136E-2</v>
      </c>
      <c r="Q15" s="24">
        <v>1.9489887253285501E-2</v>
      </c>
      <c r="R15" s="55">
        <v>-1.511649041137618</v>
      </c>
      <c r="S15" s="24">
        <v>0.14179983874195209</v>
      </c>
      <c r="T15" s="24">
        <v>-8.2021987036216909E-2</v>
      </c>
      <c r="U15" s="55">
        <v>0.75420100475534257</v>
      </c>
      <c r="V15" s="55">
        <v>4.4081079471291398</v>
      </c>
      <c r="W15" s="56">
        <v>2.3011015000057338E-31</v>
      </c>
      <c r="X15" s="55">
        <v>-1.9157680069629521E-2</v>
      </c>
      <c r="Y15" s="24">
        <v>-0.4540425154815575</v>
      </c>
      <c r="Z15" s="55">
        <v>-2.2482761938231808</v>
      </c>
      <c r="AA15" s="55">
        <v>0.85279154509691368</v>
      </c>
      <c r="AB15" s="29" t="s">
        <v>144</v>
      </c>
      <c r="AC15" s="24">
        <v>-3.5416340597826432E-2</v>
      </c>
      <c r="AD15" s="55">
        <v>0.38339326263765472</v>
      </c>
      <c r="AE15" s="24">
        <v>-1.7308074412173299E-2</v>
      </c>
      <c r="AF15" s="22">
        <v>8.9323124287493521</v>
      </c>
      <c r="AG15" s="22">
        <v>8.5832899954732458</v>
      </c>
      <c r="AH15" s="22">
        <v>9.2955271657917535</v>
      </c>
      <c r="AI15" s="22">
        <v>1.194302</v>
      </c>
      <c r="AJ15" s="24">
        <v>3.9333254431278553E-2</v>
      </c>
      <c r="AK15" s="24">
        <v>0.05</v>
      </c>
      <c r="AL15" s="24">
        <v>8.3120937294915796E-3</v>
      </c>
    </row>
    <row r="16" spans="1:40">
      <c r="A16" s="30" t="str">
        <f>Carteira!A16</f>
        <v>BRCR11</v>
      </c>
      <c r="B16" s="30" t="str">
        <f>Carteira!B16</f>
        <v>FII</v>
      </c>
      <c r="C16" s="33">
        <f ca="1">Carteira!G16</f>
        <v>0</v>
      </c>
      <c r="D16" s="35">
        <f ca="1">Carteira!P16</f>
        <v>0</v>
      </c>
      <c r="E16" s="39" t="s">
        <v>141</v>
      </c>
      <c r="F16" s="31">
        <v>262</v>
      </c>
      <c r="G16" s="57">
        <v>46293</v>
      </c>
      <c r="H16" s="34">
        <v>-3.5023041474654293E-2</v>
      </c>
      <c r="I16" s="34">
        <v>7.8840000779909936E-2</v>
      </c>
      <c r="J16" s="34">
        <v>0.15274260156981251</v>
      </c>
      <c r="K16" s="58">
        <v>-0.92392431471267789</v>
      </c>
      <c r="L16" s="34">
        <v>-0.27152602187625102</v>
      </c>
      <c r="M16" s="58">
        <v>0.34884783964403598</v>
      </c>
      <c r="N16" s="58">
        <v>0.33721076156894381</v>
      </c>
      <c r="O16" s="34">
        <v>0.16728805623234611</v>
      </c>
      <c r="P16" s="34">
        <v>3.6409018147346713E-2</v>
      </c>
      <c r="Q16" s="34">
        <v>4.462174868390742E-2</v>
      </c>
      <c r="R16" s="58">
        <v>-1.2275773811556689</v>
      </c>
      <c r="S16" s="34">
        <v>0.1511869387401753</v>
      </c>
      <c r="T16" s="34">
        <v>-0.15230954222299589</v>
      </c>
      <c r="U16" s="58">
        <v>0.18360705725518289</v>
      </c>
      <c r="V16" s="58">
        <v>0.95092608670102896</v>
      </c>
      <c r="W16" s="59">
        <v>3.4146453744437817E-2</v>
      </c>
      <c r="X16" s="58">
        <v>6.2497148503561438E-2</v>
      </c>
      <c r="Y16" s="34">
        <v>0.18630907292290241</v>
      </c>
      <c r="Z16" s="58">
        <v>3.5498851594222671</v>
      </c>
      <c r="AA16" s="58">
        <v>0.83263014191279239</v>
      </c>
      <c r="AB16" s="39" t="s">
        <v>143</v>
      </c>
      <c r="AC16" s="34">
        <v>-0.10356767143945569</v>
      </c>
      <c r="AD16" s="58">
        <v>0.48456690045326489</v>
      </c>
      <c r="AE16" s="34">
        <v>5.701184735578213E-2</v>
      </c>
      <c r="AF16" s="32">
        <v>35.517658590139767</v>
      </c>
      <c r="AG16" s="32">
        <v>32.192907427956527</v>
      </c>
      <c r="AH16" s="32">
        <v>39.185776387199837</v>
      </c>
      <c r="AI16" s="32">
        <v>4.92</v>
      </c>
      <c r="AJ16" s="34">
        <v>-0.1005484460694698</v>
      </c>
      <c r="AK16" s="34">
        <v>0.04</v>
      </c>
      <c r="AL16" s="34">
        <v>2.1676593645200779E-2</v>
      </c>
    </row>
    <row r="17" spans="1:38">
      <c r="A17" s="20" t="str">
        <f>Carteira!A17</f>
        <v>XPLG11</v>
      </c>
      <c r="B17" s="20" t="str">
        <f>Carteira!B17</f>
        <v>FII</v>
      </c>
      <c r="C17" s="23">
        <f ca="1">Carteira!G17</f>
        <v>0</v>
      </c>
      <c r="D17" s="25">
        <f ca="1">Carteira!P17</f>
        <v>0</v>
      </c>
      <c r="E17" s="29" t="s">
        <v>141</v>
      </c>
      <c r="F17" s="21">
        <v>262</v>
      </c>
      <c r="G17" s="54">
        <v>46293</v>
      </c>
      <c r="H17" s="24">
        <v>-7.9138841821987382E-2</v>
      </c>
      <c r="I17" s="24">
        <v>8.8787043710107927E-3</v>
      </c>
      <c r="J17" s="24">
        <v>0.1225624696949507</v>
      </c>
      <c r="K17" s="55">
        <v>-0.94927907667770317</v>
      </c>
      <c r="L17" s="24">
        <v>-0.13751454092045409</v>
      </c>
      <c r="M17" s="55">
        <v>0.1592934961872074</v>
      </c>
      <c r="N17" s="55">
        <v>0.1918960840234985</v>
      </c>
      <c r="O17" s="24">
        <v>9.6666113557041952E-2</v>
      </c>
      <c r="P17" s="24">
        <v>2.3295916523501329E-2</v>
      </c>
      <c r="Q17" s="24">
        <v>3.6142269639144353E-2</v>
      </c>
      <c r="R17" s="55">
        <v>-1.2927081010927759</v>
      </c>
      <c r="S17" s="24">
        <v>0.14510826320545081</v>
      </c>
      <c r="T17" s="24">
        <v>-0.12145425127281261</v>
      </c>
      <c r="U17" s="55">
        <v>0.38068595699924612</v>
      </c>
      <c r="V17" s="55">
        <v>2.241171782790464</v>
      </c>
      <c r="W17" s="56">
        <v>1.2366817095033639E-8</v>
      </c>
      <c r="X17" s="55">
        <v>-9.755621912576809E-2</v>
      </c>
      <c r="Y17" s="24">
        <v>0.17680318393425221</v>
      </c>
      <c r="Z17" s="55">
        <v>2.2458149439673099</v>
      </c>
      <c r="AA17" s="55">
        <v>0.92091400219301522</v>
      </c>
      <c r="AB17" s="29" t="s">
        <v>143</v>
      </c>
      <c r="AC17" s="24">
        <v>-3.8521187909206361E-2</v>
      </c>
      <c r="AD17" s="55">
        <v>0.33627395593716641</v>
      </c>
      <c r="AE17" s="24">
        <v>-2.1008433944867729E-2</v>
      </c>
      <c r="AF17" s="22">
        <v>90.737275507913694</v>
      </c>
      <c r="AG17" s="22">
        <v>86.475844195483944</v>
      </c>
      <c r="AH17" s="22">
        <v>95.208705311823962</v>
      </c>
      <c r="AI17" s="22">
        <v>9.84</v>
      </c>
      <c r="AJ17" s="24">
        <v>1.6528925619834659E-2</v>
      </c>
      <c r="AK17" s="24">
        <v>0.06</v>
      </c>
      <c r="AL17" s="24">
        <v>2.0687032691809461E-2</v>
      </c>
    </row>
    <row r="18" spans="1:38">
      <c r="A18" s="30" t="str">
        <f>Carteira!A18</f>
        <v>XPML11</v>
      </c>
      <c r="B18" s="30" t="str">
        <f>Carteira!B18</f>
        <v>FII</v>
      </c>
      <c r="C18" s="33">
        <f ca="1">Carteira!G18</f>
        <v>0</v>
      </c>
      <c r="D18" s="35">
        <f ca="1">Carteira!P18</f>
        <v>0</v>
      </c>
      <c r="E18" s="39" t="s">
        <v>145</v>
      </c>
      <c r="F18" s="31">
        <v>262</v>
      </c>
      <c r="G18" s="57">
        <v>46293</v>
      </c>
      <c r="H18" s="34">
        <v>-6.4245283018867894E-2</v>
      </c>
      <c r="I18" s="34">
        <v>3.8591637787685602E-2</v>
      </c>
      <c r="J18" s="34">
        <v>0.1108776581417691</v>
      </c>
      <c r="K18" s="58">
        <v>-0.64568202653455165</v>
      </c>
      <c r="L18" s="34">
        <v>-0.13084627427507381</v>
      </c>
      <c r="M18" s="58">
        <v>0.28685227785479789</v>
      </c>
      <c r="N18" s="58">
        <v>0.38197930124182811</v>
      </c>
      <c r="O18" s="34">
        <v>0.1327709133766109</v>
      </c>
      <c r="P18" s="34">
        <v>2.139520420932195E-2</v>
      </c>
      <c r="Q18" s="34">
        <v>3.1177958449228989E-2</v>
      </c>
      <c r="R18" s="58">
        <v>-0.89621133833686339</v>
      </c>
      <c r="S18" s="34">
        <v>0.14919884974238579</v>
      </c>
      <c r="T18" s="34">
        <v>-8.0790560748768475E-2</v>
      </c>
      <c r="U18" s="58">
        <v>0.33462146163551532</v>
      </c>
      <c r="V18" s="58">
        <v>1.6324200553134669</v>
      </c>
      <c r="W18" s="59">
        <v>4.0418849345492163E-5</v>
      </c>
      <c r="X18" s="58">
        <v>-3.7493494779208353E-2</v>
      </c>
      <c r="Y18" s="34">
        <v>-0.2920965319166392</v>
      </c>
      <c r="Z18" s="58">
        <v>-0.42230522173533608</v>
      </c>
      <c r="AA18" s="58">
        <v>0.82600452246043832</v>
      </c>
      <c r="AB18" s="39" t="s">
        <v>144</v>
      </c>
      <c r="AC18" s="34">
        <v>-3.040963154476907E-2</v>
      </c>
      <c r="AD18" s="58">
        <v>0.22227348239010969</v>
      </c>
      <c r="AE18" s="34">
        <v>-3.1744478874322628E-2</v>
      </c>
      <c r="AF18" s="32">
        <v>99.326744385887395</v>
      </c>
      <c r="AG18" s="32">
        <v>94.449529389491218</v>
      </c>
      <c r="AH18" s="32">
        <v>104.4558105696302</v>
      </c>
      <c r="AI18" s="32">
        <v>11.06936</v>
      </c>
      <c r="AJ18" s="34">
        <v>2.8338261726676972E-3</v>
      </c>
      <c r="AK18" s="34">
        <v>0.05</v>
      </c>
      <c r="AL18" s="34">
        <v>2.3909447127238501E-2</v>
      </c>
    </row>
    <row r="19" spans="1:38">
      <c r="A19" s="20" t="str">
        <f>Carteira!A19</f>
        <v>SNAG11</v>
      </c>
      <c r="B19" s="20" t="str">
        <f>Carteira!B19</f>
        <v>FII</v>
      </c>
      <c r="C19" s="23">
        <f ca="1">Carteira!G19</f>
        <v>0</v>
      </c>
      <c r="D19" s="25">
        <f ca="1">Carteira!P19</f>
        <v>0</v>
      </c>
      <c r="E19" s="29" t="s">
        <v>141</v>
      </c>
      <c r="F19" s="21">
        <v>217</v>
      </c>
      <c r="G19" s="54">
        <v>46293</v>
      </c>
      <c r="H19" s="24">
        <v>2.4008350730688969E-2</v>
      </c>
      <c r="I19" s="24">
        <v>0.19282452874375999</v>
      </c>
      <c r="J19" s="24">
        <v>0.1003395171994434</v>
      </c>
      <c r="K19" s="55">
        <v>-7.6407475171118761E-2</v>
      </c>
      <c r="L19" s="24">
        <v>-0.12826660085342681</v>
      </c>
      <c r="M19" s="55">
        <v>8.382651570035711E-2</v>
      </c>
      <c r="N19" s="55">
        <v>0.1233488143735469</v>
      </c>
      <c r="O19" s="24">
        <v>7.0357763164952833E-2</v>
      </c>
      <c r="P19" s="24">
        <v>1.404897563869878E-2</v>
      </c>
      <c r="Q19" s="24">
        <v>3.192002539993416E-2</v>
      </c>
      <c r="R19" s="55">
        <v>-9.8653083248306891E-2</v>
      </c>
      <c r="S19" s="24">
        <v>0.14268816942337709</v>
      </c>
      <c r="T19" s="24">
        <v>-1.035485859247556E-2</v>
      </c>
      <c r="U19" s="55">
        <v>-2.1947193764843509</v>
      </c>
      <c r="V19" s="55">
        <v>19.441371390277659</v>
      </c>
      <c r="W19" s="56">
        <v>0</v>
      </c>
      <c r="X19" s="55">
        <v>-0.1483775894996309</v>
      </c>
      <c r="Y19" s="24">
        <v>0.19805898448583681</v>
      </c>
      <c r="Z19" s="55">
        <v>2.7664506346078142</v>
      </c>
      <c r="AA19" s="55">
        <v>0.92739206479032055</v>
      </c>
      <c r="AB19" s="29" t="s">
        <v>143</v>
      </c>
      <c r="AC19" s="24">
        <v>9.2145773127276041E-3</v>
      </c>
      <c r="AD19" s="55">
        <v>2.687641452891654E-2</v>
      </c>
      <c r="AE19" s="24">
        <v>-2.8907012006174071E-2</v>
      </c>
      <c r="AF19" s="22">
        <v>10.195105026853311</v>
      </c>
      <c r="AG19" s="22">
        <v>9.7162638405113917</v>
      </c>
      <c r="AH19" s="22">
        <v>10.697544675062989</v>
      </c>
      <c r="AI19" s="22">
        <v>1.58</v>
      </c>
      <c r="AJ19" s="24">
        <v>0.21538461538461531</v>
      </c>
      <c r="AK19" s="24">
        <v>0.06</v>
      </c>
      <c r="AL19" s="24">
        <v>1.072884815893081E-2</v>
      </c>
    </row>
    <row r="20" spans="1:38">
      <c r="A20" s="30" t="str">
        <f>Carteira!A20</f>
        <v>CPTS11</v>
      </c>
      <c r="B20" s="30" t="str">
        <f>Carteira!B20</f>
        <v>FII</v>
      </c>
      <c r="C20" s="33">
        <f ca="1">Carteira!G20</f>
        <v>0</v>
      </c>
      <c r="D20" s="35">
        <f ca="1">Carteira!P20</f>
        <v>0</v>
      </c>
      <c r="E20" s="39" t="s">
        <v>141</v>
      </c>
      <c r="F20" s="31">
        <v>262</v>
      </c>
      <c r="G20" s="57">
        <v>46293</v>
      </c>
      <c r="H20" s="34">
        <v>-2.4707412223667121E-2</v>
      </c>
      <c r="I20" s="34">
        <v>0.1228581620643965</v>
      </c>
      <c r="J20" s="34">
        <v>0.15770702374670359</v>
      </c>
      <c r="K20" s="58">
        <v>-0.79028704548274131</v>
      </c>
      <c r="L20" s="34">
        <v>-0.36416250545342321</v>
      </c>
      <c r="M20" s="58">
        <v>0.21470513588100049</v>
      </c>
      <c r="N20" s="58">
        <v>0.2010096785091377</v>
      </c>
      <c r="O20" s="34">
        <v>7.4931019149133735E-2</v>
      </c>
      <c r="P20" s="34">
        <v>2.2214613475675441E-2</v>
      </c>
      <c r="Q20" s="34">
        <v>5.2662883885086782E-2</v>
      </c>
      <c r="R20" s="58">
        <v>-0.92119489263158649</v>
      </c>
      <c r="S20" s="34">
        <v>0.1468852173622536</v>
      </c>
      <c r="T20" s="34">
        <v>-0.13151903521091249</v>
      </c>
      <c r="U20" s="58">
        <v>-4.2795324364186742</v>
      </c>
      <c r="V20" s="58">
        <v>41.068941616758202</v>
      </c>
      <c r="W20" s="59">
        <v>0</v>
      </c>
      <c r="X20" s="58">
        <v>0.1254985782693096</v>
      </c>
      <c r="Y20" s="34">
        <v>-4.0760070412920717E-3</v>
      </c>
      <c r="Z20" s="58">
        <v>0.99928438389234109</v>
      </c>
      <c r="AA20" s="58">
        <v>0.61038978484669593</v>
      </c>
      <c r="AB20" s="39" t="s">
        <v>142</v>
      </c>
      <c r="AC20" s="34">
        <v>-0.1136818411950716</v>
      </c>
      <c r="AD20" s="58">
        <v>0.42672436111488138</v>
      </c>
      <c r="AE20" s="34">
        <v>9.7635588356236536E-2</v>
      </c>
      <c r="AF20" s="32">
        <v>6.0560957220708858</v>
      </c>
      <c r="AG20" s="32">
        <v>5.3609879250600931</v>
      </c>
      <c r="AH20" s="32">
        <v>6.8413314686721964</v>
      </c>
      <c r="AI20" s="32">
        <v>1.08</v>
      </c>
      <c r="AJ20" s="34">
        <v>0.1344537815126052</v>
      </c>
      <c r="AK20" s="34">
        <v>0.04</v>
      </c>
      <c r="AL20" s="34">
        <v>1.5282813466171869E-2</v>
      </c>
    </row>
    <row r="21" spans="1:38">
      <c r="A21" s="40" t="s">
        <v>146</v>
      </c>
      <c r="B21" s="40"/>
      <c r="C21" s="41">
        <f ca="1">SUM(C5:C20)</f>
        <v>0</v>
      </c>
      <c r="D21" s="42">
        <f ca="1">SUM(D5:D20)</f>
        <v>0</v>
      </c>
      <c r="E21" s="40"/>
      <c r="F21" s="40"/>
      <c r="G21" s="40"/>
      <c r="H21" s="40"/>
      <c r="I21" s="42">
        <v>0.1954427494894489</v>
      </c>
      <c r="J21" s="42">
        <v>0.11504828013576671</v>
      </c>
      <c r="K21" s="60">
        <v>2.5299117799215979E-3</v>
      </c>
      <c r="L21" s="42">
        <v>-0.15327166273268081</v>
      </c>
      <c r="M21" s="60">
        <v>0.71767241634183587</v>
      </c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2">
        <v>3.5168457399948991E-2</v>
      </c>
      <c r="AD21" s="60">
        <v>0.3655232760658893</v>
      </c>
      <c r="AE21" s="40"/>
      <c r="AF21" s="40"/>
      <c r="AG21" s="40"/>
      <c r="AH21" s="40"/>
      <c r="AI21" s="40"/>
      <c r="AJ21" s="40"/>
      <c r="AK21" s="42">
        <v>1</v>
      </c>
      <c r="AL21" s="42">
        <v>1</v>
      </c>
    </row>
    <row r="24" spans="1:38" ht="32.1" customHeight="1">
      <c r="A24" s="19" t="s">
        <v>147</v>
      </c>
      <c r="B24" s="19" t="s">
        <v>148</v>
      </c>
      <c r="C24" s="19" t="s">
        <v>149</v>
      </c>
    </row>
    <row r="25" spans="1:38">
      <c r="A25" s="61" t="s">
        <v>150</v>
      </c>
      <c r="B25" s="29" t="s">
        <v>151</v>
      </c>
      <c r="C25" s="180" t="s">
        <v>152</v>
      </c>
      <c r="D25" s="181"/>
      <c r="E25" s="181"/>
      <c r="F25" s="181"/>
      <c r="G25" s="181"/>
      <c r="H25" s="181"/>
      <c r="I25" s="181"/>
      <c r="J25" s="182"/>
    </row>
    <row r="26" spans="1:38">
      <c r="A26" s="61" t="s">
        <v>153</v>
      </c>
      <c r="B26" s="24">
        <v>0.14029106199917521</v>
      </c>
      <c r="C26" s="180" t="s">
        <v>154</v>
      </c>
      <c r="D26" s="181"/>
      <c r="E26" s="181"/>
      <c r="F26" s="181"/>
      <c r="G26" s="181"/>
      <c r="H26" s="181"/>
      <c r="I26" s="181"/>
      <c r="J26" s="182"/>
    </row>
    <row r="27" spans="1:38">
      <c r="A27" s="61" t="s">
        <v>155</v>
      </c>
      <c r="B27" s="24">
        <v>0.11504828013576671</v>
      </c>
      <c r="C27" s="180" t="s">
        <v>156</v>
      </c>
      <c r="D27" s="181"/>
      <c r="E27" s="181"/>
      <c r="F27" s="181"/>
      <c r="G27" s="181"/>
      <c r="H27" s="181"/>
      <c r="I27" s="181"/>
      <c r="J27" s="182"/>
    </row>
    <row r="28" spans="1:38">
      <c r="A28" s="61" t="s">
        <v>157</v>
      </c>
      <c r="B28" s="55">
        <v>1.780066512670804</v>
      </c>
      <c r="C28" s="180" t="s">
        <v>158</v>
      </c>
      <c r="D28" s="181"/>
      <c r="E28" s="181"/>
      <c r="F28" s="181"/>
      <c r="G28" s="181"/>
      <c r="H28" s="181"/>
      <c r="I28" s="181"/>
      <c r="J28" s="182"/>
    </row>
    <row r="29" spans="1:38">
      <c r="A29" s="61" t="s">
        <v>159</v>
      </c>
      <c r="B29" s="55">
        <v>2.5299117799215979E-3</v>
      </c>
      <c r="C29" s="180" t="s">
        <v>160</v>
      </c>
      <c r="D29" s="181"/>
      <c r="E29" s="181"/>
      <c r="F29" s="181"/>
      <c r="G29" s="181"/>
      <c r="H29" s="181"/>
      <c r="I29" s="181"/>
      <c r="J29" s="182"/>
    </row>
    <row r="30" spans="1:38">
      <c r="A30" s="61" t="s">
        <v>161</v>
      </c>
      <c r="B30" s="55">
        <v>0.71767241634183587</v>
      </c>
      <c r="C30" s="180" t="s">
        <v>162</v>
      </c>
      <c r="D30" s="181"/>
      <c r="E30" s="181"/>
      <c r="F30" s="181"/>
      <c r="G30" s="181"/>
      <c r="H30" s="181"/>
      <c r="I30" s="181"/>
      <c r="J30" s="182"/>
    </row>
    <row r="31" spans="1:38">
      <c r="A31" s="61" t="s">
        <v>163</v>
      </c>
      <c r="B31" s="24">
        <v>-0.15327166273268081</v>
      </c>
      <c r="C31" s="180" t="s">
        <v>164</v>
      </c>
      <c r="D31" s="181"/>
      <c r="E31" s="181"/>
      <c r="F31" s="181"/>
      <c r="G31" s="181"/>
      <c r="H31" s="181"/>
      <c r="I31" s="181"/>
      <c r="J31" s="182"/>
    </row>
    <row r="32" spans="1:38">
      <c r="A32" s="61" t="s">
        <v>165</v>
      </c>
      <c r="B32" s="24">
        <v>9.8575230667245106E-2</v>
      </c>
      <c r="C32" s="180" t="s">
        <v>166</v>
      </c>
      <c r="D32" s="181"/>
      <c r="E32" s="181"/>
      <c r="F32" s="181"/>
      <c r="G32" s="181"/>
      <c r="H32" s="181"/>
      <c r="I32" s="181"/>
      <c r="J32" s="182"/>
    </row>
    <row r="33" spans="1:17">
      <c r="A33" s="61" t="s">
        <v>167</v>
      </c>
      <c r="B33" s="24">
        <v>0.1954427494894489</v>
      </c>
      <c r="C33" s="180" t="s">
        <v>168</v>
      </c>
      <c r="D33" s="181"/>
      <c r="E33" s="181"/>
      <c r="F33" s="181"/>
      <c r="G33" s="181"/>
      <c r="H33" s="181"/>
      <c r="I33" s="181"/>
      <c r="J33" s="182"/>
    </row>
    <row r="34" spans="1:17">
      <c r="A34" s="61" t="s">
        <v>169</v>
      </c>
      <c r="B34" s="24">
        <v>0.27480110262758323</v>
      </c>
      <c r="C34" s="180" t="s">
        <v>170</v>
      </c>
      <c r="D34" s="181"/>
      <c r="E34" s="181"/>
      <c r="F34" s="181"/>
      <c r="G34" s="181"/>
      <c r="H34" s="181"/>
      <c r="I34" s="181"/>
      <c r="J34" s="182"/>
    </row>
    <row r="35" spans="1:17">
      <c r="A35" s="61" t="s">
        <v>171</v>
      </c>
      <c r="B35" s="24"/>
      <c r="C35" s="180" t="s">
        <v>172</v>
      </c>
      <c r="D35" s="181"/>
      <c r="E35" s="181"/>
      <c r="F35" s="181"/>
      <c r="G35" s="181"/>
      <c r="H35" s="181"/>
      <c r="I35" s="181"/>
      <c r="J35" s="182"/>
    </row>
    <row r="36" spans="1:17">
      <c r="A36" s="61" t="s">
        <v>173</v>
      </c>
      <c r="B36" s="24">
        <v>0.14000000000000001</v>
      </c>
      <c r="C36" s="180" t="s">
        <v>174</v>
      </c>
      <c r="D36" s="181"/>
      <c r="E36" s="181"/>
      <c r="F36" s="181"/>
      <c r="G36" s="181"/>
      <c r="H36" s="181"/>
      <c r="I36" s="181"/>
      <c r="J36" s="182"/>
    </row>
    <row r="38" spans="1:17">
      <c r="A38" s="45" t="s">
        <v>175</v>
      </c>
    </row>
    <row r="39" spans="1:17" ht="32.1" customHeight="1">
      <c r="A39" s="19" t="s">
        <v>176</v>
      </c>
      <c r="B39" s="19" t="s">
        <v>177</v>
      </c>
      <c r="C39" s="19" t="s">
        <v>178</v>
      </c>
      <c r="D39" s="19" t="s">
        <v>179</v>
      </c>
      <c r="E39" s="19" t="s">
        <v>180</v>
      </c>
      <c r="F39" s="19" t="s">
        <v>181</v>
      </c>
      <c r="G39" s="19" t="s">
        <v>182</v>
      </c>
      <c r="H39" s="19" t="s">
        <v>183</v>
      </c>
      <c r="I39" s="19" t="s">
        <v>184</v>
      </c>
      <c r="J39" s="19" t="s">
        <v>185</v>
      </c>
      <c r="K39" s="19" t="s">
        <v>186</v>
      </c>
      <c r="L39" s="19" t="s">
        <v>187</v>
      </c>
      <c r="M39" s="19" t="s">
        <v>188</v>
      </c>
      <c r="N39" s="19" t="s">
        <v>189</v>
      </c>
      <c r="O39" s="19" t="s">
        <v>190</v>
      </c>
      <c r="P39" s="19" t="s">
        <v>191</v>
      </c>
      <c r="Q39" s="19" t="s">
        <v>192</v>
      </c>
    </row>
    <row r="40" spans="1:17">
      <c r="A40" s="61" t="s">
        <v>177</v>
      </c>
      <c r="B40" s="55">
        <v>1</v>
      </c>
      <c r="C40" s="55">
        <v>0.2053980960208267</v>
      </c>
      <c r="D40" s="55">
        <v>2.4840798962022181E-2</v>
      </c>
      <c r="E40" s="55">
        <v>0.22135207814147961</v>
      </c>
      <c r="F40" s="55">
        <v>0.23288064595436689</v>
      </c>
      <c r="G40" s="55">
        <v>0.26055857285372203</v>
      </c>
      <c r="H40" s="55">
        <v>0.36849341844396588</v>
      </c>
      <c r="I40" s="55">
        <v>0.21989082653558259</v>
      </c>
      <c r="J40" s="55">
        <v>0.19673950054823761</v>
      </c>
      <c r="K40" s="55">
        <v>0.31826183236501238</v>
      </c>
      <c r="L40" s="55">
        <v>8.1187758712414557E-2</v>
      </c>
      <c r="M40" s="55">
        <v>0.22336241897360609</v>
      </c>
      <c r="N40" s="55">
        <v>0.15871804078423429</v>
      </c>
      <c r="O40" s="55">
        <v>0.1463599396830173</v>
      </c>
      <c r="P40" s="55">
        <v>0.1154148929809941</v>
      </c>
      <c r="Q40" s="55">
        <v>0.12565421563479851</v>
      </c>
    </row>
    <row r="41" spans="1:17">
      <c r="A41" s="61" t="s">
        <v>178</v>
      </c>
      <c r="B41" s="55">
        <v>0.2053980960208267</v>
      </c>
      <c r="C41" s="55">
        <v>1</v>
      </c>
      <c r="D41" s="55">
        <v>8.0533186507376078E-2</v>
      </c>
      <c r="E41" s="55">
        <v>0.48215106347955899</v>
      </c>
      <c r="F41" s="55">
        <v>0.43713506329290808</v>
      </c>
      <c r="G41" s="55">
        <v>0.56457627383176823</v>
      </c>
      <c r="H41" s="55">
        <v>0.53284762434612321</v>
      </c>
      <c r="I41" s="55">
        <v>0.42250381766303402</v>
      </c>
      <c r="J41" s="55">
        <v>0.41712420697011532</v>
      </c>
      <c r="K41" s="55">
        <v>0.31422653973279308</v>
      </c>
      <c r="L41" s="55">
        <v>0.15178144711746441</v>
      </c>
      <c r="M41" s="55">
        <v>0.2485238136855899</v>
      </c>
      <c r="N41" s="55">
        <v>7.8772421292578956E-2</v>
      </c>
      <c r="O41" s="55">
        <v>0.27537546080731767</v>
      </c>
      <c r="P41" s="55">
        <v>0.1048125415362792</v>
      </c>
      <c r="Q41" s="55">
        <v>0.1045902961748254</v>
      </c>
    </row>
    <row r="42" spans="1:17">
      <c r="A42" s="61" t="s">
        <v>179</v>
      </c>
      <c r="B42" s="55">
        <v>2.4840798962022181E-2</v>
      </c>
      <c r="C42" s="55">
        <v>8.0533186507376078E-2</v>
      </c>
      <c r="D42" s="55">
        <v>1</v>
      </c>
      <c r="E42" s="55">
        <v>0.17656213526742659</v>
      </c>
      <c r="F42" s="55">
        <v>0.28755009830049699</v>
      </c>
      <c r="G42" s="55">
        <v>0.12069434351248121</v>
      </c>
      <c r="H42" s="55">
        <v>8.9771923055046957E-2</v>
      </c>
      <c r="I42" s="55">
        <v>9.6683027667058052E-2</v>
      </c>
      <c r="J42" s="55">
        <v>0.17034352480155451</v>
      </c>
      <c r="K42" s="55">
        <v>0.1013136309374021</v>
      </c>
      <c r="L42" s="55">
        <v>5.9187207257639901E-2</v>
      </c>
      <c r="M42" s="55">
        <v>4.6330775341024769E-2</v>
      </c>
      <c r="N42" s="55">
        <v>4.4188687675209247E-2</v>
      </c>
      <c r="O42" s="55">
        <v>0.16295650926605179</v>
      </c>
      <c r="P42" s="55">
        <v>4.6810066995973697E-2</v>
      </c>
      <c r="Q42" s="55">
        <v>0.1158218333986009</v>
      </c>
    </row>
    <row r="43" spans="1:17">
      <c r="A43" s="61" t="s">
        <v>180</v>
      </c>
      <c r="B43" s="55">
        <v>0.22135207814147961</v>
      </c>
      <c r="C43" s="55">
        <v>0.48215106347955899</v>
      </c>
      <c r="D43" s="55">
        <v>0.17656213526742659</v>
      </c>
      <c r="E43" s="55">
        <v>1</v>
      </c>
      <c r="F43" s="55">
        <v>0.40941512098566168</v>
      </c>
      <c r="G43" s="55">
        <v>0.45466951659554589</v>
      </c>
      <c r="H43" s="55">
        <v>0.62531860915520909</v>
      </c>
      <c r="I43" s="55">
        <v>0.42743077462521478</v>
      </c>
      <c r="J43" s="55">
        <v>0.40847816319961638</v>
      </c>
      <c r="K43" s="55">
        <v>0.23420576057452189</v>
      </c>
      <c r="L43" s="55">
        <v>0.1429815780049894</v>
      </c>
      <c r="M43" s="55">
        <v>0.22767973989347379</v>
      </c>
      <c r="N43" s="55">
        <v>0.1141215649068006</v>
      </c>
      <c r="O43" s="55">
        <v>0.30409786391158922</v>
      </c>
      <c r="P43" s="55">
        <v>7.8844262466414308E-2</v>
      </c>
      <c r="Q43" s="55">
        <v>8.7262758131032445E-2</v>
      </c>
    </row>
    <row r="44" spans="1:17">
      <c r="A44" s="61" t="s">
        <v>181</v>
      </c>
      <c r="B44" s="55">
        <v>0.23288064595436689</v>
      </c>
      <c r="C44" s="55">
        <v>0.43713506329290808</v>
      </c>
      <c r="D44" s="55">
        <v>0.28755009830049699</v>
      </c>
      <c r="E44" s="55">
        <v>0.40941512098566168</v>
      </c>
      <c r="F44" s="55">
        <v>1</v>
      </c>
      <c r="G44" s="55">
        <v>0.57068934082600098</v>
      </c>
      <c r="H44" s="55">
        <v>0.52696516739027244</v>
      </c>
      <c r="I44" s="55">
        <v>0.31387157260709497</v>
      </c>
      <c r="J44" s="55">
        <v>0.44427738856143623</v>
      </c>
      <c r="K44" s="55">
        <v>0.25378551466469329</v>
      </c>
      <c r="L44" s="55">
        <v>4.241972932553395E-2</v>
      </c>
      <c r="M44" s="55">
        <v>0.2463546846915696</v>
      </c>
      <c r="N44" s="55">
        <v>0.10291128029737601</v>
      </c>
      <c r="O44" s="55">
        <v>0.31901171064759759</v>
      </c>
      <c r="P44" s="55">
        <v>5.2813667291568153E-2</v>
      </c>
      <c r="Q44" s="55">
        <v>0.1300525471311986</v>
      </c>
    </row>
    <row r="45" spans="1:17">
      <c r="A45" s="61" t="s">
        <v>182</v>
      </c>
      <c r="B45" s="55">
        <v>0.26055857285372203</v>
      </c>
      <c r="C45" s="55">
        <v>0.56457627383176823</v>
      </c>
      <c r="D45" s="55">
        <v>0.12069434351248121</v>
      </c>
      <c r="E45" s="55">
        <v>0.45466951659554589</v>
      </c>
      <c r="F45" s="55">
        <v>0.57068934082600098</v>
      </c>
      <c r="G45" s="55">
        <v>1</v>
      </c>
      <c r="H45" s="55">
        <v>0.62845225452593978</v>
      </c>
      <c r="I45" s="55">
        <v>0.30421174416647812</v>
      </c>
      <c r="J45" s="55">
        <v>0.50061177838805504</v>
      </c>
      <c r="K45" s="55">
        <v>0.1773124836011338</v>
      </c>
      <c r="L45" s="55">
        <v>0.1074667775411239</v>
      </c>
      <c r="M45" s="55">
        <v>0.20092359422674361</v>
      </c>
      <c r="N45" s="55">
        <v>8.0863886351895814E-2</v>
      </c>
      <c r="O45" s="55">
        <v>0.31538751156306749</v>
      </c>
      <c r="P45" s="55">
        <v>0.10494852846374669</v>
      </c>
      <c r="Q45" s="55">
        <v>0.15965421376763819</v>
      </c>
    </row>
    <row r="46" spans="1:17">
      <c r="A46" s="61" t="s">
        <v>183</v>
      </c>
      <c r="B46" s="55">
        <v>0.36849341844396588</v>
      </c>
      <c r="C46" s="55">
        <v>0.53284762434612321</v>
      </c>
      <c r="D46" s="55">
        <v>8.9771923055046957E-2</v>
      </c>
      <c r="E46" s="55">
        <v>0.62531860915520909</v>
      </c>
      <c r="F46" s="55">
        <v>0.52696516739027244</v>
      </c>
      <c r="G46" s="55">
        <v>0.62845225452593978</v>
      </c>
      <c r="H46" s="55">
        <v>1</v>
      </c>
      <c r="I46" s="55">
        <v>0.45283928635561949</v>
      </c>
      <c r="J46" s="55">
        <v>0.49931930107248418</v>
      </c>
      <c r="K46" s="55">
        <v>0.30086973898447089</v>
      </c>
      <c r="L46" s="55">
        <v>8.5223445646094548E-2</v>
      </c>
      <c r="M46" s="55">
        <v>0.32864030712002168</v>
      </c>
      <c r="N46" s="55">
        <v>0.16513794153074021</v>
      </c>
      <c r="O46" s="55">
        <v>0.37106358360584529</v>
      </c>
      <c r="P46" s="55">
        <v>8.5551049652807007E-2</v>
      </c>
      <c r="Q46" s="55">
        <v>0.1597185355862917</v>
      </c>
    </row>
    <row r="47" spans="1:17">
      <c r="A47" s="61" t="s">
        <v>184</v>
      </c>
      <c r="B47" s="55">
        <v>0.21989082653558259</v>
      </c>
      <c r="C47" s="55">
        <v>0.42250381766303402</v>
      </c>
      <c r="D47" s="55">
        <v>9.6683027667058052E-2</v>
      </c>
      <c r="E47" s="55">
        <v>0.42743077462521478</v>
      </c>
      <c r="F47" s="55">
        <v>0.31387157260709497</v>
      </c>
      <c r="G47" s="55">
        <v>0.30421174416647812</v>
      </c>
      <c r="H47" s="55">
        <v>0.45283928635561949</v>
      </c>
      <c r="I47" s="55">
        <v>1</v>
      </c>
      <c r="J47" s="55">
        <v>0.35595487419090038</v>
      </c>
      <c r="K47" s="55">
        <v>0.30215297323743329</v>
      </c>
      <c r="L47" s="55">
        <v>7.6161761682041626E-2</v>
      </c>
      <c r="M47" s="55">
        <v>6.866486235023353E-2</v>
      </c>
      <c r="N47" s="55">
        <v>0.18421122442199589</v>
      </c>
      <c r="O47" s="55">
        <v>0.29973101837008209</v>
      </c>
      <c r="P47" s="55">
        <v>2.844247971917184E-2</v>
      </c>
      <c r="Q47" s="55">
        <v>5.1111028782446818E-2</v>
      </c>
    </row>
    <row r="48" spans="1:17">
      <c r="A48" s="61" t="s">
        <v>185</v>
      </c>
      <c r="B48" s="55">
        <v>0.19673950054823761</v>
      </c>
      <c r="C48" s="55">
        <v>0.41712420697011532</v>
      </c>
      <c r="D48" s="55">
        <v>0.17034352480155451</v>
      </c>
      <c r="E48" s="55">
        <v>0.40847816319961638</v>
      </c>
      <c r="F48" s="55">
        <v>0.44427738856143623</v>
      </c>
      <c r="G48" s="55">
        <v>0.50061177838805504</v>
      </c>
      <c r="H48" s="55">
        <v>0.49931930107248418</v>
      </c>
      <c r="I48" s="55">
        <v>0.35595487419090038</v>
      </c>
      <c r="J48" s="55">
        <v>1</v>
      </c>
      <c r="K48" s="55">
        <v>0.16919976851560151</v>
      </c>
      <c r="L48" s="55">
        <v>0.15351247799686221</v>
      </c>
      <c r="M48" s="55">
        <v>0.26440301853744819</v>
      </c>
      <c r="N48" s="55">
        <v>0.2367828741462184</v>
      </c>
      <c r="O48" s="55">
        <v>0.25615353147890529</v>
      </c>
      <c r="P48" s="55">
        <v>0.1205552240027993</v>
      </c>
      <c r="Q48" s="55">
        <v>0.17260348190340841</v>
      </c>
    </row>
    <row r="49" spans="1:17">
      <c r="A49" s="61" t="s">
        <v>186</v>
      </c>
      <c r="B49" s="55">
        <v>0.31826183236501238</v>
      </c>
      <c r="C49" s="55">
        <v>0.31422653973279308</v>
      </c>
      <c r="D49" s="55">
        <v>0.1013136309374021</v>
      </c>
      <c r="E49" s="55">
        <v>0.23420576057452189</v>
      </c>
      <c r="F49" s="55">
        <v>0.25378551466469329</v>
      </c>
      <c r="G49" s="55">
        <v>0.1773124836011338</v>
      </c>
      <c r="H49" s="55">
        <v>0.30086973898447089</v>
      </c>
      <c r="I49" s="55">
        <v>0.30215297323743329</v>
      </c>
      <c r="J49" s="55">
        <v>0.16919976851560151</v>
      </c>
      <c r="K49" s="55">
        <v>1</v>
      </c>
      <c r="L49" s="55">
        <v>0.25171936764763908</v>
      </c>
      <c r="M49" s="55">
        <v>0.22811841976069211</v>
      </c>
      <c r="N49" s="55">
        <v>5.6741841438182013E-2</v>
      </c>
      <c r="O49" s="55">
        <v>0.1055476107498118</v>
      </c>
      <c r="P49" s="55">
        <v>-4.7407606366904373E-2</v>
      </c>
      <c r="Q49" s="55">
        <v>4.2207214168750694E-3</v>
      </c>
    </row>
    <row r="50" spans="1:17">
      <c r="A50" s="61" t="s">
        <v>187</v>
      </c>
      <c r="B50" s="55">
        <v>8.1187758712414557E-2</v>
      </c>
      <c r="C50" s="55">
        <v>0.15178144711746441</v>
      </c>
      <c r="D50" s="55">
        <v>5.9187207257639901E-2</v>
      </c>
      <c r="E50" s="55">
        <v>0.1429815780049894</v>
      </c>
      <c r="F50" s="55">
        <v>4.241972932553395E-2</v>
      </c>
      <c r="G50" s="55">
        <v>0.1074667775411239</v>
      </c>
      <c r="H50" s="55">
        <v>8.5223445646094548E-2</v>
      </c>
      <c r="I50" s="55">
        <v>7.6161761682041626E-2</v>
      </c>
      <c r="J50" s="55">
        <v>0.15351247799686221</v>
      </c>
      <c r="K50" s="55">
        <v>0.25171936764763908</v>
      </c>
      <c r="L50" s="55">
        <v>1</v>
      </c>
      <c r="M50" s="55">
        <v>0.2270797512202688</v>
      </c>
      <c r="N50" s="55">
        <v>0.3676251080000269</v>
      </c>
      <c r="O50" s="55">
        <v>0.28619137554826263</v>
      </c>
      <c r="P50" s="55">
        <v>0.26911929770856857</v>
      </c>
      <c r="Q50" s="55">
        <v>0.26614370647249658</v>
      </c>
    </row>
    <row r="51" spans="1:17">
      <c r="A51" s="61" t="s">
        <v>188</v>
      </c>
      <c r="B51" s="55">
        <v>0.22336241897360609</v>
      </c>
      <c r="C51" s="55">
        <v>0.2485238136855899</v>
      </c>
      <c r="D51" s="55">
        <v>4.6330775341024769E-2</v>
      </c>
      <c r="E51" s="55">
        <v>0.22767973989347379</v>
      </c>
      <c r="F51" s="55">
        <v>0.2463546846915696</v>
      </c>
      <c r="G51" s="55">
        <v>0.20092359422674361</v>
      </c>
      <c r="H51" s="55">
        <v>0.32864030712002168</v>
      </c>
      <c r="I51" s="55">
        <v>6.866486235023353E-2</v>
      </c>
      <c r="J51" s="55">
        <v>0.26440301853744819</v>
      </c>
      <c r="K51" s="55">
        <v>0.22811841976069211</v>
      </c>
      <c r="L51" s="55">
        <v>0.2270797512202688</v>
      </c>
      <c r="M51" s="55">
        <v>1</v>
      </c>
      <c r="N51" s="55">
        <v>0.31007477788098281</v>
      </c>
      <c r="O51" s="55">
        <v>0.3444878260824295</v>
      </c>
      <c r="P51" s="55">
        <v>0.13619632459718831</v>
      </c>
      <c r="Q51" s="55">
        <v>0.22549876873755481</v>
      </c>
    </row>
    <row r="52" spans="1:17">
      <c r="A52" s="61" t="s">
        <v>189</v>
      </c>
      <c r="B52" s="55">
        <v>0.15871804078423429</v>
      </c>
      <c r="C52" s="55">
        <v>7.8772421292578956E-2</v>
      </c>
      <c r="D52" s="55">
        <v>4.4188687675209247E-2</v>
      </c>
      <c r="E52" s="55">
        <v>0.1141215649068006</v>
      </c>
      <c r="F52" s="55">
        <v>0.10291128029737601</v>
      </c>
      <c r="G52" s="55">
        <v>8.0863886351895814E-2</v>
      </c>
      <c r="H52" s="55">
        <v>0.16513794153074021</v>
      </c>
      <c r="I52" s="55">
        <v>0.18421122442199589</v>
      </c>
      <c r="J52" s="55">
        <v>0.2367828741462184</v>
      </c>
      <c r="K52" s="55">
        <v>5.6741841438182013E-2</v>
      </c>
      <c r="L52" s="55">
        <v>0.3676251080000269</v>
      </c>
      <c r="M52" s="55">
        <v>0.31007477788098281</v>
      </c>
      <c r="N52" s="55">
        <v>1</v>
      </c>
      <c r="O52" s="55">
        <v>0.33196940717484669</v>
      </c>
      <c r="P52" s="55">
        <v>0.20784989929395209</v>
      </c>
      <c r="Q52" s="55">
        <v>0.25702379844527462</v>
      </c>
    </row>
    <row r="53" spans="1:17">
      <c r="A53" s="61" t="s">
        <v>190</v>
      </c>
      <c r="B53" s="55">
        <v>0.1463599396830173</v>
      </c>
      <c r="C53" s="55">
        <v>0.27537546080731767</v>
      </c>
      <c r="D53" s="55">
        <v>0.16295650926605179</v>
      </c>
      <c r="E53" s="55">
        <v>0.30409786391158922</v>
      </c>
      <c r="F53" s="55">
        <v>0.31901171064759759</v>
      </c>
      <c r="G53" s="55">
        <v>0.31538751156306749</v>
      </c>
      <c r="H53" s="55">
        <v>0.37106358360584529</v>
      </c>
      <c r="I53" s="55">
        <v>0.29973101837008209</v>
      </c>
      <c r="J53" s="55">
        <v>0.25615353147890529</v>
      </c>
      <c r="K53" s="55">
        <v>0.1055476107498118</v>
      </c>
      <c r="L53" s="55">
        <v>0.28619137554826263</v>
      </c>
      <c r="M53" s="55">
        <v>0.3444878260824295</v>
      </c>
      <c r="N53" s="55">
        <v>0.33196940717484669</v>
      </c>
      <c r="O53" s="55">
        <v>1</v>
      </c>
      <c r="P53" s="55">
        <v>0.2186858560176837</v>
      </c>
      <c r="Q53" s="55">
        <v>0.27256623853304629</v>
      </c>
    </row>
    <row r="54" spans="1:17">
      <c r="A54" s="61" t="s">
        <v>191</v>
      </c>
      <c r="B54" s="55">
        <v>0.1154148929809941</v>
      </c>
      <c r="C54" s="55">
        <v>0.1048125415362792</v>
      </c>
      <c r="D54" s="55">
        <v>4.6810066995973697E-2</v>
      </c>
      <c r="E54" s="55">
        <v>7.8844262466414308E-2</v>
      </c>
      <c r="F54" s="55">
        <v>5.2813667291568153E-2</v>
      </c>
      <c r="G54" s="55">
        <v>0.10494852846374669</v>
      </c>
      <c r="H54" s="55">
        <v>8.5551049652807007E-2</v>
      </c>
      <c r="I54" s="55">
        <v>2.844247971917184E-2</v>
      </c>
      <c r="J54" s="55">
        <v>0.1205552240027993</v>
      </c>
      <c r="K54" s="55">
        <v>-4.7407606366904373E-2</v>
      </c>
      <c r="L54" s="55">
        <v>0.26911929770856857</v>
      </c>
      <c r="M54" s="55">
        <v>0.13619632459718831</v>
      </c>
      <c r="N54" s="55">
        <v>0.20784989929395209</v>
      </c>
      <c r="O54" s="55">
        <v>0.2186858560176837</v>
      </c>
      <c r="P54" s="55">
        <v>1</v>
      </c>
      <c r="Q54" s="55">
        <v>0.24753208239135641</v>
      </c>
    </row>
    <row r="55" spans="1:17">
      <c r="A55" s="61" t="s">
        <v>192</v>
      </c>
      <c r="B55" s="55">
        <v>0.12565421563479851</v>
      </c>
      <c r="C55" s="55">
        <v>0.1045902961748254</v>
      </c>
      <c r="D55" s="55">
        <v>0.1158218333986009</v>
      </c>
      <c r="E55" s="55">
        <v>8.7262758131032445E-2</v>
      </c>
      <c r="F55" s="55">
        <v>0.1300525471311986</v>
      </c>
      <c r="G55" s="55">
        <v>0.15965421376763819</v>
      </c>
      <c r="H55" s="55">
        <v>0.1597185355862917</v>
      </c>
      <c r="I55" s="55">
        <v>5.1111028782446818E-2</v>
      </c>
      <c r="J55" s="55">
        <v>0.17260348190340841</v>
      </c>
      <c r="K55" s="55">
        <v>4.2207214168750694E-3</v>
      </c>
      <c r="L55" s="55">
        <v>0.26614370647249658</v>
      </c>
      <c r="M55" s="55">
        <v>0.22549876873755481</v>
      </c>
      <c r="N55" s="55">
        <v>0.25702379844527462</v>
      </c>
      <c r="O55" s="55">
        <v>0.27256623853304629</v>
      </c>
      <c r="P55" s="55">
        <v>0.24753208239135641</v>
      </c>
      <c r="Q55" s="55">
        <v>1</v>
      </c>
    </row>
    <row r="57" spans="1:17">
      <c r="A57" s="45" t="s">
        <v>85</v>
      </c>
    </row>
    <row r="58" spans="1:17">
      <c r="A58" s="46" t="s">
        <v>193</v>
      </c>
    </row>
    <row r="59" spans="1:17">
      <c r="A59" s="46" t="s">
        <v>194</v>
      </c>
    </row>
    <row r="60" spans="1:17">
      <c r="A60" s="46" t="s">
        <v>195</v>
      </c>
    </row>
    <row r="61" spans="1:17">
      <c r="A61" s="46" t="s">
        <v>196</v>
      </c>
    </row>
    <row r="62" spans="1:17">
      <c r="A62" s="46" t="s">
        <v>197</v>
      </c>
    </row>
    <row r="63" spans="1:17">
      <c r="A63" s="46" t="s">
        <v>198</v>
      </c>
    </row>
    <row r="64" spans="1:17">
      <c r="A64" s="46" t="s">
        <v>199</v>
      </c>
    </row>
  </sheetData>
  <mergeCells count="12">
    <mergeCell ref="C25:J25"/>
    <mergeCell ref="C32:J32"/>
    <mergeCell ref="C36:J36"/>
    <mergeCell ref="C28:J28"/>
    <mergeCell ref="C27:J27"/>
    <mergeCell ref="C31:J31"/>
    <mergeCell ref="C35:J35"/>
    <mergeCell ref="C26:J26"/>
    <mergeCell ref="C34:J34"/>
    <mergeCell ref="C29:J29"/>
    <mergeCell ref="C30:J30"/>
    <mergeCell ref="C33:J33"/>
  </mergeCells>
  <conditionalFormatting sqref="B26:B36">
    <cfRule type="cellIs" dxfId="20" priority="22" operator="lessThan">
      <formula>0</formula>
    </cfRule>
    <cfRule type="cellIs" dxfId="19" priority="23" operator="greaterThan">
      <formula>0</formula>
    </cfRule>
  </conditionalFormatting>
  <conditionalFormatting sqref="B40:Q55">
    <cfRule type="colorScale" priority="24">
      <colorScale>
        <cfvo type="num" val="-0.2"/>
        <cfvo type="num" val="0.3"/>
        <cfvo type="num" val="1"/>
        <color rgb="FFDBEAFE"/>
        <color rgb="FFFFFFFF"/>
        <color rgb="FFFCA5A5"/>
      </colorScale>
    </cfRule>
  </conditionalFormatting>
  <conditionalFormatting sqref="E5:E20">
    <cfRule type="cellIs" dxfId="18" priority="17" operator="equal">
      <formula>"Alta"</formula>
    </cfRule>
    <cfRule type="cellIs" dxfId="17" priority="18" operator="equal">
      <formula>"Média"</formula>
    </cfRule>
    <cfRule type="cellIs" dxfId="16" priority="19" operator="equal">
      <formula>"Baixa"</formula>
    </cfRule>
  </conditionalFormatting>
  <conditionalFormatting sqref="H5:I21">
    <cfRule type="cellIs" dxfId="15" priority="1" operator="lessThan">
      <formula>0</formula>
    </cfRule>
    <cfRule type="cellIs" dxfId="14" priority="2" operator="greaterThan">
      <formula>0</formula>
    </cfRule>
  </conditionalFormatting>
  <conditionalFormatting sqref="K5:K20">
    <cfRule type="colorScale" priority="21">
      <colorScale>
        <cfvo type="num" val="-1"/>
        <cfvo type="num" val="0"/>
        <cfvo type="num" val="1"/>
        <color rgb="FFFECACA"/>
        <color rgb="FFFFFFFF"/>
        <color rgb="FFBBF7D0"/>
      </colorScale>
    </cfRule>
  </conditionalFormatting>
  <conditionalFormatting sqref="T5:T21">
    <cfRule type="cellIs" dxfId="13" priority="15" operator="lessThan">
      <formula>0</formula>
    </cfRule>
    <cfRule type="cellIs" dxfId="12" priority="16" operator="greaterThan">
      <formula>0</formula>
    </cfRule>
  </conditionalFormatting>
  <conditionalFormatting sqref="Y5:Z21">
    <cfRule type="cellIs" dxfId="11" priority="5" operator="lessThan">
      <formula>0</formula>
    </cfRule>
    <cfRule type="cellIs" dxfId="10" priority="6" operator="greaterThan">
      <formula>0</formula>
    </cfRule>
  </conditionalFormatting>
  <conditionalFormatting sqref="AC5:AC21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AE5:AE21">
    <cfRule type="cellIs" dxfId="7" priority="11" operator="lessThan">
      <formula>0</formula>
    </cfRule>
    <cfRule type="cellIs" dxfId="6" priority="12" operator="greaterThan">
      <formula>0</formula>
    </cfRule>
  </conditionalFormatting>
  <conditionalFormatting sqref="AJ5:AJ21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AL5:AL20">
    <cfRule type="dataBar" priority="20">
      <dataBar>
        <cfvo type="num" val="0"/>
        <cfvo type="max"/>
        <color rgb="FF0D9488"/>
      </dataBar>
    </cfRule>
  </conditionalFormatting>
  <pageMargins left="0.75" right="0.75" top="1" bottom="1" header="0.5" footer="0.5"/>
  <pageSetup scale="2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2563EB"/>
    <pageSetUpPr fitToPage="1"/>
  </sheetPr>
  <dimension ref="A1:AN10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30" customWidth="1"/>
    <col min="2" max="8" width="16" customWidth="1"/>
    <col min="9" max="10" width="15" customWidth="1"/>
  </cols>
  <sheetData>
    <row r="1" spans="1:40" ht="33.950000000000003" customHeight="1">
      <c r="A1" s="1" t="s">
        <v>200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201</v>
      </c>
    </row>
    <row r="5" spans="1:40" ht="16.5">
      <c r="A5" s="63" t="s">
        <v>202</v>
      </c>
    </row>
    <row r="6" spans="1:40" ht="32.1" customHeight="1">
      <c r="A6" s="19" t="s">
        <v>203</v>
      </c>
      <c r="B6" s="19" t="s">
        <v>148</v>
      </c>
      <c r="C6" s="19" t="s">
        <v>149</v>
      </c>
    </row>
    <row r="7" spans="1:40">
      <c r="A7" s="61" t="s">
        <v>204</v>
      </c>
      <c r="B7" s="24">
        <v>4.4999999999999998E-2</v>
      </c>
      <c r="C7" s="29" t="s">
        <v>205</v>
      </c>
    </row>
    <row r="8" spans="1:40">
      <c r="A8" s="64" t="s">
        <v>206</v>
      </c>
      <c r="B8" s="34">
        <v>9.090909090909105E-2</v>
      </c>
      <c r="C8" s="39" t="s">
        <v>207</v>
      </c>
    </row>
    <row r="9" spans="1:40">
      <c r="A9" s="61" t="s">
        <v>208</v>
      </c>
      <c r="B9" s="24">
        <v>9.1187619137966802E-2</v>
      </c>
      <c r="C9" s="29" t="s">
        <v>209</v>
      </c>
    </row>
    <row r="10" spans="1:40">
      <c r="A10" s="64" t="s">
        <v>210</v>
      </c>
      <c r="B10" s="34">
        <v>5.1268163317937931E-2</v>
      </c>
      <c r="C10" s="39" t="s">
        <v>211</v>
      </c>
    </row>
    <row r="11" spans="1:40">
      <c r="A11" s="61" t="s">
        <v>212</v>
      </c>
      <c r="B11" s="24">
        <v>2.9106199917519621E-4</v>
      </c>
      <c r="C11" s="29" t="s">
        <v>213</v>
      </c>
    </row>
    <row r="14" spans="1:40" ht="16.5">
      <c r="A14" s="63" t="s">
        <v>214</v>
      </c>
    </row>
    <row r="15" spans="1:40" ht="32.1" customHeight="1">
      <c r="A15" s="19" t="s">
        <v>215</v>
      </c>
      <c r="B15" s="19" t="s">
        <v>216</v>
      </c>
      <c r="C15" s="19" t="s">
        <v>217</v>
      </c>
      <c r="D15" s="19" t="s">
        <v>218</v>
      </c>
      <c r="E15" s="19" t="s">
        <v>219</v>
      </c>
    </row>
    <row r="16" spans="1:40">
      <c r="A16" s="61" t="s">
        <v>220</v>
      </c>
      <c r="B16" s="65">
        <v>0.2578797625233904</v>
      </c>
      <c r="C16" s="24">
        <v>0.50781863152447493</v>
      </c>
      <c r="D16" s="24">
        <v>0.368779551358629</v>
      </c>
      <c r="E16" s="24">
        <v>0.368779551358629</v>
      </c>
    </row>
    <row r="17" spans="1:5">
      <c r="A17" s="64" t="s">
        <v>221</v>
      </c>
      <c r="B17" s="66">
        <v>7.7141940603198761E-2</v>
      </c>
      <c r="C17" s="34">
        <v>0.27774437996690188</v>
      </c>
      <c r="D17" s="34">
        <v>0.11031641245598441</v>
      </c>
      <c r="E17" s="34">
        <v>0.47909596381461339</v>
      </c>
    </row>
    <row r="18" spans="1:5">
      <c r="A18" s="61" t="s">
        <v>222</v>
      </c>
      <c r="B18" s="65">
        <v>5.8512741873808227E-2</v>
      </c>
      <c r="C18" s="24">
        <v>0.2418940715970696</v>
      </c>
      <c r="D18" s="24">
        <v>8.3675828168288516E-2</v>
      </c>
      <c r="E18" s="24">
        <v>0.56277179198290195</v>
      </c>
    </row>
    <row r="19" spans="1:5">
      <c r="A19" s="64" t="s">
        <v>223</v>
      </c>
      <c r="B19" s="66">
        <v>5.3945949703782303E-2</v>
      </c>
      <c r="C19" s="34">
        <v>0.23226267393574521</v>
      </c>
      <c r="D19" s="34">
        <v>7.7145111871938954E-2</v>
      </c>
      <c r="E19" s="34">
        <v>0.6399169038548409</v>
      </c>
    </row>
    <row r="20" spans="1:5">
      <c r="A20" s="61" t="s">
        <v>224</v>
      </c>
      <c r="B20" s="65">
        <v>4.4703236709509007E-2</v>
      </c>
      <c r="C20" s="24">
        <v>0.2114313995354262</v>
      </c>
      <c r="D20" s="24">
        <v>6.3927620441003155E-2</v>
      </c>
      <c r="E20" s="24">
        <v>0.7038445242958441</v>
      </c>
    </row>
    <row r="23" spans="1:5" ht="16.5">
      <c r="A23" s="63" t="s">
        <v>225</v>
      </c>
    </row>
    <row r="24" spans="1:5" ht="32.1" customHeight="1">
      <c r="A24" s="19" t="s">
        <v>226</v>
      </c>
      <c r="B24" s="19" t="s">
        <v>220</v>
      </c>
      <c r="C24" s="19" t="s">
        <v>221</v>
      </c>
      <c r="D24" s="19" t="s">
        <v>222</v>
      </c>
    </row>
    <row r="25" spans="1:5">
      <c r="A25" s="61" t="s">
        <v>177</v>
      </c>
      <c r="B25" s="55">
        <v>0.20457266196108059</v>
      </c>
      <c r="C25" s="55">
        <v>-0.24414460209116451</v>
      </c>
      <c r="D25" s="55">
        <v>0.51844546276563286</v>
      </c>
    </row>
    <row r="26" spans="1:5">
      <c r="A26" s="64" t="s">
        <v>178</v>
      </c>
      <c r="B26" s="58">
        <v>0.23911923468950291</v>
      </c>
      <c r="C26" s="58">
        <v>-9.3693441989887397E-2</v>
      </c>
      <c r="D26" s="58">
        <v>-4.1004493283008953E-2</v>
      </c>
    </row>
    <row r="27" spans="1:5">
      <c r="A27" s="61" t="s">
        <v>179</v>
      </c>
      <c r="B27" s="55">
        <v>0.16289934234469641</v>
      </c>
      <c r="C27" s="55">
        <v>0.90115377813260356</v>
      </c>
      <c r="D27" s="55">
        <v>0.28646031889081619</v>
      </c>
    </row>
    <row r="28" spans="1:5">
      <c r="A28" s="64" t="s">
        <v>180</v>
      </c>
      <c r="B28" s="58">
        <v>0.37437773022568838</v>
      </c>
      <c r="C28" s="58">
        <v>-6.4616831044945922E-2</v>
      </c>
      <c r="D28" s="58">
        <v>6.9828889494181492E-2</v>
      </c>
    </row>
    <row r="29" spans="1:5">
      <c r="A29" s="61" t="s">
        <v>181</v>
      </c>
      <c r="B29" s="55">
        <v>0.40750269538788347</v>
      </c>
      <c r="C29" s="55">
        <v>0.21460447667551341</v>
      </c>
      <c r="D29" s="55">
        <v>-0.18587159397226249</v>
      </c>
    </row>
    <row r="30" spans="1:5">
      <c r="A30" s="64" t="s">
        <v>182</v>
      </c>
      <c r="B30" s="58">
        <v>0.39425035574118888</v>
      </c>
      <c r="C30" s="58">
        <v>-6.4572968450433449E-2</v>
      </c>
      <c r="D30" s="58">
        <v>-0.36606779871618922</v>
      </c>
    </row>
    <row r="31" spans="1:5">
      <c r="A31" s="61" t="s">
        <v>183</v>
      </c>
      <c r="B31" s="55">
        <v>0.32693137792370608</v>
      </c>
      <c r="C31" s="55">
        <v>-0.14036251667366981</v>
      </c>
      <c r="D31" s="55">
        <v>-1.452734137332885E-2</v>
      </c>
    </row>
    <row r="32" spans="1:5">
      <c r="A32" s="64" t="s">
        <v>184</v>
      </c>
      <c r="B32" s="58">
        <v>0.3104154833060167</v>
      </c>
      <c r="C32" s="58">
        <v>-0.18416217185286221</v>
      </c>
      <c r="D32" s="58">
        <v>0.39441165576445042</v>
      </c>
    </row>
    <row r="33" spans="1:6">
      <c r="A33" s="61" t="s">
        <v>185</v>
      </c>
      <c r="B33" s="55">
        <v>0.39046674524840558</v>
      </c>
      <c r="C33" s="55">
        <v>1.333591686987658E-2</v>
      </c>
      <c r="D33" s="55">
        <v>-0.35835283174394778</v>
      </c>
    </row>
    <row r="34" spans="1:6">
      <c r="A34" s="64" t="s">
        <v>186</v>
      </c>
      <c r="B34" s="58">
        <v>0.16328768410807701</v>
      </c>
      <c r="C34" s="58">
        <v>-8.507265656212129E-2</v>
      </c>
      <c r="D34" s="58">
        <v>0.43214493855963221</v>
      </c>
    </row>
    <row r="35" spans="1:6">
      <c r="A35" s="61" t="s">
        <v>187</v>
      </c>
      <c r="B35" s="55">
        <v>2.6294508557384879E-2</v>
      </c>
      <c r="C35" s="55">
        <v>-3.879306398182391E-3</v>
      </c>
      <c r="D35" s="55">
        <v>2.5997010235588092E-2</v>
      </c>
    </row>
    <row r="36" spans="1:6">
      <c r="A36" s="64" t="s">
        <v>188</v>
      </c>
      <c r="B36" s="58">
        <v>0.1089416333894382</v>
      </c>
      <c r="C36" s="58">
        <v>-3.6440153159062592E-2</v>
      </c>
      <c r="D36" s="58">
        <v>1.4297730472649799E-2</v>
      </c>
    </row>
    <row r="37" spans="1:6">
      <c r="A37" s="61" t="s">
        <v>189</v>
      </c>
      <c r="B37" s="55">
        <v>5.5751311467688511E-2</v>
      </c>
      <c r="C37" s="55">
        <v>-1.9660845022329319E-2</v>
      </c>
      <c r="D37" s="55">
        <v>3.4430626832641573E-2</v>
      </c>
    </row>
    <row r="38" spans="1:6">
      <c r="A38" s="64" t="s">
        <v>190</v>
      </c>
      <c r="B38" s="58">
        <v>9.7863012089466545E-2</v>
      </c>
      <c r="C38" s="58">
        <v>1.5494189482474489E-2</v>
      </c>
      <c r="D38" s="58">
        <v>7.8364411438226964E-3</v>
      </c>
    </row>
    <row r="39" spans="1:6">
      <c r="A39" s="61" t="s">
        <v>191</v>
      </c>
      <c r="B39" s="55">
        <v>2.6494005779533491E-2</v>
      </c>
      <c r="C39" s="55">
        <v>2.067197844160552E-3</v>
      </c>
      <c r="D39" s="55">
        <v>-1.345507550959016E-2</v>
      </c>
    </row>
    <row r="40" spans="1:6">
      <c r="A40" s="64" t="s">
        <v>192</v>
      </c>
      <c r="B40" s="58">
        <v>6.6852907616753818E-2</v>
      </c>
      <c r="C40" s="58">
        <v>4.6155875177039771E-2</v>
      </c>
      <c r="D40" s="58">
        <v>-2.824320268745897E-2</v>
      </c>
    </row>
    <row r="43" spans="1:6" ht="16.5">
      <c r="A43" s="63" t="s">
        <v>227</v>
      </c>
    </row>
    <row r="44" spans="1:6" ht="32.1" customHeight="1">
      <c r="A44" s="19" t="s">
        <v>226</v>
      </c>
      <c r="B44" s="19" t="s">
        <v>228</v>
      </c>
      <c r="C44" s="19" t="s">
        <v>229</v>
      </c>
      <c r="D44" s="19" t="s">
        <v>230</v>
      </c>
      <c r="E44" s="19" t="s">
        <v>231</v>
      </c>
      <c r="F44" s="19" t="s">
        <v>232</v>
      </c>
    </row>
    <row r="45" spans="1:6">
      <c r="A45" s="61" t="s">
        <v>177</v>
      </c>
      <c r="B45" s="24">
        <v>0.13880544189802599</v>
      </c>
      <c r="C45" s="24">
        <v>0.1</v>
      </c>
      <c r="D45" s="24">
        <v>0.1</v>
      </c>
      <c r="E45" s="24">
        <v>1.458530435846184E-2</v>
      </c>
      <c r="F45" s="24">
        <v>0</v>
      </c>
    </row>
    <row r="46" spans="1:6">
      <c r="A46" s="64" t="s">
        <v>178</v>
      </c>
      <c r="B46" s="34">
        <v>0.15908475365221991</v>
      </c>
      <c r="C46" s="34">
        <v>0.05</v>
      </c>
      <c r="D46" s="34">
        <v>0.05</v>
      </c>
      <c r="E46" s="34">
        <v>2.96495726106615E-2</v>
      </c>
      <c r="F46" s="34">
        <v>0</v>
      </c>
    </row>
    <row r="47" spans="1:6">
      <c r="A47" s="61" t="s">
        <v>179</v>
      </c>
      <c r="B47" s="24">
        <v>0.2313242035747558</v>
      </c>
      <c r="C47" s="24">
        <v>7.0000000000000007E-2</v>
      </c>
      <c r="D47" s="24">
        <v>7.0000000000000007E-2</v>
      </c>
      <c r="E47" s="24">
        <v>2.4790651266936001E-2</v>
      </c>
      <c r="F47" s="24">
        <v>0.29162352258327362</v>
      </c>
    </row>
    <row r="48" spans="1:6">
      <c r="A48" s="64" t="s">
        <v>180</v>
      </c>
      <c r="B48" s="34">
        <v>9.7241235146581839E-2</v>
      </c>
      <c r="C48" s="34">
        <v>0.06</v>
      </c>
      <c r="D48" s="34">
        <v>0.06</v>
      </c>
      <c r="E48" s="34">
        <v>0</v>
      </c>
      <c r="F48" s="34">
        <v>0</v>
      </c>
    </row>
    <row r="49" spans="1:6">
      <c r="A49" s="61" t="s">
        <v>181</v>
      </c>
      <c r="B49" s="24">
        <v>0.17662829711548589</v>
      </c>
      <c r="C49" s="24">
        <v>0.05</v>
      </c>
      <c r="D49" s="24">
        <v>0.05</v>
      </c>
      <c r="E49" s="24">
        <v>0</v>
      </c>
      <c r="F49" s="24">
        <v>0</v>
      </c>
    </row>
    <row r="50" spans="1:6">
      <c r="A50" s="64" t="s">
        <v>182</v>
      </c>
      <c r="B50" s="34">
        <v>0.1737629303285334</v>
      </c>
      <c r="C50" s="34">
        <v>0.05</v>
      </c>
      <c r="D50" s="34">
        <v>0.05</v>
      </c>
      <c r="E50" s="34">
        <v>0</v>
      </c>
      <c r="F50" s="34">
        <v>0</v>
      </c>
    </row>
    <row r="51" spans="1:6">
      <c r="A51" s="61" t="s">
        <v>183</v>
      </c>
      <c r="B51" s="24">
        <v>0.25184522477734078</v>
      </c>
      <c r="C51" s="24">
        <v>0.1</v>
      </c>
      <c r="D51" s="24">
        <v>0.1</v>
      </c>
      <c r="E51" s="24">
        <v>1.595087645114531E-3</v>
      </c>
      <c r="F51" s="24">
        <v>0.70681925144814584</v>
      </c>
    </row>
    <row r="52" spans="1:6">
      <c r="A52" s="64" t="s">
        <v>184</v>
      </c>
      <c r="B52" s="34">
        <v>0.1864318510455433</v>
      </c>
      <c r="C52" s="34">
        <v>0.1</v>
      </c>
      <c r="D52" s="34">
        <v>0.1</v>
      </c>
      <c r="E52" s="34">
        <v>5.7126113928218239E-3</v>
      </c>
      <c r="F52" s="34">
        <v>0</v>
      </c>
    </row>
    <row r="53" spans="1:6">
      <c r="A53" s="61" t="s">
        <v>185</v>
      </c>
      <c r="B53" s="24">
        <v>0.21103703188061371</v>
      </c>
      <c r="C53" s="24">
        <v>0.05</v>
      </c>
      <c r="D53" s="24">
        <v>0.05</v>
      </c>
      <c r="E53" s="24">
        <v>0</v>
      </c>
      <c r="F53" s="24">
        <v>0</v>
      </c>
    </row>
    <row r="54" spans="1:6">
      <c r="A54" s="64" t="s">
        <v>186</v>
      </c>
      <c r="B54" s="34">
        <v>8.3603719194075582E-2</v>
      </c>
      <c r="C54" s="34">
        <v>7.0000000000000007E-2</v>
      </c>
      <c r="D54" s="34">
        <v>7.0000000000000007E-2</v>
      </c>
      <c r="E54" s="34">
        <v>1.641756871525276E-2</v>
      </c>
      <c r="F54" s="34">
        <v>0</v>
      </c>
    </row>
    <row r="55" spans="1:6">
      <c r="A55" s="61" t="s">
        <v>187</v>
      </c>
      <c r="B55" s="24">
        <v>0.1007888452238437</v>
      </c>
      <c r="C55" s="24">
        <v>0.05</v>
      </c>
      <c r="D55" s="24">
        <v>0.05</v>
      </c>
      <c r="E55" s="24">
        <v>0.52170481500654819</v>
      </c>
      <c r="F55" s="24">
        <v>0</v>
      </c>
    </row>
    <row r="56" spans="1:6">
      <c r="A56" s="64" t="s">
        <v>188</v>
      </c>
      <c r="B56" s="34">
        <v>7.5032167628677371E-2</v>
      </c>
      <c r="C56" s="34">
        <v>0.04</v>
      </c>
      <c r="D56" s="34">
        <v>0.04</v>
      </c>
      <c r="E56" s="34">
        <v>2.5660571296962548E-2</v>
      </c>
      <c r="F56" s="34">
        <v>0</v>
      </c>
    </row>
    <row r="57" spans="1:6">
      <c r="A57" s="61" t="s">
        <v>189</v>
      </c>
      <c r="B57" s="24">
        <v>8.4381137569044556E-2</v>
      </c>
      <c r="C57" s="24">
        <v>0.06</v>
      </c>
      <c r="D57" s="24">
        <v>0.06</v>
      </c>
      <c r="E57" s="24">
        <v>4.244090289227688E-2</v>
      </c>
      <c r="F57" s="24">
        <v>0</v>
      </c>
    </row>
    <row r="58" spans="1:6">
      <c r="A58" s="64" t="s">
        <v>190</v>
      </c>
      <c r="B58" s="34">
        <v>0.10880356936800149</v>
      </c>
      <c r="C58" s="34">
        <v>0.05</v>
      </c>
      <c r="D58" s="34">
        <v>0.05</v>
      </c>
      <c r="E58" s="34">
        <v>9.5916315051973816E-2</v>
      </c>
      <c r="F58" s="34">
        <v>0</v>
      </c>
    </row>
    <row r="59" spans="1:6">
      <c r="A59" s="61" t="s">
        <v>191</v>
      </c>
      <c r="B59" s="24">
        <v>0.13751074012713929</v>
      </c>
      <c r="C59" s="24">
        <v>0.06</v>
      </c>
      <c r="D59" s="24">
        <v>0.06</v>
      </c>
      <c r="E59" s="24">
        <v>0.21392431278281701</v>
      </c>
      <c r="F59" s="24">
        <v>1.557225968580656E-3</v>
      </c>
    </row>
    <row r="60" spans="1:6">
      <c r="A60" s="64" t="s">
        <v>192</v>
      </c>
      <c r="B60" s="34">
        <v>8.1125699756797343E-2</v>
      </c>
      <c r="C60" s="34">
        <v>0.04</v>
      </c>
      <c r="D60" s="34">
        <v>0.04</v>
      </c>
      <c r="E60" s="34">
        <v>7.602286980173182E-3</v>
      </c>
      <c r="F60" s="34">
        <v>0</v>
      </c>
    </row>
    <row r="61" spans="1:6">
      <c r="A61" s="40" t="s">
        <v>233</v>
      </c>
      <c r="B61" s="67"/>
      <c r="C61" s="67">
        <v>0.15165277921032899</v>
      </c>
      <c r="D61" s="67">
        <v>0.15165277921032899</v>
      </c>
      <c r="E61" s="67">
        <v>0.11387356463528001</v>
      </c>
      <c r="F61" s="67">
        <v>0.24568276765863539</v>
      </c>
    </row>
    <row r="62" spans="1:6">
      <c r="A62" s="40" t="s">
        <v>234</v>
      </c>
      <c r="B62" s="67"/>
      <c r="C62" s="67">
        <v>0.11504828013576671</v>
      </c>
      <c r="D62" s="67">
        <v>0.11504828013576671</v>
      </c>
      <c r="E62" s="67">
        <v>6.089088503225415E-2</v>
      </c>
      <c r="F62" s="67">
        <v>0.17230518378835211</v>
      </c>
    </row>
    <row r="63" spans="1:6">
      <c r="A63" s="40" t="s">
        <v>235</v>
      </c>
      <c r="B63" s="67"/>
      <c r="C63" s="68">
        <v>0.1012859922510599</v>
      </c>
      <c r="D63" s="68">
        <v>0.1012859922510599</v>
      </c>
      <c r="E63" s="68">
        <v>-0.42906972613192779</v>
      </c>
      <c r="F63" s="68">
        <v>0.61334642020085028</v>
      </c>
    </row>
    <row r="66" spans="1:10" ht="16.5">
      <c r="A66" s="63" t="s">
        <v>236</v>
      </c>
    </row>
    <row r="67" spans="1:10" ht="16.5">
      <c r="A67" s="63" t="s">
        <v>237</v>
      </c>
    </row>
    <row r="68" spans="1:10" ht="32.1" customHeight="1">
      <c r="A68" s="19" t="s">
        <v>238</v>
      </c>
      <c r="B68" s="19" t="s">
        <v>239</v>
      </c>
      <c r="C68" s="19" t="s">
        <v>240</v>
      </c>
      <c r="D68" s="19" t="s">
        <v>241</v>
      </c>
      <c r="E68" s="19" t="s">
        <v>242</v>
      </c>
      <c r="F68" s="19" t="s">
        <v>243</v>
      </c>
      <c r="G68" s="19" t="s">
        <v>244</v>
      </c>
      <c r="H68" s="19" t="s">
        <v>245</v>
      </c>
      <c r="I68" s="19" t="s">
        <v>246</v>
      </c>
      <c r="J68" s="19" t="s">
        <v>247</v>
      </c>
    </row>
    <row r="69" spans="1:10">
      <c r="A69" s="61">
        <v>1</v>
      </c>
      <c r="B69" s="27">
        <v>34078.625284797032</v>
      </c>
      <c r="C69" s="27">
        <v>36127.641808661458</v>
      </c>
      <c r="D69" s="27">
        <v>37699.91580056266</v>
      </c>
      <c r="E69" s="27">
        <v>39300.188282880859</v>
      </c>
      <c r="F69" s="27">
        <v>41935.676364339721</v>
      </c>
      <c r="G69" s="27">
        <v>38255.366035185587</v>
      </c>
      <c r="H69" s="27">
        <v>36000</v>
      </c>
      <c r="I69" s="24">
        <v>0.40760000000000002</v>
      </c>
      <c r="J69" s="24">
        <v>0.23380000000000001</v>
      </c>
    </row>
    <row r="70" spans="1:10">
      <c r="A70" s="64">
        <v>2</v>
      </c>
      <c r="B70" s="37">
        <v>68193.748942198494</v>
      </c>
      <c r="C70" s="37">
        <v>74351.517171558982</v>
      </c>
      <c r="D70" s="37">
        <v>79220.228504001308</v>
      </c>
      <c r="E70" s="37">
        <v>84440.671908659773</v>
      </c>
      <c r="F70" s="37">
        <v>92705.214253276732</v>
      </c>
      <c r="G70" s="37">
        <v>81866.483315297126</v>
      </c>
      <c r="H70" s="37">
        <v>72000</v>
      </c>
      <c r="I70" s="34">
        <v>0.36399999999999999</v>
      </c>
      <c r="J70" s="34">
        <v>0.15</v>
      </c>
    </row>
    <row r="71" spans="1:10">
      <c r="A71" s="61">
        <v>3</v>
      </c>
      <c r="B71" s="27">
        <v>104239.29674516671</v>
      </c>
      <c r="C71" s="27">
        <v>116467.343915583</v>
      </c>
      <c r="D71" s="27">
        <v>125497.9029562316</v>
      </c>
      <c r="E71" s="27">
        <v>136226.08854304531</v>
      </c>
      <c r="F71" s="27">
        <v>152561.1114256116</v>
      </c>
      <c r="G71" s="27">
        <v>131583.15701462419</v>
      </c>
      <c r="H71" s="27">
        <v>108000</v>
      </c>
      <c r="I71" s="24">
        <v>0.3422</v>
      </c>
      <c r="J71" s="24">
        <v>9.8799999999999999E-2</v>
      </c>
    </row>
    <row r="72" spans="1:10">
      <c r="A72" s="64">
        <v>4</v>
      </c>
      <c r="B72" s="37">
        <v>141572.9680295329</v>
      </c>
      <c r="C72" s="37">
        <v>161110.472682422</v>
      </c>
      <c r="D72" s="37">
        <v>176326.36544982361</v>
      </c>
      <c r="E72" s="37">
        <v>193917.3361702465</v>
      </c>
      <c r="F72" s="37">
        <v>223080.00068376501</v>
      </c>
      <c r="G72" s="37">
        <v>188260.165031857</v>
      </c>
      <c r="H72" s="37">
        <v>144000</v>
      </c>
      <c r="I72" s="34">
        <v>0.32140000000000002</v>
      </c>
      <c r="J72" s="34">
        <v>6.5000000000000002E-2</v>
      </c>
    </row>
    <row r="73" spans="1:10">
      <c r="A73" s="61">
        <v>5</v>
      </c>
      <c r="B73" s="27">
        <v>181318.7109114241</v>
      </c>
      <c r="C73" s="27">
        <v>209462.54976101301</v>
      </c>
      <c r="D73" s="27">
        <v>232676.68840769571</v>
      </c>
      <c r="E73" s="27">
        <v>259255.68047022869</v>
      </c>
      <c r="F73" s="27">
        <v>304720.37168820348</v>
      </c>
      <c r="G73" s="27">
        <v>252871.95417150241</v>
      </c>
      <c r="H73" s="27">
        <v>180000</v>
      </c>
      <c r="I73" s="24">
        <v>0.30359999999999998</v>
      </c>
      <c r="J73" s="24">
        <v>4.6600000000000003E-2</v>
      </c>
    </row>
    <row r="74" spans="1:10">
      <c r="A74" s="64">
        <v>6</v>
      </c>
      <c r="B74" s="37">
        <v>224263.91683504789</v>
      </c>
      <c r="C74" s="37">
        <v>262150.70426535938</v>
      </c>
      <c r="D74" s="37">
        <v>293997.22779769439</v>
      </c>
      <c r="E74" s="37">
        <v>332858.31164490618</v>
      </c>
      <c r="F74" s="37">
        <v>398179.2230636297</v>
      </c>
      <c r="G74" s="37">
        <v>326529.39379069809</v>
      </c>
      <c r="H74" s="37">
        <v>216000</v>
      </c>
      <c r="I74" s="34">
        <v>0.2848</v>
      </c>
      <c r="J74" s="34">
        <v>3.3399999999999999E-2</v>
      </c>
    </row>
    <row r="75" spans="1:10">
      <c r="A75" s="61">
        <v>7</v>
      </c>
      <c r="B75" s="27">
        <v>268059.97510635247</v>
      </c>
      <c r="C75" s="27">
        <v>320709.40403758938</v>
      </c>
      <c r="D75" s="27">
        <v>362483.32760482357</v>
      </c>
      <c r="E75" s="27">
        <v>415249.46963421698</v>
      </c>
      <c r="F75" s="27">
        <v>501114.15430932911</v>
      </c>
      <c r="G75" s="27">
        <v>410498.87495658098</v>
      </c>
      <c r="H75" s="27">
        <v>252000</v>
      </c>
      <c r="I75" s="24">
        <v>0.26719999999999999</v>
      </c>
      <c r="J75" s="24">
        <v>2.7400000000000001E-2</v>
      </c>
    </row>
    <row r="76" spans="1:10">
      <c r="A76" s="64">
        <v>8</v>
      </c>
      <c r="B76" s="37">
        <v>316967.86274140392</v>
      </c>
      <c r="C76" s="37">
        <v>383142.75709507358</v>
      </c>
      <c r="D76" s="37">
        <v>440290.06946718867</v>
      </c>
      <c r="E76" s="37">
        <v>505791.32180275349</v>
      </c>
      <c r="F76" s="37">
        <v>624290.12445573567</v>
      </c>
      <c r="G76" s="37">
        <v>506224.08348568768</v>
      </c>
      <c r="H76" s="37">
        <v>288000</v>
      </c>
      <c r="I76" s="34">
        <v>0.24840000000000001</v>
      </c>
      <c r="J76" s="34">
        <v>1.78E-2</v>
      </c>
    </row>
    <row r="77" spans="1:10">
      <c r="A77" s="61">
        <v>9</v>
      </c>
      <c r="B77" s="27">
        <v>368507.20786099968</v>
      </c>
      <c r="C77" s="27">
        <v>451796.78828681842</v>
      </c>
      <c r="D77" s="27">
        <v>522986.0625239457</v>
      </c>
      <c r="E77" s="27">
        <v>607654.8232145973</v>
      </c>
      <c r="F77" s="27">
        <v>759773.88727990224</v>
      </c>
      <c r="G77" s="27">
        <v>615350.82120886887</v>
      </c>
      <c r="H77" s="27">
        <v>324000</v>
      </c>
      <c r="I77" s="24">
        <v>0.2334</v>
      </c>
      <c r="J77" s="24">
        <v>1.2E-2</v>
      </c>
    </row>
    <row r="78" spans="1:10">
      <c r="A78" s="64">
        <v>10</v>
      </c>
      <c r="B78" s="37">
        <v>419650.13247880549</v>
      </c>
      <c r="C78" s="37">
        <v>525871.1418728776</v>
      </c>
      <c r="D78" s="37">
        <v>613746.71288058953</v>
      </c>
      <c r="E78" s="37">
        <v>721762.64944069646</v>
      </c>
      <c r="F78" s="37">
        <v>913060.05620916537</v>
      </c>
      <c r="G78" s="37">
        <v>739755.30221329536</v>
      </c>
      <c r="H78" s="37">
        <v>360000</v>
      </c>
      <c r="I78" s="34">
        <v>0.2208</v>
      </c>
      <c r="J78" s="34">
        <v>1.12E-2</v>
      </c>
    </row>
    <row r="80" spans="1:10">
      <c r="A80" s="45" t="s">
        <v>248</v>
      </c>
    </row>
    <row r="101" spans="1:1">
      <c r="A101" s="45" t="s">
        <v>85</v>
      </c>
    </row>
    <row r="102" spans="1:1">
      <c r="A102" s="46" t="s">
        <v>249</v>
      </c>
    </row>
    <row r="103" spans="1:1">
      <c r="A103" s="46" t="s">
        <v>250</v>
      </c>
    </row>
    <row r="104" spans="1:1">
      <c r="A104" s="46" t="s">
        <v>251</v>
      </c>
    </row>
    <row r="105" spans="1:1">
      <c r="A105" s="46" t="s">
        <v>252</v>
      </c>
    </row>
  </sheetData>
  <conditionalFormatting sqref="B8:B11">
    <cfRule type="cellIs" dxfId="3" priority="1" operator="lessThan">
      <formula>0</formula>
    </cfRule>
    <cfRule type="cellIs" dxfId="2" priority="2" operator="greaterThan">
      <formula>0</formula>
    </cfRule>
  </conditionalFormatting>
  <conditionalFormatting sqref="B25:D40">
    <cfRule type="colorScale" priority="3">
      <colorScale>
        <cfvo type="num" val="-0.5"/>
        <cfvo type="num" val="0"/>
        <cfvo type="num" val="0.5"/>
        <color rgb="FFDBEAFE"/>
        <color rgb="FFFFFFFF"/>
        <color rgb="FFFCA5A5"/>
      </colorScale>
    </cfRule>
  </conditionalFormatting>
  <conditionalFormatting sqref="C45:C60">
    <cfRule type="dataBar" priority="4">
      <dataBar>
        <cfvo type="num" val="0"/>
        <cfvo type="num" val="0.5"/>
        <color rgb="FF5B8DB8"/>
      </dataBar>
    </cfRule>
  </conditionalFormatting>
  <conditionalFormatting sqref="D45:D60">
    <cfRule type="dataBar" priority="5">
      <dataBar>
        <cfvo type="num" val="0"/>
        <cfvo type="num" val="0.5"/>
        <color rgb="FF5B8DB8"/>
      </dataBar>
    </cfRule>
  </conditionalFormatting>
  <conditionalFormatting sqref="E45:E60">
    <cfRule type="dataBar" priority="6">
      <dataBar>
        <cfvo type="num" val="0"/>
        <cfvo type="num" val="0.5"/>
        <color rgb="FF5B8DB8"/>
      </dataBar>
    </cfRule>
  </conditionalFormatting>
  <conditionalFormatting sqref="F45:F60">
    <cfRule type="dataBar" priority="7">
      <dataBar>
        <cfvo type="num" val="0"/>
        <cfvo type="num" val="0.5"/>
        <color rgb="FF5B8DB8"/>
      </dataBar>
    </cfRule>
  </conditionalFormatting>
  <pageMargins left="0.75" right="0.75" top="1" bottom="1" header="0.5" footer="0.5"/>
  <pageSetup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2563EB"/>
    <pageSetUpPr fitToPage="1"/>
  </sheetPr>
  <dimension ref="A1:AN15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36" customWidth="1"/>
    <col min="2" max="5" width="16" customWidth="1"/>
    <col min="6" max="6" width="18" customWidth="1"/>
    <col min="7" max="7" width="17" customWidth="1"/>
    <col min="8" max="8" width="16" customWidth="1"/>
    <col min="9" max="9" width="14" customWidth="1"/>
    <col min="10" max="10" width="3" customWidth="1"/>
    <col min="11" max="11" width="7" customWidth="1"/>
    <col min="12" max="12" width="10" customWidth="1"/>
    <col min="13" max="18" width="15" customWidth="1"/>
  </cols>
  <sheetData>
    <row r="1" spans="1:40" ht="33.950000000000003" customHeight="1">
      <c r="A1" s="1" t="s">
        <v>253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254</v>
      </c>
    </row>
    <row r="4" spans="1:40" ht="32.1" customHeight="1">
      <c r="A4" s="19" t="s">
        <v>255</v>
      </c>
      <c r="B4" s="19" t="s">
        <v>148</v>
      </c>
      <c r="C4" s="19" t="s">
        <v>256</v>
      </c>
    </row>
    <row r="5" spans="1:40">
      <c r="A5" s="61" t="s">
        <v>257</v>
      </c>
      <c r="B5" s="69">
        <f ca="1">Carteira!G21</f>
        <v>0</v>
      </c>
      <c r="C5" s="62" t="s">
        <v>258</v>
      </c>
      <c r="K5" s="70" t="s">
        <v>259</v>
      </c>
      <c r="L5" s="70" t="s">
        <v>260</v>
      </c>
      <c r="M5" s="70" t="s">
        <v>261</v>
      </c>
      <c r="N5" s="70" t="s">
        <v>262</v>
      </c>
      <c r="O5" s="70" t="s">
        <v>263</v>
      </c>
      <c r="P5" s="70" t="s">
        <v>244</v>
      </c>
      <c r="Q5" s="70" t="s">
        <v>264</v>
      </c>
      <c r="R5" s="70" t="s">
        <v>265</v>
      </c>
    </row>
    <row r="6" spans="1:40">
      <c r="A6" s="61" t="s">
        <v>266</v>
      </c>
      <c r="B6" s="69">
        <f>APORTE_MENSAL</f>
        <v>3000</v>
      </c>
      <c r="C6" s="62" t="s">
        <v>267</v>
      </c>
      <c r="K6" s="71">
        <v>0</v>
      </c>
      <c r="L6" s="72">
        <f t="shared" ref="L6:L37" ca="1" si="0">EDATE(TODAY(),K6)</f>
        <v>46295</v>
      </c>
      <c r="M6" s="73">
        <f ca="1">PJ_INICIAL</f>
        <v>0</v>
      </c>
      <c r="N6" s="73">
        <f ca="1">PJ_INICIAL</f>
        <v>0</v>
      </c>
      <c r="O6" s="73">
        <f ca="1">PJ_INICIAL</f>
        <v>0</v>
      </c>
      <c r="P6" s="73">
        <f ca="1">PJ_INICIAL</f>
        <v>0</v>
      </c>
      <c r="Q6" s="73">
        <f t="shared" ref="Q6:Q37" ca="1" si="1">N6*PJ_DY/12</f>
        <v>0</v>
      </c>
      <c r="R6" s="73">
        <f ca="1">PJ_INICIAL</f>
        <v>0</v>
      </c>
    </row>
    <row r="7" spans="1:40">
      <c r="A7" s="61" t="s">
        <v>268</v>
      </c>
      <c r="B7" s="74">
        <v>9.8575230667245106E-2</v>
      </c>
      <c r="C7" s="62" t="s">
        <v>269</v>
      </c>
      <c r="K7" s="71">
        <v>1</v>
      </c>
      <c r="L7" s="72">
        <f t="shared" ca="1" si="0"/>
        <v>46325</v>
      </c>
      <c r="M7" s="73">
        <f t="shared" ref="M7:M38" ca="1" si="2">M6*(1+PJ_G_PESS)^(1/12)+PJ_APORTE+PJ_REINV*M6*PJ_DY/12</f>
        <v>3000</v>
      </c>
      <c r="N7" s="73">
        <f t="shared" ref="N7:N38" ca="1" si="3">N6*(1+PJ_G_BASE)^(1/12)+PJ_APORTE+PJ_REINV*N6*PJ_DY/12</f>
        <v>3000</v>
      </c>
      <c r="O7" s="73">
        <f t="shared" ref="O7:O38" ca="1" si="4">O6*(1+PJ_G_OTIM)^(1/12)+PJ_APORTE+PJ_REINV*O6*PJ_DY/12</f>
        <v>3000</v>
      </c>
      <c r="P7" s="73">
        <f t="shared" ref="P7:P38" ca="1" si="5">P6*(1+PJ_CDI)^(1/12)+PJ_APORTE</f>
        <v>3000</v>
      </c>
      <c r="Q7" s="73">
        <f t="shared" ca="1" si="1"/>
        <v>24.643807666811274</v>
      </c>
      <c r="R7" s="73">
        <f t="shared" ref="R7:R38" ca="1" si="6">R6+PJ_APORTE</f>
        <v>3000</v>
      </c>
    </row>
    <row r="8" spans="1:40">
      <c r="A8" s="61" t="s">
        <v>270</v>
      </c>
      <c r="B8" s="75">
        <v>1</v>
      </c>
      <c r="C8" s="62" t="s">
        <v>271</v>
      </c>
      <c r="K8" s="71">
        <v>2</v>
      </c>
      <c r="L8" s="72">
        <f t="shared" ca="1" si="0"/>
        <v>46356</v>
      </c>
      <c r="M8" s="73">
        <f t="shared" ca="1" si="2"/>
        <v>6018.6977731873576</v>
      </c>
      <c r="N8" s="73">
        <f t="shared" ca="1" si="3"/>
        <v>6027.8387494836143</v>
      </c>
      <c r="O8" s="73">
        <f t="shared" ca="1" si="4"/>
        <v>6036.6835560323079</v>
      </c>
      <c r="P8" s="73">
        <f t="shared" ca="1" si="5"/>
        <v>6032.9365558505206</v>
      </c>
      <c r="Q8" s="73">
        <f t="shared" ca="1" si="1"/>
        <v>49.516299596275466</v>
      </c>
      <c r="R8" s="73">
        <f t="shared" ca="1" si="6"/>
        <v>6000</v>
      </c>
    </row>
    <row r="9" spans="1:40">
      <c r="A9" s="61" t="s">
        <v>272</v>
      </c>
      <c r="B9" s="74">
        <v>-2.352657084839983E-2</v>
      </c>
      <c r="C9" s="62" t="s">
        <v>273</v>
      </c>
      <c r="K9" s="71">
        <v>3</v>
      </c>
      <c r="L9" s="72">
        <f t="shared" ca="1" si="0"/>
        <v>46386</v>
      </c>
      <c r="M9" s="73">
        <f t="shared" ca="1" si="2"/>
        <v>9056.2098551361287</v>
      </c>
      <c r="N9" s="73">
        <f t="shared" ca="1" si="3"/>
        <v>9083.7745804417791</v>
      </c>
      <c r="O9" s="73">
        <f t="shared" ca="1" si="4"/>
        <v>9110.499229191315</v>
      </c>
      <c r="P9" s="73">
        <f t="shared" ca="1" si="5"/>
        <v>9099.1712731219923</v>
      </c>
      <c r="Q9" s="73">
        <f t="shared" ca="1" si="1"/>
        <v>74.619597883025492</v>
      </c>
      <c r="R9" s="73">
        <f t="shared" ca="1" si="6"/>
        <v>9000</v>
      </c>
    </row>
    <row r="10" spans="1:40">
      <c r="A10" s="61" t="s">
        <v>274</v>
      </c>
      <c r="B10" s="74">
        <v>1.285488976301302E-2</v>
      </c>
      <c r="C10" s="62" t="s">
        <v>275</v>
      </c>
      <c r="K10" s="71">
        <v>4</v>
      </c>
      <c r="L10" s="72">
        <f t="shared" ca="1" si="0"/>
        <v>46417</v>
      </c>
      <c r="M10" s="73">
        <f t="shared" ca="1" si="2"/>
        <v>12112.653507738947</v>
      </c>
      <c r="N10" s="73">
        <f t="shared" ca="1" si="3"/>
        <v>12168.068222078628</v>
      </c>
      <c r="O10" s="73">
        <f t="shared" ca="1" si="4"/>
        <v>12221.901065510096</v>
      </c>
      <c r="P10" s="73">
        <f t="shared" ca="1" si="5"/>
        <v>12199.06972739887</v>
      </c>
      <c r="Q10" s="73">
        <f t="shared" ca="1" si="1"/>
        <v>99.955844313847976</v>
      </c>
      <c r="R10" s="73">
        <f t="shared" ca="1" si="6"/>
        <v>12000</v>
      </c>
    </row>
    <row r="11" spans="1:40">
      <c r="A11" s="61" t="s">
        <v>276</v>
      </c>
      <c r="B11" s="74">
        <v>4.9236350374425877E-2</v>
      </c>
      <c r="C11" s="62" t="s">
        <v>277</v>
      </c>
      <c r="K11" s="71">
        <v>5</v>
      </c>
      <c r="L11" s="72">
        <f t="shared" ca="1" si="0"/>
        <v>46446</v>
      </c>
      <c r="M11" s="73">
        <f t="shared" ca="1" si="2"/>
        <v>15188.146723733867</v>
      </c>
      <c r="N11" s="73">
        <f t="shared" ca="1" si="3"/>
        <v>15280.982823056622</v>
      </c>
      <c r="O11" s="73">
        <f t="shared" ca="1" si="4"/>
        <v>15371.348663029417</v>
      </c>
      <c r="P11" s="73">
        <f t="shared" ca="1" si="5"/>
        <v>15333.001507865825</v>
      </c>
      <c r="Q11" s="73">
        <f t="shared" ca="1" si="1"/>
        <v>125.52720055041806</v>
      </c>
      <c r="R11" s="73">
        <f t="shared" ca="1" si="6"/>
        <v>15000</v>
      </c>
    </row>
    <row r="12" spans="1:40">
      <c r="A12" s="61" t="s">
        <v>278</v>
      </c>
      <c r="B12" s="74">
        <v>0.14000000000000001</v>
      </c>
      <c r="C12" s="62" t="s">
        <v>279</v>
      </c>
      <c r="K12" s="71">
        <v>6</v>
      </c>
      <c r="L12" s="72">
        <f t="shared" ca="1" si="0"/>
        <v>46476</v>
      </c>
      <c r="M12" s="73">
        <f t="shared" ca="1" si="2"/>
        <v>18282.808231259431</v>
      </c>
      <c r="N12" s="73">
        <f t="shared" ca="1" si="3"/>
        <v>18422.783973948121</v>
      </c>
      <c r="O12" s="73">
        <f t="shared" ca="1" si="4"/>
        <v>18559.307239686881</v>
      </c>
      <c r="P12" s="73">
        <f t="shared" ca="1" si="5"/>
        <v>18501.340261372468</v>
      </c>
      <c r="Q12" s="73">
        <f t="shared" ca="1" si="1"/>
        <v>151.3358483137302</v>
      </c>
      <c r="R12" s="73">
        <f t="shared" ca="1" si="6"/>
        <v>18000</v>
      </c>
    </row>
    <row r="13" spans="1:40">
      <c r="A13" s="61" t="s">
        <v>280</v>
      </c>
      <c r="B13" s="69">
        <f>META_MENSAL*COUNTIF(Carteira!A5:A20,"?*")</f>
        <v>17584</v>
      </c>
      <c r="C13" s="62" t="s">
        <v>281</v>
      </c>
      <c r="K13" s="71">
        <v>7</v>
      </c>
      <c r="L13" s="72">
        <f t="shared" ca="1" si="0"/>
        <v>46507</v>
      </c>
      <c r="M13" s="73">
        <f t="shared" ca="1" si="2"/>
        <v>21396.757498438117</v>
      </c>
      <c r="N13" s="73">
        <f t="shared" ca="1" si="3"/>
        <v>21593.739729895286</v>
      </c>
      <c r="O13" s="73">
        <f t="shared" ca="1" si="4"/>
        <v>21786.247702036173</v>
      </c>
      <c r="P13" s="73">
        <f t="shared" ca="1" si="5"/>
        <v>21704.463736981859</v>
      </c>
      <c r="Q13" s="73">
        <f t="shared" ca="1" si="1"/>
        <v>177.38398957024023</v>
      </c>
      <c r="R13" s="73">
        <f t="shared" ca="1" si="6"/>
        <v>21000</v>
      </c>
    </row>
    <row r="14" spans="1:40">
      <c r="K14" s="71">
        <v>8</v>
      </c>
      <c r="L14" s="72">
        <f t="shared" ca="1" si="0"/>
        <v>46537</v>
      </c>
      <c r="M14" s="73">
        <f t="shared" ca="1" si="2"/>
        <v>24530.114737988351</v>
      </c>
      <c r="N14" s="73">
        <f t="shared" ca="1" si="3"/>
        <v>24794.120633480263</v>
      </c>
      <c r="O14" s="73">
        <f t="shared" ca="1" si="4"/>
        <v>25052.64671480664</v>
      </c>
      <c r="P14" s="73">
        <f t="shared" ca="1" si="5"/>
        <v>24942.753831008093</v>
      </c>
      <c r="Q14" s="73">
        <f t="shared" ca="1" si="1"/>
        <v>203.67384671973488</v>
      </c>
      <c r="R14" s="73">
        <f t="shared" ca="1" si="6"/>
        <v>24000</v>
      </c>
    </row>
    <row r="15" spans="1:40">
      <c r="K15" s="71">
        <v>9</v>
      </c>
      <c r="L15" s="72">
        <f t="shared" ca="1" si="0"/>
        <v>46568</v>
      </c>
      <c r="M15" s="73">
        <f t="shared" ca="1" si="2"/>
        <v>27683.000911865274</v>
      </c>
      <c r="N15" s="73">
        <f t="shared" ca="1" si="3"/>
        <v>28024.19973780759</v>
      </c>
      <c r="O15" s="73">
        <f t="shared" ca="1" si="4"/>
        <v>28358.986771313386</v>
      </c>
      <c r="P15" s="73">
        <f t="shared" ca="1" si="5"/>
        <v>28216.596632548353</v>
      </c>
      <c r="Q15" s="73">
        <f t="shared" ca="1" si="1"/>
        <v>230.20766278494443</v>
      </c>
      <c r="R15" s="73">
        <f t="shared" ca="1" si="6"/>
        <v>27000</v>
      </c>
    </row>
    <row r="16" spans="1:40" ht="32.1" customHeight="1">
      <c r="A16" s="19" t="s">
        <v>238</v>
      </c>
      <c r="B16" s="19" t="s">
        <v>261</v>
      </c>
      <c r="C16" s="19" t="s">
        <v>262</v>
      </c>
      <c r="D16" s="19" t="s">
        <v>263</v>
      </c>
      <c r="E16" s="19" t="s">
        <v>244</v>
      </c>
      <c r="F16" s="19" t="s">
        <v>264</v>
      </c>
      <c r="G16" s="19" t="s">
        <v>265</v>
      </c>
      <c r="H16" s="19" t="s">
        <v>282</v>
      </c>
      <c r="I16" s="19" t="s">
        <v>283</v>
      </c>
      <c r="K16" s="71">
        <v>10</v>
      </c>
      <c r="L16" s="72">
        <f t="shared" ca="1" si="0"/>
        <v>46598</v>
      </c>
      <c r="M16" s="73">
        <f t="shared" ca="1" si="2"/>
        <v>30855.537735930437</v>
      </c>
      <c r="N16" s="73">
        <f t="shared" ca="1" si="3"/>
        <v>31284.252629800794</v>
      </c>
      <c r="O16" s="73">
        <f t="shared" ca="1" si="4"/>
        <v>31705.756264728374</v>
      </c>
      <c r="P16" s="73">
        <f t="shared" ca="1" si="5"/>
        <v>31526.382469514865</v>
      </c>
      <c r="Q16" s="73">
        <f t="shared" ca="1" si="1"/>
        <v>256.98770160291525</v>
      </c>
      <c r="R16" s="73">
        <f t="shared" ca="1" si="6"/>
        <v>30000</v>
      </c>
    </row>
    <row r="17" spans="1:18">
      <c r="A17" s="76">
        <v>1</v>
      </c>
      <c r="B17" s="37">
        <f t="shared" ref="B17:G17" ca="1" si="7">M18</f>
        <v>37260.05399582567</v>
      </c>
      <c r="C17" s="37">
        <f t="shared" ca="1" si="7"/>
        <v>37895.394934868782</v>
      </c>
      <c r="D17" s="37">
        <f t="shared" ca="1" si="7"/>
        <v>38522.567067992808</v>
      </c>
      <c r="E17" s="37">
        <f t="shared" ca="1" si="7"/>
        <v>38255.366035185587</v>
      </c>
      <c r="F17" s="37">
        <f t="shared" ca="1" si="7"/>
        <v>311.29560807758685</v>
      </c>
      <c r="G17" s="37">
        <f t="shared" ca="1" si="7"/>
        <v>36000</v>
      </c>
      <c r="H17" s="37">
        <f t="shared" ref="H17:H26" ca="1" si="8">C17-E17</f>
        <v>-359.97110031680495</v>
      </c>
      <c r="I17" s="34">
        <f t="shared" ref="I17:I26" ca="1" si="9">IF(PJ_META&gt;0,F17/PJ_META,0)</f>
        <v>1.7703344408415995E-2</v>
      </c>
      <c r="K17" s="71">
        <v>11</v>
      </c>
      <c r="L17" s="72">
        <f t="shared" ca="1" si="0"/>
        <v>46629</v>
      </c>
      <c r="M17" s="73">
        <f t="shared" ca="1" si="2"/>
        <v>34047.847684650565</v>
      </c>
      <c r="N17" s="73">
        <f t="shared" ca="1" si="3"/>
        <v>34574.55745371517</v>
      </c>
      <c r="O17" s="73">
        <f t="shared" ca="1" si="4"/>
        <v>35093.449560223002</v>
      </c>
      <c r="P17" s="73">
        <f t="shared" ca="1" si="5"/>
        <v>34872.505955172208</v>
      </c>
      <c r="Q17" s="73">
        <f t="shared" ca="1" si="1"/>
        <v>284.01624801815763</v>
      </c>
      <c r="R17" s="73">
        <f t="shared" ca="1" si="6"/>
        <v>33000</v>
      </c>
    </row>
    <row r="18" spans="1:18">
      <c r="A18" s="77">
        <v>2</v>
      </c>
      <c r="B18" s="27">
        <f t="shared" ref="B18:G18" ca="1" si="10">M30</f>
        <v>77404.367531057913</v>
      </c>
      <c r="C18" s="27">
        <f t="shared" ca="1" si="10"/>
        <v>80232.805562252019</v>
      </c>
      <c r="D18" s="27">
        <f t="shared" ca="1" si="10"/>
        <v>83093.796726448258</v>
      </c>
      <c r="E18" s="27">
        <f t="shared" ca="1" si="10"/>
        <v>81866.483315297126</v>
      </c>
      <c r="F18" s="27">
        <f t="shared" ca="1" si="10"/>
        <v>659.08060961493493</v>
      </c>
      <c r="G18" s="27">
        <f t="shared" ca="1" si="10"/>
        <v>72000</v>
      </c>
      <c r="H18" s="27">
        <f t="shared" ca="1" si="8"/>
        <v>-1633.6777530451072</v>
      </c>
      <c r="I18" s="24">
        <f t="shared" ca="1" si="9"/>
        <v>3.7481836306581834E-2</v>
      </c>
      <c r="K18" s="71">
        <v>12</v>
      </c>
      <c r="L18" s="72">
        <f t="shared" ca="1" si="0"/>
        <v>46660</v>
      </c>
      <c r="M18" s="73">
        <f t="shared" ca="1" si="2"/>
        <v>37260.05399582567</v>
      </c>
      <c r="N18" s="73">
        <f t="shared" ca="1" si="3"/>
        <v>37895.394934868782</v>
      </c>
      <c r="O18" s="73">
        <f t="shared" ca="1" si="4"/>
        <v>38522.567067992808</v>
      </c>
      <c r="P18" s="73">
        <f t="shared" ca="1" si="5"/>
        <v>38255.366035185587</v>
      </c>
      <c r="Q18" s="73">
        <f t="shared" ca="1" si="1"/>
        <v>311.29560807758685</v>
      </c>
      <c r="R18" s="73">
        <f t="shared" ca="1" si="6"/>
        <v>36000</v>
      </c>
    </row>
    <row r="19" spans="1:18">
      <c r="A19" s="76">
        <v>3</v>
      </c>
      <c r="B19" s="37">
        <f t="shared" ref="B19:G19" ca="1" si="11">M42</f>
        <v>120656.20794426765</v>
      </c>
      <c r="C19" s="37">
        <f t="shared" ca="1" si="11"/>
        <v>127532.9152909507</v>
      </c>
      <c r="D19" s="37">
        <f t="shared" ca="1" si="11"/>
        <v>134663.4262830771</v>
      </c>
      <c r="E19" s="37">
        <f t="shared" ca="1" si="11"/>
        <v>131583.15701462419</v>
      </c>
      <c r="F19" s="37">
        <f t="shared" ca="1" si="11"/>
        <v>1047.6322118726414</v>
      </c>
      <c r="G19" s="37">
        <f t="shared" ca="1" si="11"/>
        <v>108000</v>
      </c>
      <c r="H19" s="37">
        <f t="shared" ca="1" si="8"/>
        <v>-4050.2417236734909</v>
      </c>
      <c r="I19" s="34">
        <f t="shared" ca="1" si="9"/>
        <v>5.9578719965459589E-2</v>
      </c>
      <c r="K19" s="71">
        <v>13</v>
      </c>
      <c r="L19" s="72">
        <f t="shared" ca="1" si="0"/>
        <v>46690</v>
      </c>
      <c r="M19" s="73">
        <f t="shared" ca="1" si="2"/>
        <v>40492.280675346563</v>
      </c>
      <c r="N19" s="73">
        <f t="shared" ca="1" si="3"/>
        <v>41247.048403593595</v>
      </c>
      <c r="O19" s="73">
        <f t="shared" ca="1" si="4"/>
        <v>41993.615317175165</v>
      </c>
      <c r="P19" s="73">
        <f t="shared" ca="1" si="5"/>
        <v>41675.366035185587</v>
      </c>
      <c r="Q19" s="73">
        <f t="shared" ca="1" si="1"/>
        <v>338.82810922727191</v>
      </c>
      <c r="R19" s="73">
        <f t="shared" ca="1" si="6"/>
        <v>39000</v>
      </c>
    </row>
    <row r="20" spans="1:18">
      <c r="A20" s="77">
        <v>4</v>
      </c>
      <c r="B20" s="27">
        <f t="shared" ref="B20:G20" ca="1" si="12">M54</f>
        <v>167256.12545158641</v>
      </c>
      <c r="C20" s="27">
        <f t="shared" ca="1" si="12"/>
        <v>180377.44090536979</v>
      </c>
      <c r="D20" s="27">
        <f t="shared" ca="1" si="12"/>
        <v>194330.31707758343</v>
      </c>
      <c r="E20" s="27">
        <f t="shared" ca="1" si="12"/>
        <v>188260.16503185703</v>
      </c>
      <c r="F20" s="27">
        <f t="shared" ca="1" si="12"/>
        <v>1481.7289870345166</v>
      </c>
      <c r="G20" s="27">
        <f t="shared" ca="1" si="12"/>
        <v>144000</v>
      </c>
      <c r="H20" s="27">
        <f t="shared" ca="1" si="8"/>
        <v>-7882.7241264872428</v>
      </c>
      <c r="I20" s="24">
        <f t="shared" ca="1" si="9"/>
        <v>8.4265752219888343E-2</v>
      </c>
      <c r="K20" s="71">
        <v>14</v>
      </c>
      <c r="L20" s="72">
        <f t="shared" ca="1" si="0"/>
        <v>46721</v>
      </c>
      <c r="M20" s="73">
        <f t="shared" ca="1" si="2"/>
        <v>43744.652501982055</v>
      </c>
      <c r="N20" s="73">
        <f t="shared" ca="1" si="3"/>
        <v>44629.80381940899</v>
      </c>
      <c r="O20" s="73">
        <f t="shared" ca="1" si="4"/>
        <v>45507.10703067077</v>
      </c>
      <c r="P20" s="73">
        <f t="shared" ca="1" si="5"/>
        <v>45132.91370885518</v>
      </c>
      <c r="Q20" s="73">
        <f t="shared" ca="1" si="1"/>
        <v>366.61610051101144</v>
      </c>
      <c r="R20" s="73">
        <f t="shared" ca="1" si="6"/>
        <v>42000</v>
      </c>
    </row>
    <row r="21" spans="1:18">
      <c r="A21" s="76">
        <v>5</v>
      </c>
      <c r="B21" s="37">
        <f t="shared" ref="B21:G21" ca="1" si="13">M66</f>
        <v>217463.29099512921</v>
      </c>
      <c r="C21" s="37">
        <f t="shared" ca="1" si="13"/>
        <v>239416.28676493152</v>
      </c>
      <c r="D21" s="37">
        <f t="shared" ca="1" si="13"/>
        <v>263365.86935305881</v>
      </c>
      <c r="E21" s="37">
        <f t="shared" ca="1" si="13"/>
        <v>252871.95417150244</v>
      </c>
      <c r="F21" s="37">
        <f t="shared" ca="1" si="13"/>
        <v>1966.7096411123687</v>
      </c>
      <c r="G21" s="37">
        <f t="shared" ca="1" si="13"/>
        <v>180000</v>
      </c>
      <c r="H21" s="37">
        <f t="shared" ca="1" si="8"/>
        <v>-13455.667406570923</v>
      </c>
      <c r="I21" s="34">
        <f t="shared" ca="1" si="9"/>
        <v>0.11184654464924754</v>
      </c>
      <c r="K21" s="71">
        <v>15</v>
      </c>
      <c r="L21" s="72">
        <f t="shared" ca="1" si="0"/>
        <v>46751</v>
      </c>
      <c r="M21" s="73">
        <f t="shared" ca="1" si="2"/>
        <v>47017.295032196009</v>
      </c>
      <c r="N21" s="73">
        <f t="shared" ca="1" si="3"/>
        <v>48043.949795419452</v>
      </c>
      <c r="O21" s="73">
        <f t="shared" ca="1" si="4"/>
        <v>49063.561200880053</v>
      </c>
      <c r="P21" s="73">
        <f t="shared" ca="1" si="5"/>
        <v>48628.421286544653</v>
      </c>
      <c r="Q21" s="73">
        <f t="shared" ca="1" si="1"/>
        <v>394.66195277075127</v>
      </c>
      <c r="R21" s="73">
        <f t="shared" ca="1" si="6"/>
        <v>45000</v>
      </c>
    </row>
    <row r="22" spans="1:18">
      <c r="A22" s="77">
        <v>6</v>
      </c>
      <c r="B22" s="27">
        <f t="shared" ref="B22:G22" ca="1" si="14">M78</f>
        <v>271556.93765278271</v>
      </c>
      <c r="C22" s="27">
        <f t="shared" ca="1" si="14"/>
        <v>305375.53760316817</v>
      </c>
      <c r="D22" s="27">
        <f t="shared" ca="1" si="14"/>
        <v>343241.11363876751</v>
      </c>
      <c r="E22" s="27">
        <f t="shared" ca="1" si="14"/>
        <v>326529.39379069814</v>
      </c>
      <c r="F22" s="27">
        <f t="shared" ca="1" si="14"/>
        <v>2508.5386716138569</v>
      </c>
      <c r="G22" s="27">
        <f t="shared" ca="1" si="14"/>
        <v>216000</v>
      </c>
      <c r="H22" s="27">
        <f t="shared" ca="1" si="8"/>
        <v>-21153.856187529978</v>
      </c>
      <c r="I22" s="24">
        <f t="shared" ca="1" si="9"/>
        <v>0.14266029752126119</v>
      </c>
      <c r="K22" s="71">
        <v>16</v>
      </c>
      <c r="L22" s="72">
        <f t="shared" ca="1" si="0"/>
        <v>46782</v>
      </c>
      <c r="M22" s="73">
        <f t="shared" ca="1" si="2"/>
        <v>50310.334604994379</v>
      </c>
      <c r="N22" s="73">
        <f t="shared" ca="1" si="3"/>
        <v>51489.777622938796</v>
      </c>
      <c r="O22" s="73">
        <f t="shared" ca="1" si="4"/>
        <v>52663.503166365743</v>
      </c>
      <c r="P22" s="73">
        <f t="shared" ca="1" si="5"/>
        <v>52162.305524420291</v>
      </c>
      <c r="Q22" s="73">
        <f t="shared" ca="1" si="1"/>
        <v>422.96805884886226</v>
      </c>
      <c r="R22" s="73">
        <f t="shared" ca="1" si="6"/>
        <v>48000</v>
      </c>
    </row>
    <row r="23" spans="1:18">
      <c r="A23" s="76">
        <v>7</v>
      </c>
      <c r="B23" s="37">
        <f t="shared" ref="B23:G23" ca="1" si="15">M90</f>
        <v>329837.91362593073</v>
      </c>
      <c r="C23" s="37">
        <f t="shared" ca="1" si="15"/>
        <v>379066.38822532352</v>
      </c>
      <c r="D23" s="37">
        <f t="shared" ca="1" si="15"/>
        <v>435658.05591574166</v>
      </c>
      <c r="E23" s="37">
        <f t="shared" ca="1" si="15"/>
        <v>410498.87495658104</v>
      </c>
      <c r="F23" s="37">
        <f t="shared" ca="1" si="15"/>
        <v>3113.8797214592291</v>
      </c>
      <c r="G23" s="37">
        <f t="shared" ca="1" si="15"/>
        <v>252000</v>
      </c>
      <c r="H23" s="37">
        <f t="shared" ca="1" si="8"/>
        <v>-31432.486731257522</v>
      </c>
      <c r="I23" s="34">
        <f t="shared" ca="1" si="9"/>
        <v>0.17708597142056581</v>
      </c>
      <c r="K23" s="71">
        <v>17</v>
      </c>
      <c r="L23" s="72">
        <f t="shared" ca="1" si="0"/>
        <v>46812</v>
      </c>
      <c r="M23" s="73">
        <f t="shared" ca="1" si="2"/>
        <v>53623.898346802474</v>
      </c>
      <c r="N23" s="73">
        <f t="shared" ca="1" si="3"/>
        <v>54967.581296342803</v>
      </c>
      <c r="O23" s="73">
        <f t="shared" ca="1" si="4"/>
        <v>56307.464689452754</v>
      </c>
      <c r="P23" s="73">
        <f t="shared" ca="1" si="5"/>
        <v>55734.987754152615</v>
      </c>
      <c r="Q23" s="73">
        <f t="shared" ca="1" si="1"/>
        <v>451.536833792295</v>
      </c>
      <c r="R23" s="73">
        <f t="shared" ca="1" si="6"/>
        <v>51000</v>
      </c>
    </row>
    <row r="24" spans="1:18">
      <c r="A24" s="77">
        <v>8</v>
      </c>
      <c r="B24" s="27">
        <f t="shared" ref="B24:G24" ca="1" si="16">M102</f>
        <v>392630.35544223903</v>
      </c>
      <c r="C24" s="27">
        <f t="shared" ca="1" si="16"/>
        <v>461395.11992566678</v>
      </c>
      <c r="D24" s="27">
        <f t="shared" ca="1" si="16"/>
        <v>542585.94447750098</v>
      </c>
      <c r="E24" s="27">
        <f t="shared" ca="1" si="16"/>
        <v>506224.08348568768</v>
      </c>
      <c r="F24" s="27">
        <f t="shared" ca="1" si="16"/>
        <v>3790.1775312844852</v>
      </c>
      <c r="G24" s="27">
        <f t="shared" ca="1" si="16"/>
        <v>288000</v>
      </c>
      <c r="H24" s="27">
        <f t="shared" ca="1" si="8"/>
        <v>-44828.9635600209</v>
      </c>
      <c r="I24" s="24">
        <f t="shared" ca="1" si="9"/>
        <v>0.21554694786649711</v>
      </c>
      <c r="K24" s="71">
        <v>18</v>
      </c>
      <c r="L24" s="72">
        <f t="shared" ca="1" si="0"/>
        <v>46842</v>
      </c>
      <c r="M24" s="73">
        <f t="shared" ca="1" si="2"/>
        <v>56958.114176372626</v>
      </c>
      <c r="N24" s="73">
        <f t="shared" ca="1" si="3"/>
        <v>58477.657538152504</v>
      </c>
      <c r="O24" s="73">
        <f t="shared" ca="1" si="4"/>
        <v>59995.984034777008</v>
      </c>
      <c r="P24" s="73">
        <f t="shared" ca="1" si="5"/>
        <v>59346.89393315019</v>
      </c>
      <c r="Q24" s="73">
        <f t="shared" ca="1" si="1"/>
        <v>480.370715058629</v>
      </c>
      <c r="R24" s="73">
        <f t="shared" ca="1" si="6"/>
        <v>54000</v>
      </c>
    </row>
    <row r="25" spans="1:18">
      <c r="A25" s="76">
        <v>9</v>
      </c>
      <c r="B25" s="37">
        <f t="shared" ref="B25:G25" ca="1" si="17">M114</f>
        <v>460283.49067921733</v>
      </c>
      <c r="C25" s="37">
        <f t="shared" ca="1" si="17"/>
        <v>553374.24631872331</v>
      </c>
      <c r="D25" s="37">
        <f t="shared" ca="1" si="17"/>
        <v>666303.23127118789</v>
      </c>
      <c r="E25" s="37">
        <f t="shared" ca="1" si="17"/>
        <v>615350.82120886887</v>
      </c>
      <c r="F25" s="37">
        <f t="shared" ca="1" si="17"/>
        <v>4545.7494980150886</v>
      </c>
      <c r="G25" s="37">
        <f t="shared" ca="1" si="17"/>
        <v>324000</v>
      </c>
      <c r="H25" s="37">
        <f t="shared" ca="1" si="8"/>
        <v>-61976.574890145566</v>
      </c>
      <c r="I25" s="34">
        <f t="shared" ca="1" si="9"/>
        <v>0.25851623623834674</v>
      </c>
      <c r="K25" s="71">
        <v>19</v>
      </c>
      <c r="L25" s="72">
        <f t="shared" ca="1" si="0"/>
        <v>46873</v>
      </c>
      <c r="M25" s="73">
        <f t="shared" ca="1" si="2"/>
        <v>60313.11080972245</v>
      </c>
      <c r="N25" s="73">
        <f t="shared" ca="1" si="3"/>
        <v>62020.305824350246</v>
      </c>
      <c r="O25" s="73">
        <f t="shared" ca="1" si="4"/>
        <v>63729.606048794747</v>
      </c>
      <c r="P25" s="73">
        <f t="shared" ca="1" si="5"/>
        <v>62998.454695344895</v>
      </c>
      <c r="Q25" s="73">
        <f t="shared" ca="1" si="1"/>
        <v>509.47216272403421</v>
      </c>
      <c r="R25" s="73">
        <f t="shared" ca="1" si="6"/>
        <v>57000</v>
      </c>
    </row>
    <row r="26" spans="1:18">
      <c r="A26" s="77">
        <v>10</v>
      </c>
      <c r="B26" s="27">
        <f t="shared" ref="B26:G26" ca="1" si="18">M126</f>
        <v>533173.58023461618</v>
      </c>
      <c r="C26" s="27">
        <f t="shared" ca="1" si="18"/>
        <v>656134.96566057904</v>
      </c>
      <c r="D26" s="27">
        <f t="shared" ca="1" si="18"/>
        <v>809446.12184412766</v>
      </c>
      <c r="E26" s="27">
        <f t="shared" ca="1" si="18"/>
        <v>739755.30221329536</v>
      </c>
      <c r="F26" s="27">
        <f t="shared" ca="1" si="18"/>
        <v>5389.8879657363768</v>
      </c>
      <c r="G26" s="27">
        <f t="shared" ca="1" si="18"/>
        <v>360000</v>
      </c>
      <c r="H26" s="27">
        <f t="shared" ca="1" si="8"/>
        <v>-83620.336552716326</v>
      </c>
      <c r="I26" s="24">
        <f t="shared" ca="1" si="9"/>
        <v>0.3065222910450624</v>
      </c>
      <c r="K26" s="71">
        <v>20</v>
      </c>
      <c r="L26" s="72">
        <f t="shared" ca="1" si="0"/>
        <v>46903</v>
      </c>
      <c r="M26" s="73">
        <f t="shared" ca="1" si="2"/>
        <v>63689.017765103847</v>
      </c>
      <c r="N26" s="73">
        <f t="shared" ca="1" si="3"/>
        <v>65595.828409930662</v>
      </c>
      <c r="O26" s="73">
        <f t="shared" ca="1" si="4"/>
        <v>67508.882240264051</v>
      </c>
      <c r="P26" s="73">
        <f t="shared" ca="1" si="5"/>
        <v>66690.105402534798</v>
      </c>
      <c r="Q26" s="73">
        <f t="shared" ca="1" si="1"/>
        <v>538.84365969316207</v>
      </c>
      <c r="R26" s="73">
        <f t="shared" ca="1" si="6"/>
        <v>60000</v>
      </c>
    </row>
    <row r="27" spans="1:18">
      <c r="K27" s="71">
        <v>21</v>
      </c>
      <c r="L27" s="72">
        <f t="shared" ca="1" si="0"/>
        <v>46934</v>
      </c>
      <c r="M27" s="73">
        <f t="shared" ca="1" si="2"/>
        <v>67085.965368003017</v>
      </c>
      <c r="N27" s="73">
        <f t="shared" ca="1" si="3"/>
        <v>69204.53035468873</v>
      </c>
      <c r="O27" s="73">
        <f t="shared" ca="1" si="4"/>
        <v>71334.370861710457</v>
      </c>
      <c r="P27" s="73">
        <f t="shared" ca="1" si="5"/>
        <v>70422.28619629069</v>
      </c>
      <c r="Q27" s="73">
        <f t="shared" ca="1" si="1"/>
        <v>568.48771191098388</v>
      </c>
      <c r="R27" s="73">
        <f t="shared" ca="1" si="6"/>
        <v>63000</v>
      </c>
    </row>
    <row r="28" spans="1:18">
      <c r="A28" s="61" t="s">
        <v>284</v>
      </c>
      <c r="B28" s="78" t="str">
        <f ca="1">IF(PJ_META&lt;=0,"-",IF(COUNTIF(Q6:Q126,"&lt;"&amp;PJ_META)&gt;120,"além de 10 anos",COUNTIF(Q6:Q126,"&lt;"&amp;PJ_META)))</f>
        <v>além de 10 anos</v>
      </c>
      <c r="K28" s="71">
        <v>22</v>
      </c>
      <c r="L28" s="72">
        <f t="shared" ca="1" si="0"/>
        <v>46964</v>
      </c>
      <c r="M28" s="73">
        <f t="shared" ca="1" si="2"/>
        <v>70504.084756171651</v>
      </c>
      <c r="N28" s="73">
        <f t="shared" ca="1" si="3"/>
        <v>72846.719549247195</v>
      </c>
      <c r="O28" s="73">
        <f t="shared" ca="1" si="4"/>
        <v>75206.636991888794</v>
      </c>
      <c r="P28" s="73">
        <f t="shared" ca="1" si="5"/>
        <v>74195.44205043251</v>
      </c>
      <c r="Q28" s="73">
        <f t="shared" ca="1" si="1"/>
        <v>598.4068485765963</v>
      </c>
      <c r="R28" s="73">
        <f t="shared" ca="1" si="6"/>
        <v>66000</v>
      </c>
    </row>
    <row r="29" spans="1:18">
      <c r="A29" s="61" t="s">
        <v>285</v>
      </c>
      <c r="B29" s="53">
        <f ca="1">Q126</f>
        <v>5389.8879657363768</v>
      </c>
      <c r="K29" s="71">
        <v>23</v>
      </c>
      <c r="L29" s="72">
        <f t="shared" ca="1" si="0"/>
        <v>46995</v>
      </c>
      <c r="M29" s="73">
        <f t="shared" ca="1" si="2"/>
        <v>73943.507884689388</v>
      </c>
      <c r="N29" s="73">
        <f t="shared" ca="1" si="3"/>
        <v>76522.706741325397</v>
      </c>
      <c r="O29" s="73">
        <f t="shared" ca="1" si="4"/>
        <v>79126.252619253268</v>
      </c>
      <c r="P29" s="73">
        <f t="shared" ca="1" si="5"/>
        <v>78010.022824081883</v>
      </c>
      <c r="Q29" s="73">
        <f t="shared" ca="1" si="1"/>
        <v>628.60362235900857</v>
      </c>
      <c r="R29" s="73">
        <f t="shared" ca="1" si="6"/>
        <v>69000</v>
      </c>
    </row>
    <row r="30" spans="1:18">
      <c r="K30" s="71">
        <v>24</v>
      </c>
      <c r="L30" s="72">
        <f t="shared" ca="1" si="0"/>
        <v>47026</v>
      </c>
      <c r="M30" s="73">
        <f t="shared" ca="1" si="2"/>
        <v>77404.367531057913</v>
      </c>
      <c r="N30" s="73">
        <f t="shared" ca="1" si="3"/>
        <v>80232.805562252019</v>
      </c>
      <c r="O30" s="73">
        <f t="shared" ca="1" si="4"/>
        <v>83093.796726448258</v>
      </c>
      <c r="P30" s="73">
        <f t="shared" ca="1" si="5"/>
        <v>81866.483315297126</v>
      </c>
      <c r="Q30" s="73">
        <f t="shared" ca="1" si="1"/>
        <v>659.08060961493493</v>
      </c>
      <c r="R30" s="73">
        <f t="shared" ca="1" si="6"/>
        <v>72000</v>
      </c>
    </row>
    <row r="31" spans="1:18">
      <c r="K31" s="71">
        <v>25</v>
      </c>
      <c r="L31" s="72">
        <f t="shared" ca="1" si="0"/>
        <v>47056</v>
      </c>
      <c r="M31" s="73">
        <f t="shared" ca="1" si="2"/>
        <v>80886.797300326783</v>
      </c>
      <c r="N31" s="73">
        <f t="shared" ca="1" si="3"/>
        <v>83977.332553723711</v>
      </c>
      <c r="O31" s="73">
        <f t="shared" ca="1" si="4"/>
        <v>87109.855375832223</v>
      </c>
      <c r="P31" s="73">
        <f t="shared" ca="1" si="5"/>
        <v>85765.283315297114</v>
      </c>
      <c r="Q31" s="73">
        <f t="shared" ca="1" si="1"/>
        <v>689.84041060860545</v>
      </c>
      <c r="R31" s="73">
        <f t="shared" ca="1" si="6"/>
        <v>75000</v>
      </c>
    </row>
    <row r="32" spans="1:18">
      <c r="K32" s="71">
        <v>26</v>
      </c>
      <c r="L32" s="72">
        <f t="shared" ca="1" si="0"/>
        <v>47087</v>
      </c>
      <c r="M32" s="73">
        <f t="shared" ca="1" si="2"/>
        <v>84390.931630251231</v>
      </c>
      <c r="N32" s="73">
        <f t="shared" ca="1" si="3"/>
        <v>87756.607194812153</v>
      </c>
      <c r="O32" s="73">
        <f t="shared" ca="1" si="4"/>
        <v>91175.021796047426</v>
      </c>
      <c r="P32" s="73">
        <f t="shared" ca="1" si="5"/>
        <v>89706.887663280446</v>
      </c>
      <c r="Q32" s="73">
        <f t="shared" ca="1" si="1"/>
        <v>720.88564973361918</v>
      </c>
      <c r="R32" s="73">
        <f t="shared" ca="1" si="6"/>
        <v>78000</v>
      </c>
    </row>
    <row r="33" spans="11:18">
      <c r="K33" s="71">
        <v>27</v>
      </c>
      <c r="L33" s="72">
        <f t="shared" ca="1" si="0"/>
        <v>47117</v>
      </c>
      <c r="M33" s="73">
        <f t="shared" ca="1" si="2"/>
        <v>87916.905796481995</v>
      </c>
      <c r="N33" s="73">
        <f t="shared" ca="1" si="3"/>
        <v>91570.951929221614</v>
      </c>
      <c r="O33" s="73">
        <f t="shared" ca="1" si="4"/>
        <v>95289.896469648171</v>
      </c>
      <c r="P33" s="73">
        <f t="shared" ca="1" si="5"/>
        <v>93691.766301846437</v>
      </c>
      <c r="Q33" s="73">
        <f t="shared" ca="1" si="1"/>
        <v>752.21897573685283</v>
      </c>
      <c r="R33" s="73">
        <f t="shared" ca="1" si="6"/>
        <v>81000</v>
      </c>
    </row>
    <row r="34" spans="11:18">
      <c r="K34" s="71">
        <v>28</v>
      </c>
      <c r="L34" s="72">
        <f t="shared" ca="1" si="0"/>
        <v>47148</v>
      </c>
      <c r="M34" s="73">
        <f t="shared" ca="1" si="2"/>
        <v>91464.855917787645</v>
      </c>
      <c r="N34" s="73">
        <f t="shared" ca="1" si="3"/>
        <v>95420.692192799514</v>
      </c>
      <c r="O34" s="73">
        <f t="shared" ca="1" si="4"/>
        <v>99455.087221800568</v>
      </c>
      <c r="P34" s="73">
        <f t="shared" ca="1" si="5"/>
        <v>97720.394333024655</v>
      </c>
      <c r="Q34" s="73">
        <f t="shared" ca="1" si="1"/>
        <v>783.8430619444506</v>
      </c>
      <c r="R34" s="73">
        <f t="shared" ca="1" si="6"/>
        <v>84000</v>
      </c>
    </row>
    <row r="35" spans="11:18">
      <c r="K35" s="71">
        <v>29</v>
      </c>
      <c r="L35" s="72">
        <f t="shared" ca="1" si="0"/>
        <v>47177</v>
      </c>
      <c r="M35" s="73">
        <f t="shared" ca="1" si="2"/>
        <v>95034.918961309377</v>
      </c>
      <c r="N35" s="73">
        <f t="shared" ca="1" si="3"/>
        <v>99306.15644130233</v>
      </c>
      <c r="O35" s="73">
        <f t="shared" ca="1" si="4"/>
        <v>103671.20931006692</v>
      </c>
      <c r="P35" s="73">
        <f t="shared" ca="1" si="5"/>
        <v>101793.2520749195</v>
      </c>
      <c r="Q35" s="73">
        <f t="shared" ca="1" si="1"/>
        <v>815.76060648990881</v>
      </c>
      <c r="R35" s="73">
        <f t="shared" ca="1" si="6"/>
        <v>87000</v>
      </c>
    </row>
    <row r="36" spans="11:18">
      <c r="K36" s="71">
        <v>30</v>
      </c>
      <c r="L36" s="72">
        <f t="shared" ca="1" si="0"/>
        <v>47207</v>
      </c>
      <c r="M36" s="73">
        <f t="shared" ca="1" si="2"/>
        <v>98627.232747848553</v>
      </c>
      <c r="N36" s="73">
        <f t="shared" ca="1" si="3"/>
        <v>103227.67617841902</v>
      </c>
      <c r="O36" s="73">
        <f t="shared" ca="1" si="4"/>
        <v>107938.88551528793</v>
      </c>
      <c r="P36" s="73">
        <f t="shared" ca="1" si="5"/>
        <v>105910.82511897672</v>
      </c>
      <c r="Q36" s="73">
        <f t="shared" ca="1" si="1"/>
        <v>847.97433254427813</v>
      </c>
      <c r="R36" s="73">
        <f t="shared" ca="1" si="6"/>
        <v>90000</v>
      </c>
    </row>
    <row r="37" spans="11:18">
      <c r="K37" s="71">
        <v>31</v>
      </c>
      <c r="L37" s="72">
        <f t="shared" ca="1" si="0"/>
        <v>47238</v>
      </c>
      <c r="M37" s="73">
        <f t="shared" ca="1" si="2"/>
        <v>102241.93595718723</v>
      </c>
      <c r="N37" s="73">
        <f t="shared" ca="1" si="3"/>
        <v>107185.58598405459</v>
      </c>
      <c r="O37" s="73">
        <f t="shared" ca="1" si="4"/>
        <v>112258.74623357625</v>
      </c>
      <c r="P37" s="73">
        <f t="shared" ca="1" si="5"/>
        <v>110073.60438787867</v>
      </c>
      <c r="Q37" s="73">
        <f t="shared" ca="1" si="1"/>
        <v>880.48698854850124</v>
      </c>
      <c r="R37" s="73">
        <f t="shared" ca="1" si="6"/>
        <v>93000</v>
      </c>
    </row>
    <row r="38" spans="11:18">
      <c r="K38" s="71">
        <v>32</v>
      </c>
      <c r="L38" s="72">
        <f t="shared" ref="L38:L69" ca="1" si="19">EDATE(TODAY(),K38)</f>
        <v>47268</v>
      </c>
      <c r="M38" s="73">
        <f t="shared" ca="1" si="2"/>
        <v>105879.16813344187</v>
      </c>
      <c r="N38" s="73">
        <f t="shared" ca="1" si="3"/>
        <v>111180.22354287609</v>
      </c>
      <c r="O38" s="73">
        <f t="shared" ca="1" si="4"/>
        <v>116631.42956943496</v>
      </c>
      <c r="P38" s="73">
        <f t="shared" ca="1" si="5"/>
        <v>114282.08619407515</v>
      </c>
      <c r="Q38" s="73">
        <f t="shared" ref="Q38:Q69" ca="1" si="20">N38*PJ_DY/12</f>
        <v>913.30134844790712</v>
      </c>
      <c r="R38" s="73">
        <f t="shared" ca="1" si="6"/>
        <v>96000</v>
      </c>
    </row>
    <row r="39" spans="11:18">
      <c r="K39" s="71">
        <v>33</v>
      </c>
      <c r="L39" s="72">
        <f t="shared" ca="1" si="19"/>
        <v>47299</v>
      </c>
      <c r="M39" s="73">
        <f t="shared" ref="M39:M70" ca="1" si="21">M38*(1+PJ_G_PESS)^(1/12)+PJ_APORTE+PJ_REINV*M38*PJ_DY/12</f>
        <v>109539.0696904503</v>
      </c>
      <c r="N39" s="73">
        <f t="shared" ref="N39:N70" ca="1" si="22">N38*(1+PJ_G_BASE)^(1/12)+PJ_APORTE+PJ_REINV*N38*PJ_DY/12</f>
        <v>115211.92967312355</v>
      </c>
      <c r="O39" s="73">
        <f t="shared" ref="O39:O70" ca="1" si="23">O38*(1+PJ_G_OTIM)^(1/12)+PJ_APORTE+PJ_REINV*O38*PJ_DY/12</f>
        <v>121057.5814300145</v>
      </c>
      <c r="P39" s="73">
        <f t="shared" ref="P39:P70" ca="1" si="24">P38*(1+PJ_CDI)^(1/12)+PJ_APORTE</f>
        <v>118536.77229895686</v>
      </c>
      <c r="Q39" s="73">
        <f t="shared" ca="1" si="20"/>
        <v>946.42021192888126</v>
      </c>
      <c r="R39" s="73">
        <f t="shared" ref="R39:R70" ca="1" si="25">R38+PJ_APORTE</f>
        <v>99000</v>
      </c>
    </row>
    <row r="40" spans="11:18">
      <c r="K40" s="71">
        <v>34</v>
      </c>
      <c r="L40" s="72">
        <f t="shared" ca="1" si="19"/>
        <v>47329</v>
      </c>
      <c r="M40" s="73">
        <f t="shared" ca="1" si="21"/>
        <v>113221.78191719239</v>
      </c>
      <c r="N40" s="73">
        <f t="shared" ca="1" si="22"/>
        <v>119281.0483556882</v>
      </c>
      <c r="O40" s="73">
        <f t="shared" ca="1" si="23"/>
        <v>125537.85562052239</v>
      </c>
      <c r="P40" s="73">
        <f t="shared" ca="1" si="24"/>
        <v>122838.16997267853</v>
      </c>
      <c r="Q40" s="73">
        <f t="shared" ca="1" si="20"/>
        <v>979.8464046577318</v>
      </c>
      <c r="R40" s="73">
        <f t="shared" ca="1" si="25"/>
        <v>102000</v>
      </c>
    </row>
    <row r="41" spans="11:18">
      <c r="K41" s="71">
        <v>35</v>
      </c>
      <c r="L41" s="72">
        <f t="shared" ca="1" si="19"/>
        <v>47360</v>
      </c>
      <c r="M41" s="73">
        <f t="shared" ca="1" si="21"/>
        <v>116927.44698324446</v>
      </c>
      <c r="N41" s="73">
        <f t="shared" ca="1" si="22"/>
        <v>123387.92676346051</v>
      </c>
      <c r="O41" s="73">
        <f t="shared" ca="1" si="23"/>
        <v>130072.91394079948</v>
      </c>
      <c r="P41" s="73">
        <f t="shared" ca="1" si="24"/>
        <v>127186.7920546388</v>
      </c>
      <c r="Q41" s="73">
        <f t="shared" ca="1" si="20"/>
        <v>1013.5827785217721</v>
      </c>
      <c r="R41" s="73">
        <f t="shared" ca="1" si="25"/>
        <v>105000</v>
      </c>
    </row>
    <row r="42" spans="11:18">
      <c r="K42" s="71">
        <v>36</v>
      </c>
      <c r="L42" s="72">
        <f t="shared" ca="1" si="19"/>
        <v>47391</v>
      </c>
      <c r="M42" s="73">
        <f t="shared" ca="1" si="21"/>
        <v>120656.20794426765</v>
      </c>
      <c r="N42" s="73">
        <f t="shared" ca="1" si="22"/>
        <v>127532.9152909507</v>
      </c>
      <c r="O42" s="73">
        <f t="shared" ca="1" si="23"/>
        <v>134663.4262830771</v>
      </c>
      <c r="P42" s="73">
        <f t="shared" ca="1" si="24"/>
        <v>131583.15701462419</v>
      </c>
      <c r="Q42" s="73">
        <f t="shared" ca="1" si="20"/>
        <v>1047.6322118726414</v>
      </c>
      <c r="R42" s="73">
        <f t="shared" ca="1" si="25"/>
        <v>108000</v>
      </c>
    </row>
    <row r="43" spans="11:18">
      <c r="K43" s="71">
        <v>37</v>
      </c>
      <c r="L43" s="72">
        <f t="shared" ca="1" si="19"/>
        <v>47421</v>
      </c>
      <c r="M43" s="73">
        <f t="shared" ca="1" si="21"/>
        <v>124408.20874753053</v>
      </c>
      <c r="N43" s="73">
        <f t="shared" ca="1" si="22"/>
        <v>131716.36758418399</v>
      </c>
      <c r="O43" s="73">
        <f t="shared" ca="1" si="23"/>
        <v>139310.07073092973</v>
      </c>
      <c r="P43" s="73">
        <f t="shared" ca="1" si="24"/>
        <v>136027.78901462417</v>
      </c>
      <c r="Q43" s="73">
        <f t="shared" ca="1" si="20"/>
        <v>1081.997609771882</v>
      </c>
      <c r="R43" s="73">
        <f t="shared" ca="1" si="25"/>
        <v>111000</v>
      </c>
    </row>
    <row r="44" spans="11:18">
      <c r="K44" s="71">
        <v>38</v>
      </c>
      <c r="L44" s="72">
        <f t="shared" ca="1" si="19"/>
        <v>47452</v>
      </c>
      <c r="M44" s="73">
        <f t="shared" ca="1" si="21"/>
        <v>128183.59423746615</v>
      </c>
      <c r="N44" s="73">
        <f t="shared" ca="1" si="22"/>
        <v>135938.64057087325</v>
      </c>
      <c r="O44" s="73">
        <f t="shared" ca="1" si="23"/>
        <v>144013.53365943735</v>
      </c>
      <c r="P44" s="73">
        <f t="shared" ca="1" si="24"/>
        <v>140521.21797132515</v>
      </c>
      <c r="Q44" s="73">
        <f t="shared" ca="1" si="20"/>
        <v>1116.6819042387963</v>
      </c>
      <c r="R44" s="73">
        <f t="shared" ca="1" si="25"/>
        <v>114000</v>
      </c>
    </row>
    <row r="45" spans="11:18">
      <c r="K45" s="71">
        <v>39</v>
      </c>
      <c r="L45" s="72">
        <f t="shared" ca="1" si="19"/>
        <v>47482</v>
      </c>
      <c r="M45" s="73">
        <f t="shared" ca="1" si="21"/>
        <v>131982.51016126366</v>
      </c>
      <c r="N45" s="73">
        <f t="shared" ca="1" si="22"/>
        <v>140200.09449087179</v>
      </c>
      <c r="O45" s="73">
        <f t="shared" ca="1" si="23"/>
        <v>148774.50983657292</v>
      </c>
      <c r="P45" s="73">
        <f t="shared" ca="1" si="24"/>
        <v>145063.97961929039</v>
      </c>
      <c r="Q45" s="73">
        <f t="shared" ca="1" si="20"/>
        <v>1151.688054500604</v>
      </c>
      <c r="R45" s="73">
        <f t="shared" ca="1" si="25"/>
        <v>117000</v>
      </c>
    </row>
    <row r="46" spans="11:18">
      <c r="K46" s="71">
        <v>40</v>
      </c>
      <c r="L46" s="72">
        <f t="shared" ca="1" si="19"/>
        <v>47513</v>
      </c>
      <c r="M46" s="73">
        <f t="shared" ca="1" si="21"/>
        <v>135805.10317449484</v>
      </c>
      <c r="N46" s="73">
        <f t="shared" ca="1" si="22"/>
        <v>144501.09292690863</v>
      </c>
      <c r="O46" s="73">
        <f t="shared" ca="1" si="23"/>
        <v>153593.70252582929</v>
      </c>
      <c r="P46" s="73">
        <f t="shared" ca="1" si="24"/>
        <v>149656.61557483356</v>
      </c>
      <c r="Q46" s="73">
        <f t="shared" ca="1" si="20"/>
        <v>1187.0190472449199</v>
      </c>
      <c r="R46" s="73">
        <f t="shared" ca="1" si="25"/>
        <v>120000</v>
      </c>
    </row>
    <row r="47" spans="11:18">
      <c r="K47" s="71">
        <v>41</v>
      </c>
      <c r="L47" s="72">
        <f t="shared" ca="1" si="19"/>
        <v>47542</v>
      </c>
      <c r="M47" s="73">
        <f t="shared" ca="1" si="21"/>
        <v>139651.52084677567</v>
      </c>
      <c r="N47" s="73">
        <f t="shared" ca="1" si="22"/>
        <v>148842.00283560887</v>
      </c>
      <c r="O47" s="73">
        <f t="shared" ca="1" si="23"/>
        <v>158471.82359010127</v>
      </c>
      <c r="P47" s="73">
        <f t="shared" ca="1" si="24"/>
        <v>154299.67340059369</v>
      </c>
      <c r="Q47" s="73">
        <f t="shared" ca="1" si="20"/>
        <v>1222.6778968745746</v>
      </c>
      <c r="R47" s="73">
        <f t="shared" ca="1" si="25"/>
        <v>123000</v>
      </c>
    </row>
    <row r="48" spans="11:18">
      <c r="K48" s="71">
        <v>42</v>
      </c>
      <c r="L48" s="72">
        <f t="shared" ca="1" si="19"/>
        <v>47572</v>
      </c>
      <c r="M48" s="73">
        <f t="shared" ca="1" si="21"/>
        <v>143521.91166746322</v>
      </c>
      <c r="N48" s="73">
        <f t="shared" ca="1" si="22"/>
        <v>153223.19457880221</v>
      </c>
      <c r="O48" s="73">
        <f t="shared" ca="1" si="23"/>
        <v>163409.59359683777</v>
      </c>
      <c r="P48" s="73">
        <f t="shared" ca="1" si="24"/>
        <v>158993.70667081894</v>
      </c>
      <c r="Q48" s="73">
        <f t="shared" ca="1" si="20"/>
        <v>1258.6676457648007</v>
      </c>
      <c r="R48" s="73">
        <f t="shared" ca="1" si="25"/>
        <v>126000</v>
      </c>
    </row>
    <row r="49" spans="11:18">
      <c r="K49" s="71">
        <v>43</v>
      </c>
      <c r="L49" s="72">
        <f t="shared" ca="1" si="19"/>
        <v>47603</v>
      </c>
      <c r="M49" s="73">
        <f t="shared" ca="1" si="21"/>
        <v>147416.42505138798</v>
      </c>
      <c r="N49" s="73">
        <f t="shared" ca="1" si="22"/>
        <v>157645.04195512168</v>
      </c>
      <c r="O49" s="73">
        <f t="shared" ca="1" si="23"/>
        <v>168407.74192447987</v>
      </c>
      <c r="P49" s="73">
        <f t="shared" ca="1" si="24"/>
        <v>163739.27503736716</v>
      </c>
      <c r="Q49" s="73">
        <f t="shared" ca="1" si="20"/>
        <v>1294.9913645228044</v>
      </c>
      <c r="R49" s="73">
        <f t="shared" ca="1" si="25"/>
        <v>129000</v>
      </c>
    </row>
    <row r="50" spans="11:18">
      <c r="K50" s="71">
        <v>44</v>
      </c>
      <c r="L50" s="72">
        <f t="shared" ca="1" si="19"/>
        <v>47633</v>
      </c>
      <c r="M50" s="73">
        <f t="shared" ca="1" si="21"/>
        <v>151335.21134462199</v>
      </c>
      <c r="N50" s="73">
        <f t="shared" ca="1" si="22"/>
        <v>162107.92223189585</v>
      </c>
      <c r="O50" s="73">
        <f t="shared" ca="1" si="23"/>
        <v>173467.00687020025</v>
      </c>
      <c r="P50" s="73">
        <f t="shared" ca="1" si="24"/>
        <v>168536.94429643115</v>
      </c>
      <c r="Q50" s="73">
        <f t="shared" ca="1" si="20"/>
        <v>1331.6521522497471</v>
      </c>
      <c r="R50" s="73">
        <f t="shared" ca="1" si="25"/>
        <v>132000</v>
      </c>
    </row>
    <row r="51" spans="11:18">
      <c r="K51" s="71">
        <v>45</v>
      </c>
      <c r="L51" s="72">
        <f t="shared" ca="1" si="19"/>
        <v>47664</v>
      </c>
      <c r="M51" s="73">
        <f t="shared" ca="1" si="21"/>
        <v>155278.42183028287</v>
      </c>
      <c r="N51" s="73">
        <f t="shared" ca="1" si="22"/>
        <v>166612.21617733684</v>
      </c>
      <c r="O51" s="73">
        <f t="shared" ca="1" si="23"/>
        <v>178588.13575896018</v>
      </c>
      <c r="P51" s="73">
        <f t="shared" ca="1" si="24"/>
        <v>173387.28645599631</v>
      </c>
      <c r="Q51" s="73">
        <f t="shared" ca="1" si="20"/>
        <v>1368.6531368051571</v>
      </c>
      <c r="R51" s="73">
        <f t="shared" ca="1" si="25"/>
        <v>135000</v>
      </c>
    </row>
    <row r="52" spans="11:18">
      <c r="K52" s="71">
        <v>46</v>
      </c>
      <c r="L52" s="72">
        <f t="shared" ca="1" si="19"/>
        <v>47694</v>
      </c>
      <c r="M52" s="73">
        <f t="shared" ca="1" si="21"/>
        <v>159246.20873437406</v>
      </c>
      <c r="N52" s="73">
        <f t="shared" ca="1" si="22"/>
        <v>171158.3080930271</v>
      </c>
      <c r="O52" s="73">
        <f t="shared" ca="1" si="23"/>
        <v>183771.88505389995</v>
      </c>
      <c r="P52" s="73">
        <f t="shared" ca="1" si="24"/>
        <v>178290.879804039</v>
      </c>
      <c r="Q52" s="73">
        <f t="shared" ca="1" si="20"/>
        <v>1405.9974750737958</v>
      </c>
      <c r="R52" s="73">
        <f t="shared" ca="1" si="25"/>
        <v>138000</v>
      </c>
    </row>
    <row r="53" spans="11:18">
      <c r="K53" s="71">
        <v>47</v>
      </c>
      <c r="L53" s="72">
        <f t="shared" ca="1" si="19"/>
        <v>47725</v>
      </c>
      <c r="M53" s="73">
        <f t="shared" ca="1" si="21"/>
        <v>163238.7252316614</v>
      </c>
      <c r="N53" s="73">
        <f t="shared" ca="1" si="22"/>
        <v>175746.58584670746</v>
      </c>
      <c r="O53" s="73">
        <f t="shared" ca="1" si="23"/>
        <v>189019.02046807916</v>
      </c>
      <c r="P53" s="73">
        <f t="shared" ca="1" si="24"/>
        <v>183248.3089774737</v>
      </c>
      <c r="Q53" s="73">
        <f t="shared" ca="1" si="20"/>
        <v>1443.6883532349984</v>
      </c>
      <c r="R53" s="73">
        <f t="shared" ca="1" si="25"/>
        <v>141000</v>
      </c>
    </row>
    <row r="54" spans="11:18">
      <c r="K54" s="71">
        <v>48</v>
      </c>
      <c r="L54" s="72">
        <f t="shared" ca="1" si="19"/>
        <v>47756</v>
      </c>
      <c r="M54" s="73">
        <f t="shared" ca="1" si="21"/>
        <v>167256.12545158641</v>
      </c>
      <c r="N54" s="73">
        <f t="shared" ca="1" si="22"/>
        <v>180377.44090536979</v>
      </c>
      <c r="O54" s="73">
        <f t="shared" ca="1" si="23"/>
        <v>194330.31707758343</v>
      </c>
      <c r="P54" s="73">
        <f t="shared" ca="1" si="24"/>
        <v>188260.16503185703</v>
      </c>
      <c r="Q54" s="73">
        <f t="shared" ca="1" si="20"/>
        <v>1481.7289870345166</v>
      </c>
      <c r="R54" s="73">
        <f t="shared" ca="1" si="25"/>
        <v>144000</v>
      </c>
    </row>
    <row r="55" spans="11:18">
      <c r="K55" s="71">
        <v>49</v>
      </c>
      <c r="L55" s="72">
        <f t="shared" ca="1" si="19"/>
        <v>47786</v>
      </c>
      <c r="M55" s="73">
        <f t="shared" ca="1" si="21"/>
        <v>171298.56448421645</v>
      </c>
      <c r="N55" s="73">
        <f t="shared" ca="1" si="22"/>
        <v>185051.26836865649</v>
      </c>
      <c r="O55" s="73">
        <f t="shared" ca="1" si="23"/>
        <v>199706.55943601401</v>
      </c>
      <c r="P55" s="73">
        <f t="shared" ca="1" si="24"/>
        <v>193327.04551185702</v>
      </c>
      <c r="Q55" s="73">
        <f t="shared" ca="1" si="20"/>
        <v>1520.1226220588826</v>
      </c>
      <c r="R55" s="73">
        <f t="shared" ca="1" si="25"/>
        <v>147000</v>
      </c>
    </row>
    <row r="56" spans="11:18">
      <c r="K56" s="71">
        <v>50</v>
      </c>
      <c r="L56" s="72">
        <f t="shared" ca="1" si="19"/>
        <v>47817</v>
      </c>
      <c r="M56" s="73">
        <f t="shared" ca="1" si="21"/>
        <v>175366.19838623176</v>
      </c>
      <c r="N56" s="73">
        <f t="shared" ca="1" si="22"/>
        <v>189768.46700256987</v>
      </c>
      <c r="O56" s="73">
        <f t="shared" ca="1" si="23"/>
        <v>205148.54169037752</v>
      </c>
      <c r="P56" s="73">
        <f t="shared" ca="1" si="24"/>
        <v>198449.55452249615</v>
      </c>
      <c r="Q56" s="73">
        <f t="shared" ca="1" si="20"/>
        <v>1558.8725340123181</v>
      </c>
      <c r="R56" s="73">
        <f t="shared" ca="1" si="25"/>
        <v>150000</v>
      </c>
    </row>
    <row r="57" spans="11:18">
      <c r="K57" s="71">
        <v>51</v>
      </c>
      <c r="L57" s="72">
        <f t="shared" ca="1" si="19"/>
        <v>47847</v>
      </c>
      <c r="M57" s="73">
        <f t="shared" ca="1" si="21"/>
        <v>179459.18418695009</v>
      </c>
      <c r="N57" s="73">
        <f t="shared" ca="1" si="22"/>
        <v>194529.43927349456</v>
      </c>
      <c r="O57" s="73">
        <f t="shared" ca="1" si="23"/>
        <v>210657.06769839261</v>
      </c>
      <c r="P57" s="73">
        <f t="shared" ca="1" si="24"/>
        <v>203628.30280117653</v>
      </c>
      <c r="Q57" s="73">
        <f t="shared" ca="1" si="20"/>
        <v>1597.9820289962145</v>
      </c>
      <c r="R57" s="73">
        <f t="shared" ca="1" si="25"/>
        <v>153000</v>
      </c>
    </row>
    <row r="58" spans="11:18">
      <c r="K58" s="71">
        <v>52</v>
      </c>
      <c r="L58" s="72">
        <f t="shared" ca="1" si="19"/>
        <v>47878</v>
      </c>
      <c r="M58" s="73">
        <f t="shared" ca="1" si="21"/>
        <v>183577.67989438874</v>
      </c>
      <c r="N58" s="73">
        <f t="shared" ca="1" si="22"/>
        <v>199334.59138253552</v>
      </c>
      <c r="O58" s="73">
        <f t="shared" ca="1" si="23"/>
        <v>216232.95114723119</v>
      </c>
      <c r="P58" s="73">
        <f t="shared" ca="1" si="24"/>
        <v>208863.90779049572</v>
      </c>
      <c r="Q58" s="73">
        <f t="shared" ca="1" si="20"/>
        <v>1637.4544437912073</v>
      </c>
      <c r="R58" s="73">
        <f t="shared" ca="1" si="25"/>
        <v>156000</v>
      </c>
    </row>
    <row r="59" spans="11:18">
      <c r="K59" s="71">
        <v>53</v>
      </c>
      <c r="L59" s="72">
        <f t="shared" ca="1" si="19"/>
        <v>47907</v>
      </c>
      <c r="M59" s="73">
        <f t="shared" ca="1" si="21"/>
        <v>187721.84450136434</v>
      </c>
      <c r="N59" s="73">
        <f t="shared" ca="1" si="22"/>
        <v>204184.33330017456</v>
      </c>
      <c r="O59" s="73">
        <f t="shared" ca="1" si="23"/>
        <v>221877.01567371146</v>
      </c>
      <c r="P59" s="73">
        <f t="shared" ca="1" si="24"/>
        <v>214156.99371186225</v>
      </c>
      <c r="Q59" s="73">
        <f t="shared" ca="1" si="20"/>
        <v>1677.2931461418636</v>
      </c>
      <c r="R59" s="73">
        <f t="shared" ca="1" si="25"/>
        <v>159000</v>
      </c>
    </row>
    <row r="60" spans="11:18">
      <c r="K60" s="71">
        <v>54</v>
      </c>
      <c r="L60" s="72">
        <f t="shared" ca="1" si="19"/>
        <v>47937</v>
      </c>
      <c r="M60" s="73">
        <f t="shared" ca="1" si="21"/>
        <v>191891.83799163069</v>
      </c>
      <c r="N60" s="73">
        <f t="shared" ca="1" si="22"/>
        <v>209079.07880124872</v>
      </c>
      <c r="O60" s="73">
        <f t="shared" ca="1" si="23"/>
        <v>227590.09498596075</v>
      </c>
      <c r="P60" s="73">
        <f t="shared" ca="1" si="24"/>
        <v>219508.19163991901</v>
      </c>
      <c r="Q60" s="73">
        <f t="shared" ca="1" si="20"/>
        <v>1717.5015350440174</v>
      </c>
      <c r="R60" s="73">
        <f t="shared" ca="1" si="25"/>
        <v>162000</v>
      </c>
    </row>
    <row r="61" spans="11:18">
      <c r="K61" s="71">
        <v>55</v>
      </c>
      <c r="L61" s="72">
        <f t="shared" ca="1" si="19"/>
        <v>47968</v>
      </c>
      <c r="M61" s="73">
        <f t="shared" ca="1" si="21"/>
        <v>196087.82134605493</v>
      </c>
      <c r="N61" s="73">
        <f t="shared" ca="1" si="22"/>
        <v>214019.24550025302</v>
      </c>
      <c r="O61" s="73">
        <f t="shared" ca="1" si="23"/>
        <v>233373.03298656605</v>
      </c>
      <c r="P61" s="73">
        <f t="shared" ca="1" si="24"/>
        <v>224918.13957778399</v>
      </c>
      <c r="Q61" s="73">
        <f t="shared" ca="1" si="20"/>
        <v>1758.0830410347669</v>
      </c>
      <c r="R61" s="73">
        <f t="shared" ca="1" si="25"/>
        <v>165000</v>
      </c>
    </row>
    <row r="62" spans="11:18">
      <c r="K62" s="71">
        <v>56</v>
      </c>
      <c r="L62" s="72">
        <f t="shared" ca="1" si="19"/>
        <v>47998</v>
      </c>
      <c r="M62" s="73">
        <f t="shared" ca="1" si="21"/>
        <v>200309.95654883218</v>
      </c>
      <c r="N62" s="73">
        <f t="shared" ca="1" si="22"/>
        <v>219005.25488697091</v>
      </c>
      <c r="O62" s="73">
        <f t="shared" ca="1" si="23"/>
        <v>239226.68389723019</v>
      </c>
      <c r="P62" s="73">
        <f t="shared" ca="1" si="24"/>
        <v>230387.48253311694</v>
      </c>
      <c r="Q62" s="73">
        <f t="shared" ca="1" si="20"/>
        <v>1799.0411264851639</v>
      </c>
      <c r="R62" s="73">
        <f t="shared" ca="1" si="25"/>
        <v>168000</v>
      </c>
    </row>
    <row r="63" spans="11:18">
      <c r="K63" s="71">
        <v>57</v>
      </c>
      <c r="L63" s="72">
        <f t="shared" ca="1" si="19"/>
        <v>48029</v>
      </c>
      <c r="M63" s="73">
        <f t="shared" ca="1" si="21"/>
        <v>204558.40659373873</v>
      </c>
      <c r="N63" s="73">
        <f t="shared" ca="1" si="22"/>
        <v>224037.53236243542</v>
      </c>
      <c r="O63" s="73">
        <f t="shared" ca="1" si="23"/>
        <v>245151.91238495262</v>
      </c>
      <c r="P63" s="73">
        <f t="shared" ca="1" si="24"/>
        <v>235916.87259502121</v>
      </c>
      <c r="Q63" s="73">
        <f t="shared" ca="1" si="20"/>
        <v>1840.3792858956219</v>
      </c>
      <c r="R63" s="73">
        <f t="shared" ca="1" si="25"/>
        <v>171000</v>
      </c>
    </row>
    <row r="64" spans="11:18">
      <c r="K64" s="71">
        <v>58</v>
      </c>
      <c r="L64" s="72">
        <f t="shared" ca="1" si="19"/>
        <v>48059</v>
      </c>
      <c r="M64" s="73">
        <f t="shared" ca="1" si="21"/>
        <v>208833.33549042445</v>
      </c>
      <c r="N64" s="73">
        <f t="shared" ca="1" si="22"/>
        <v>229116.50727522376</v>
      </c>
      <c r="O64" s="73">
        <f t="shared" ca="1" si="23"/>
        <v>251149.59368975295</v>
      </c>
      <c r="P64" s="73">
        <f t="shared" ca="1" si="24"/>
        <v>241506.96901178989</v>
      </c>
      <c r="Q64" s="73">
        <f t="shared" ca="1" si="20"/>
        <v>1882.1010461940602</v>
      </c>
      <c r="R64" s="73">
        <f t="shared" ca="1" si="25"/>
        <v>174000</v>
      </c>
    </row>
    <row r="65" spans="11:18">
      <c r="K65" s="71">
        <v>59</v>
      </c>
      <c r="L65" s="72">
        <f t="shared" ca="1" si="19"/>
        <v>48090</v>
      </c>
      <c r="M65" s="73">
        <f t="shared" ca="1" si="21"/>
        <v>213134.90827074429</v>
      </c>
      <c r="N65" s="73">
        <f t="shared" ca="1" si="22"/>
        <v>234242.61295808901</v>
      </c>
      <c r="O65" s="73">
        <f t="shared" ca="1" si="23"/>
        <v>257220.61375395613</v>
      </c>
      <c r="P65" s="73">
        <f t="shared" ca="1" si="24"/>
        <v>247158.43826950545</v>
      </c>
      <c r="Q65" s="73">
        <f t="shared" ca="1" si="20"/>
        <v>1924.20996703682</v>
      </c>
      <c r="R65" s="73">
        <f t="shared" ca="1" si="25"/>
        <v>177000</v>
      </c>
    </row>
    <row r="66" spans="11:18">
      <c r="K66" s="71">
        <v>60</v>
      </c>
      <c r="L66" s="72">
        <f t="shared" ca="1" si="19"/>
        <v>48121</v>
      </c>
      <c r="M66" s="73">
        <f t="shared" ca="1" si="21"/>
        <v>217463.29099512921</v>
      </c>
      <c r="N66" s="73">
        <f t="shared" ca="1" si="22"/>
        <v>239416.28676493152</v>
      </c>
      <c r="O66" s="73">
        <f t="shared" ca="1" si="23"/>
        <v>263365.86935305881</v>
      </c>
      <c r="P66" s="73">
        <f t="shared" ca="1" si="24"/>
        <v>252871.95417150244</v>
      </c>
      <c r="Q66" s="73">
        <f t="shared" ca="1" si="20"/>
        <v>1966.7096411123687</v>
      </c>
      <c r="R66" s="73">
        <f t="shared" ca="1" si="25"/>
        <v>180000</v>
      </c>
    </row>
    <row r="67" spans="11:18">
      <c r="K67" s="71">
        <v>61</v>
      </c>
      <c r="L67" s="72">
        <f t="shared" ca="1" si="19"/>
        <v>48151</v>
      </c>
      <c r="M67" s="73">
        <f t="shared" ca="1" si="21"/>
        <v>221818.65075899698</v>
      </c>
      <c r="N67" s="73">
        <f t="shared" ca="1" si="22"/>
        <v>244637.97010811357</v>
      </c>
      <c r="O67" s="73">
        <f t="shared" ca="1" si="23"/>
        <v>269586.26822819561</v>
      </c>
      <c r="P67" s="73">
        <f t="shared" ca="1" si="24"/>
        <v>258648.19791870241</v>
      </c>
      <c r="Q67" s="73">
        <f t="shared" ca="1" si="20"/>
        <v>2009.6036944478258</v>
      </c>
      <c r="R67" s="73">
        <f t="shared" ca="1" si="25"/>
        <v>183000</v>
      </c>
    </row>
    <row r="68" spans="11:18">
      <c r="K68" s="71">
        <v>62</v>
      </c>
      <c r="L68" s="72">
        <f t="shared" ca="1" si="19"/>
        <v>48182</v>
      </c>
      <c r="M68" s="73">
        <f t="shared" ca="1" si="21"/>
        <v>226201.15569920282</v>
      </c>
      <c r="N68" s="73">
        <f t="shared" ca="1" si="22"/>
        <v>249908.10849612017</v>
      </c>
      <c r="O68" s="73">
        <f t="shared" ca="1" si="23"/>
        <v>275882.72922022559</v>
      </c>
      <c r="P68" s="73">
        <f t="shared" ca="1" si="24"/>
        <v>264487.85819083103</v>
      </c>
      <c r="Q68" s="73">
        <f t="shared" ca="1" si="20"/>
        <v>2052.8957867183303</v>
      </c>
      <c r="R68" s="73">
        <f t="shared" ca="1" si="25"/>
        <v>186000</v>
      </c>
    </row>
    <row r="69" spans="11:18">
      <c r="K69" s="71">
        <v>63</v>
      </c>
      <c r="L69" s="72">
        <f t="shared" ca="1" si="19"/>
        <v>48212</v>
      </c>
      <c r="M69" s="73">
        <f t="shared" ca="1" si="21"/>
        <v>230610.97500053013</v>
      </c>
      <c r="N69" s="73">
        <f t="shared" ca="1" si="22"/>
        <v>255227.15157156932</v>
      </c>
      <c r="O69" s="73">
        <f t="shared" ca="1" si="23"/>
        <v>282256.18240545772</v>
      </c>
      <c r="P69" s="73">
        <f t="shared" ca="1" si="24"/>
        <v>270391.63122852665</v>
      </c>
      <c r="Q69" s="73">
        <f t="shared" ca="1" si="20"/>
        <v>2096.5896115592814</v>
      </c>
      <c r="R69" s="73">
        <f t="shared" ca="1" si="25"/>
        <v>189000</v>
      </c>
    </row>
    <row r="70" spans="11:18">
      <c r="K70" s="71">
        <v>64</v>
      </c>
      <c r="L70" s="72">
        <f t="shared" ref="L70:L101" ca="1" si="26">EDATE(TODAY(),K70)</f>
        <v>48243</v>
      </c>
      <c r="M70" s="73">
        <f t="shared" ca="1" si="21"/>
        <v>235048.27890222194</v>
      </c>
      <c r="N70" s="73">
        <f t="shared" ca="1" si="22"/>
        <v>260595.55314957516</v>
      </c>
      <c r="O70" s="73">
        <f t="shared" ca="1" si="23"/>
        <v>288707.56923303643</v>
      </c>
      <c r="P70" s="73">
        <f t="shared" ca="1" si="24"/>
        <v>276360.22091635055</v>
      </c>
      <c r="Q70" s="73">
        <f t="shared" ref="Q70:Q101" ca="1" si="27">N70*PJ_DY/12</f>
        <v>2140.6888968814751</v>
      </c>
      <c r="R70" s="73">
        <f t="shared" ca="1" si="25"/>
        <v>192000</v>
      </c>
    </row>
    <row r="71" spans="11:18">
      <c r="K71" s="71">
        <v>65</v>
      </c>
      <c r="L71" s="72">
        <f t="shared" ca="1" si="26"/>
        <v>48273</v>
      </c>
      <c r="M71" s="73">
        <f t="shared" ref="M71:M102" ca="1" si="28">M70*(1+PJ_G_PESS)^(1/12)+PJ_APORTE+PJ_REINV*M70*PJ_DY/12</f>
        <v>239513.23870455284</v>
      </c>
      <c r="N71" s="73">
        <f t="shared" ref="N71:N102" ca="1" si="29">N70*(1+PJ_G_BASE)^(1/12)+PJ_APORTE+PJ_REINV*N70*PJ_DY/12</f>
        <v>266013.7712564668</v>
      </c>
      <c r="O71" s="73">
        <f t="shared" ref="O71:O102" ca="1" si="30">O70*(1+PJ_G_OTIM)^(1/12)+PJ_APORTE+PJ_REINV*O70*PJ_DY/12</f>
        <v>295237.84266400692</v>
      </c>
      <c r="P71" s="73">
        <f t="shared" ref="P71:P102" ca="1" si="31">P70*(1+PJ_CDI)^(1/12)+PJ_APORTE</f>
        <v>282394.33886670839</v>
      </c>
      <c r="Q71" s="73">
        <f t="shared" ca="1" si="27"/>
        <v>2185.1974051891661</v>
      </c>
      <c r="R71" s="73">
        <f t="shared" ref="R71:R102" ca="1" si="32">R70+PJ_APORTE</f>
        <v>195000</v>
      </c>
    </row>
    <row r="72" spans="11:18">
      <c r="K72" s="71">
        <v>66</v>
      </c>
      <c r="L72" s="72">
        <f t="shared" ca="1" si="26"/>
        <v>48303</v>
      </c>
      <c r="M72" s="73">
        <f t="shared" ca="1" si="28"/>
        <v>244006.02677544195</v>
      </c>
      <c r="N72" s="73">
        <f t="shared" ca="1" si="29"/>
        <v>271482.26816886693</v>
      </c>
      <c r="O72" s="73">
        <f t="shared" ca="1" si="30"/>
        <v>301847.96731208125</v>
      </c>
      <c r="P72" s="73">
        <f t="shared" ca="1" si="31"/>
        <v>288494.7045046931</v>
      </c>
      <c r="Q72" s="73">
        <f t="shared" ca="1" si="27"/>
        <v>2230.1189339010793</v>
      </c>
      <c r="R72" s="73">
        <f t="shared" ca="1" si="32"/>
        <v>198000</v>
      </c>
    </row>
    <row r="73" spans="11:18">
      <c r="K73" s="71">
        <v>67</v>
      </c>
      <c r="L73" s="72">
        <f t="shared" ca="1" si="26"/>
        <v>48334</v>
      </c>
      <c r="M73" s="73">
        <f t="shared" ca="1" si="28"/>
        <v>248526.81655710717</v>
      </c>
      <c r="N73" s="73">
        <f t="shared" ca="1" si="29"/>
        <v>277001.51045313245</v>
      </c>
      <c r="O73" s="73">
        <f t="shared" ca="1" si="30"/>
        <v>308538.91958612495</v>
      </c>
      <c r="P73" s="73">
        <f t="shared" ca="1" si="31"/>
        <v>294662.04515385919</v>
      </c>
      <c r="Q73" s="73">
        <f t="shared" ca="1" si="27"/>
        <v>2275.4573156744032</v>
      </c>
      <c r="R73" s="73">
        <f t="shared" ca="1" si="32"/>
        <v>201000</v>
      </c>
    </row>
    <row r="74" spans="11:18">
      <c r="K74" s="71">
        <v>68</v>
      </c>
      <c r="L74" s="72">
        <f t="shared" ca="1" si="26"/>
        <v>48364</v>
      </c>
      <c r="M74" s="73">
        <f t="shared" ca="1" si="28"/>
        <v>253075.78257276083</v>
      </c>
      <c r="N74" s="73">
        <f t="shared" ca="1" si="29"/>
        <v>282571.96900516166</v>
      </c>
      <c r="O74" s="73">
        <f t="shared" ca="1" si="30"/>
        <v>315311.68783438683</v>
      </c>
      <c r="P74" s="73">
        <f t="shared" ca="1" si="31"/>
        <v>300897.09612293873</v>
      </c>
      <c r="Q74" s="73">
        <f t="shared" ca="1" si="27"/>
        <v>2321.2164187317871</v>
      </c>
      <c r="R74" s="73">
        <f t="shared" ca="1" si="32"/>
        <v>204000</v>
      </c>
    </row>
    <row r="75" spans="11:18">
      <c r="K75" s="71">
        <v>69</v>
      </c>
      <c r="L75" s="72">
        <f t="shared" ca="1" si="26"/>
        <v>48395</v>
      </c>
      <c r="M75" s="73">
        <f t="shared" ca="1" si="28"/>
        <v>257653.10043334705</v>
      </c>
      <c r="N75" s="73">
        <f t="shared" ca="1" si="29"/>
        <v>288194.11909057049</v>
      </c>
      <c r="O75" s="73">
        <f t="shared" ca="1" si="30"/>
        <v>322167.27249049168</v>
      </c>
      <c r="P75" s="73">
        <f t="shared" ca="1" si="31"/>
        <v>307200.60079350957</v>
      </c>
      <c r="Q75" s="73">
        <f t="shared" ca="1" si="27"/>
        <v>2367.4001471913743</v>
      </c>
      <c r="R75" s="73">
        <f t="shared" ca="1" si="32"/>
        <v>207000</v>
      </c>
    </row>
    <row r="76" spans="11:18">
      <c r="K76" s="71">
        <v>70</v>
      </c>
      <c r="L76" s="72">
        <f t="shared" ca="1" si="26"/>
        <v>48425</v>
      </c>
      <c r="M76" s="73">
        <f t="shared" ca="1" si="28"/>
        <v>262258.94684432115</v>
      </c>
      <c r="N76" s="73">
        <f t="shared" ca="1" si="29"/>
        <v>293868.44038524159</v>
      </c>
      <c r="O76" s="73">
        <f t="shared" ca="1" si="30"/>
        <v>329106.68622121861</v>
      </c>
      <c r="P76" s="73">
        <f t="shared" ca="1" si="31"/>
        <v>313573.31070862582</v>
      </c>
      <c r="Q76" s="73">
        <f t="shared" ca="1" si="27"/>
        <v>2414.0124413998965</v>
      </c>
      <c r="R76" s="73">
        <f t="shared" ca="1" si="32"/>
        <v>210000</v>
      </c>
    </row>
    <row r="77" spans="11:18">
      <c r="K77" s="71">
        <v>71</v>
      </c>
      <c r="L77" s="72">
        <f t="shared" ca="1" si="26"/>
        <v>48456</v>
      </c>
      <c r="M77" s="73">
        <f t="shared" ca="1" si="28"/>
        <v>266893.49961247132</v>
      </c>
      <c r="N77" s="73">
        <f t="shared" ca="1" si="29"/>
        <v>299595.41701625002</v>
      </c>
      <c r="O77" s="73">
        <f t="shared" ca="1" si="30"/>
        <v>336130.9540760864</v>
      </c>
      <c r="P77" s="73">
        <f t="shared" ca="1" si="31"/>
        <v>320015.98566242156</v>
      </c>
      <c r="Q77" s="73">
        <f t="shared" ca="1" si="27"/>
        <v>2461.0572782688614</v>
      </c>
      <c r="R77" s="73">
        <f t="shared" ca="1" si="32"/>
        <v>213000</v>
      </c>
    </row>
    <row r="78" spans="11:18">
      <c r="K78" s="71">
        <v>72</v>
      </c>
      <c r="L78" s="72">
        <f t="shared" ca="1" si="26"/>
        <v>48487</v>
      </c>
      <c r="M78" s="73">
        <f t="shared" ca="1" si="28"/>
        <v>271556.93765278271</v>
      </c>
      <c r="N78" s="73">
        <f t="shared" ca="1" si="29"/>
        <v>305375.53760316817</v>
      </c>
      <c r="O78" s="73">
        <f t="shared" ca="1" si="30"/>
        <v>343241.11363876751</v>
      </c>
      <c r="P78" s="73">
        <f t="shared" ca="1" si="31"/>
        <v>326529.39379069814</v>
      </c>
      <c r="Q78" s="73">
        <f t="shared" ca="1" si="27"/>
        <v>2508.5386716138569</v>
      </c>
      <c r="R78" s="73">
        <f t="shared" ca="1" si="32"/>
        <v>216000</v>
      </c>
    </row>
    <row r="79" spans="11:18">
      <c r="K79" s="71">
        <v>73</v>
      </c>
      <c r="L79" s="72">
        <f t="shared" ca="1" si="26"/>
        <v>48517</v>
      </c>
      <c r="M79" s="73">
        <f t="shared" ca="1" si="28"/>
        <v>276249.44099534448</v>
      </c>
      <c r="N79" s="73">
        <f t="shared" ca="1" si="29"/>
        <v>311209.29529975442</v>
      </c>
      <c r="O79" s="73">
        <f t="shared" ca="1" si="30"/>
        <v>350438.21518035408</v>
      </c>
      <c r="P79" s="73">
        <f t="shared" ca="1" si="31"/>
        <v>333114.31166250608</v>
      </c>
      <c r="Q79" s="73">
        <f t="shared" ca="1" si="27"/>
        <v>2556.4606724970076</v>
      </c>
      <c r="R79" s="73">
        <f t="shared" ca="1" si="32"/>
        <v>219000</v>
      </c>
    </row>
    <row r="80" spans="11:18">
      <c r="K80" s="71">
        <v>74</v>
      </c>
      <c r="L80" s="72">
        <f t="shared" ca="1" si="26"/>
        <v>48548</v>
      </c>
      <c r="M80" s="73">
        <f t="shared" ca="1" si="28"/>
        <v>280971.19079229963</v>
      </c>
      <c r="N80" s="73">
        <f t="shared" ca="1" si="29"/>
        <v>317097.18783602846</v>
      </c>
      <c r="O80" s="73">
        <f t="shared" ca="1" si="30"/>
        <v>357723.32181449764</v>
      </c>
      <c r="P80" s="73">
        <f t="shared" ca="1" si="31"/>
        <v>339771.52437273267</v>
      </c>
      <c r="Q80" s="73">
        <f t="shared" ca="1" si="27"/>
        <v>2604.8273695726043</v>
      </c>
      <c r="R80" s="73">
        <f t="shared" ca="1" si="32"/>
        <v>222000</v>
      </c>
    </row>
    <row r="81" spans="11:18">
      <c r="K81" s="71">
        <v>75</v>
      </c>
      <c r="L81" s="72">
        <f t="shared" ca="1" si="26"/>
        <v>48578</v>
      </c>
      <c r="M81" s="73">
        <f t="shared" ca="1" si="28"/>
        <v>285722.36932483839</v>
      </c>
      <c r="N81" s="73">
        <f t="shared" ca="1" si="29"/>
        <v>323039.7175607371</v>
      </c>
      <c r="O81" s="73">
        <f t="shared" ca="1" si="30"/>
        <v>365097.50965444621</v>
      </c>
      <c r="P81" s="73">
        <f t="shared" ca="1" si="31"/>
        <v>346501.82563570567</v>
      </c>
      <c r="Q81" s="73">
        <f t="shared" ca="1" si="27"/>
        <v>2653.6428894359474</v>
      </c>
      <c r="R81" s="73">
        <f t="shared" ca="1" si="32"/>
        <v>225000</v>
      </c>
    </row>
    <row r="82" spans="11:18">
      <c r="K82" s="71">
        <v>76</v>
      </c>
      <c r="L82" s="72">
        <f t="shared" ca="1" si="26"/>
        <v>48609</v>
      </c>
      <c r="M82" s="73">
        <f t="shared" ca="1" si="28"/>
        <v>290503.16001023521</v>
      </c>
      <c r="N82" s="73">
        <f t="shared" ca="1" si="29"/>
        <v>329037.39148421405</v>
      </c>
      <c r="O82" s="73">
        <f t="shared" ca="1" si="30"/>
        <v>372561.86797200126</v>
      </c>
      <c r="P82" s="73">
        <f t="shared" ca="1" si="31"/>
        <v>353306.01787982491</v>
      </c>
      <c r="Q82" s="73">
        <f t="shared" ca="1" si="27"/>
        <v>2702.9113969754194</v>
      </c>
      <c r="R82" s="73">
        <f t="shared" ca="1" si="32"/>
        <v>228000</v>
      </c>
    </row>
    <row r="83" spans="11:18">
      <c r="K83" s="71">
        <v>77</v>
      </c>
      <c r="L83" s="72">
        <f t="shared" ca="1" si="26"/>
        <v>48638</v>
      </c>
      <c r="M83" s="73">
        <f t="shared" ca="1" si="28"/>
        <v>295313.74740892928</v>
      </c>
      <c r="N83" s="73">
        <f t="shared" ca="1" si="29"/>
        <v>335090.72132163774</v>
      </c>
      <c r="O83" s="73">
        <f t="shared" ca="1" si="30"/>
        <v>380117.49935841869</v>
      </c>
      <c r="P83" s="73">
        <f t="shared" ca="1" si="31"/>
        <v>360184.91234323283</v>
      </c>
      <c r="Q83" s="73">
        <f t="shared" ca="1" si="27"/>
        <v>2752.6370957278323</v>
      </c>
      <c r="R83" s="73">
        <f t="shared" ca="1" si="32"/>
        <v>231000</v>
      </c>
    </row>
    <row r="84" spans="11:18">
      <c r="K84" s="71">
        <v>78</v>
      </c>
      <c r="L84" s="72">
        <f t="shared" ca="1" si="26"/>
        <v>48668</v>
      </c>
      <c r="M84" s="73">
        <f t="shared" ca="1" si="28"/>
        <v>300154.31723164959</v>
      </c>
      <c r="N84" s="73">
        <f t="shared" ca="1" si="29"/>
        <v>341200.22353669</v>
      </c>
      <c r="O84" s="73">
        <f t="shared" ca="1" si="30"/>
        <v>387765.51988727716</v>
      </c>
      <c r="P84" s="73">
        <f t="shared" ca="1" si="31"/>
        <v>367139.32917053538</v>
      </c>
      <c r="Q84" s="73">
        <f t="shared" ca="1" si="27"/>
        <v>2802.824228237067</v>
      </c>
      <c r="R84" s="73">
        <f t="shared" ca="1" si="32"/>
        <v>234000</v>
      </c>
    </row>
    <row r="85" spans="11:18">
      <c r="K85" s="71">
        <v>79</v>
      </c>
      <c r="L85" s="72">
        <f t="shared" ca="1" si="26"/>
        <v>48699</v>
      </c>
      <c r="M85" s="73">
        <f t="shared" ca="1" si="28"/>
        <v>305025.05634658417</v>
      </c>
      <c r="N85" s="73">
        <f t="shared" ca="1" si="29"/>
        <v>347366.41938562045</v>
      </c>
      <c r="O85" s="73">
        <f t="shared" ca="1" si="30"/>
        <v>395507.05927933787</v>
      </c>
      <c r="P85" s="73">
        <f t="shared" ca="1" si="31"/>
        <v>374170.09751058469</v>
      </c>
      <c r="Q85" s="73">
        <f t="shared" ca="1" si="27"/>
        <v>2853.4770764160444</v>
      </c>
      <c r="R85" s="73">
        <f t="shared" ca="1" si="32"/>
        <v>237000</v>
      </c>
    </row>
    <row r="86" spans="11:18">
      <c r="K86" s="71">
        <v>80</v>
      </c>
      <c r="L86" s="72">
        <f t="shared" ca="1" si="26"/>
        <v>48729</v>
      </c>
      <c r="M86" s="73">
        <f t="shared" ca="1" si="28"/>
        <v>309926.15278659406</v>
      </c>
      <c r="N86" s="73">
        <f t="shared" ca="1" si="29"/>
        <v>353589.83496171929</v>
      </c>
      <c r="O86" s="73">
        <f t="shared" ca="1" si="30"/>
        <v>403343.26106942026</v>
      </c>
      <c r="P86" s="73">
        <f t="shared" ca="1" si="31"/>
        <v>381278.05561533535</v>
      </c>
      <c r="Q86" s="73">
        <f t="shared" ca="1" si="27"/>
        <v>2904.5999619120503</v>
      </c>
      <c r="R86" s="73">
        <f t="shared" ca="1" si="32"/>
        <v>240000</v>
      </c>
    </row>
    <row r="87" spans="11:18">
      <c r="K87" s="71">
        <v>81</v>
      </c>
      <c r="L87" s="72">
        <f t="shared" ca="1" si="26"/>
        <v>48760</v>
      </c>
      <c r="M87" s="73">
        <f t="shared" ca="1" si="28"/>
        <v>314857.79575647216</v>
      </c>
      <c r="N87" s="73">
        <f t="shared" ca="1" si="29"/>
        <v>359871.00124020327</v>
      </c>
      <c r="O87" s="73">
        <f t="shared" ca="1" si="30"/>
        <v>411275.28277531831</v>
      </c>
      <c r="P87" s="73">
        <f t="shared" ca="1" si="31"/>
        <v>388464.05093978613</v>
      </c>
      <c r="Q87" s="73">
        <f t="shared" ca="1" si="27"/>
        <v>2956.1972464754576</v>
      </c>
      <c r="R87" s="73">
        <f t="shared" ca="1" si="32"/>
        <v>243000</v>
      </c>
    </row>
    <row r="88" spans="11:18">
      <c r="K88" s="71">
        <v>82</v>
      </c>
      <c r="L88" s="72">
        <f t="shared" ca="1" si="26"/>
        <v>48790</v>
      </c>
      <c r="M88" s="73">
        <f t="shared" ca="1" si="28"/>
        <v>319820.17564024753</v>
      </c>
      <c r="N88" s="73">
        <f t="shared" ca="1" si="29"/>
        <v>366210.45412351779</v>
      </c>
      <c r="O88" s="73">
        <f t="shared" ca="1" si="30"/>
        <v>419304.29606878228</v>
      </c>
      <c r="P88" s="73">
        <f t="shared" ca="1" si="31"/>
        <v>395728.94024301867</v>
      </c>
      <c r="Q88" s="73">
        <f t="shared" ca="1" si="27"/>
        <v>3008.2733323318625</v>
      </c>
      <c r="R88" s="73">
        <f t="shared" ca="1" si="32"/>
        <v>246000</v>
      </c>
    </row>
    <row r="89" spans="11:18">
      <c r="K89" s="71">
        <v>83</v>
      </c>
      <c r="L89" s="72">
        <f t="shared" ca="1" si="26"/>
        <v>48821</v>
      </c>
      <c r="M89" s="73">
        <f t="shared" ca="1" si="28"/>
        <v>324813.48400853499</v>
      </c>
      <c r="N89" s="73">
        <f t="shared" ca="1" si="29"/>
        <v>372608.73448705958</v>
      </c>
      <c r="O89" s="73">
        <f t="shared" ca="1" si="30"/>
        <v>427431.48694859119</v>
      </c>
      <c r="P89" s="73">
        <f t="shared" ca="1" si="31"/>
        <v>403073.58969034581</v>
      </c>
      <c r="Q89" s="73">
        <f t="shared" ca="1" si="27"/>
        <v>3060.8326625576824</v>
      </c>
      <c r="R89" s="73">
        <f t="shared" ca="1" si="32"/>
        <v>249000</v>
      </c>
    </row>
    <row r="90" spans="11:18">
      <c r="K90" s="71">
        <v>84</v>
      </c>
      <c r="L90" s="72">
        <f t="shared" ca="1" si="26"/>
        <v>48852</v>
      </c>
      <c r="M90" s="73">
        <f t="shared" ca="1" si="28"/>
        <v>329837.91362593073</v>
      </c>
      <c r="N90" s="73">
        <f t="shared" ca="1" si="29"/>
        <v>379066.38822532352</v>
      </c>
      <c r="O90" s="73">
        <f t="shared" ca="1" si="30"/>
        <v>435658.05591574166</v>
      </c>
      <c r="P90" s="73">
        <f t="shared" ca="1" si="31"/>
        <v>410498.87495658104</v>
      </c>
      <c r="Q90" s="73">
        <f t="shared" ca="1" si="27"/>
        <v>3113.8797214592291</v>
      </c>
      <c r="R90" s="73">
        <f t="shared" ca="1" si="32"/>
        <v>252000</v>
      </c>
    </row>
    <row r="91" spans="11:18">
      <c r="K91" s="71">
        <v>85</v>
      </c>
      <c r="L91" s="72">
        <f t="shared" ca="1" si="26"/>
        <v>48882</v>
      </c>
      <c r="M91" s="73">
        <f t="shared" ca="1" si="28"/>
        <v>334893.65845845378</v>
      </c>
      <c r="N91" s="73">
        <f t="shared" ca="1" si="29"/>
        <v>385583.96629847802</v>
      </c>
      <c r="O91" s="73">
        <f t="shared" ca="1" si="30"/>
        <v>443985.21815077885</v>
      </c>
      <c r="P91" s="73">
        <f t="shared" ca="1" si="31"/>
        <v>418005.68133044214</v>
      </c>
      <c r="Q91" s="73">
        <f t="shared" ca="1" si="27"/>
        <v>3167.4190349553114</v>
      </c>
      <c r="R91" s="73">
        <f t="shared" ca="1" si="32"/>
        <v>255000</v>
      </c>
    </row>
    <row r="92" spans="11:18">
      <c r="K92" s="71">
        <v>86</v>
      </c>
      <c r="L92" s="72">
        <f t="shared" ca="1" si="26"/>
        <v>48913</v>
      </c>
      <c r="M92" s="73">
        <f t="shared" ca="1" si="28"/>
        <v>339980.91368103406</v>
      </c>
      <c r="N92" s="73">
        <f t="shared" ca="1" si="29"/>
        <v>392162.02477937198</v>
      </c>
      <c r="O92" s="73">
        <f t="shared" ca="1" si="30"/>
        <v>452414.20369329577</v>
      </c>
      <c r="P92" s="73">
        <f t="shared" ca="1" si="31"/>
        <v>425594.90382010047</v>
      </c>
      <c r="Q92" s="73">
        <f t="shared" ca="1" si="27"/>
        <v>3221.4551709633738</v>
      </c>
      <c r="R92" s="73">
        <f t="shared" ca="1" si="32"/>
        <v>258000</v>
      </c>
    </row>
    <row r="93" spans="11:18">
      <c r="K93" s="71">
        <v>87</v>
      </c>
      <c r="L93" s="72">
        <f t="shared" ca="1" si="26"/>
        <v>48943</v>
      </c>
      <c r="M93" s="73">
        <f t="shared" ca="1" si="28"/>
        <v>345099.87568504701</v>
      </c>
      <c r="N93" s="73">
        <f t="shared" ca="1" si="29"/>
        <v>398801.12490097864</v>
      </c>
      <c r="O93" s="73">
        <f t="shared" ca="1" si="30"/>
        <v>460946.25762362749</v>
      </c>
      <c r="P93" s="73">
        <f t="shared" ca="1" si="31"/>
        <v>433267.44725988968</v>
      </c>
      <c r="Q93" s="73">
        <f t="shared" ca="1" si="27"/>
        <v>3275.9927397892329</v>
      </c>
      <c r="R93" s="73">
        <f t="shared" ca="1" si="32"/>
        <v>261000</v>
      </c>
    </row>
    <row r="94" spans="11:18">
      <c r="K94" s="71">
        <v>88</v>
      </c>
      <c r="L94" s="72">
        <f t="shared" ca="1" si="26"/>
        <v>48974</v>
      </c>
      <c r="M94" s="73">
        <f t="shared" ca="1" si="28"/>
        <v>350250.74208589515</v>
      </c>
      <c r="N94" s="73">
        <f t="shared" ca="1" si="29"/>
        <v>405501.83310427936</v>
      </c>
      <c r="O94" s="73">
        <f t="shared" ca="1" si="30"/>
        <v>469582.64024676726</v>
      </c>
      <c r="P94" s="73">
        <f t="shared" ca="1" si="31"/>
        <v>441024.22641818557</v>
      </c>
      <c r="Q94" s="73">
        <f t="shared" ca="1" si="27"/>
        <v>3331.0363945204222</v>
      </c>
      <c r="R94" s="73">
        <f t="shared" ca="1" si="32"/>
        <v>264000</v>
      </c>
    </row>
    <row r="95" spans="11:18">
      <c r="K95" s="71">
        <v>89</v>
      </c>
      <c r="L95" s="72">
        <f t="shared" ca="1" si="26"/>
        <v>49003</v>
      </c>
      <c r="M95" s="73">
        <f t="shared" ca="1" si="28"/>
        <v>355433.71173063712</v>
      </c>
      <c r="N95" s="73">
        <f t="shared" ca="1" si="29"/>
        <v>412264.72108659154</v>
      </c>
      <c r="O95" s="73">
        <f t="shared" ca="1" si="30"/>
        <v>478324.62727853109</v>
      </c>
      <c r="P95" s="73">
        <f t="shared" ca="1" si="31"/>
        <v>448866.16610647063</v>
      </c>
      <c r="Q95" s="73">
        <f t="shared" ca="1" si="27"/>
        <v>3386.5908314231856</v>
      </c>
      <c r="R95" s="73">
        <f t="shared" ca="1" si="32"/>
        <v>267000</v>
      </c>
    </row>
    <row r="96" spans="11:18">
      <c r="K96" s="71">
        <v>90</v>
      </c>
      <c r="L96" s="72">
        <f t="shared" ca="1" si="26"/>
        <v>49033</v>
      </c>
      <c r="M96" s="73">
        <f t="shared" ca="1" si="28"/>
        <v>360648.98470566387</v>
      </c>
      <c r="N96" s="73">
        <f t="shared" ca="1" si="29"/>
        <v>419090.36585034546</v>
      </c>
      <c r="O96" s="73">
        <f t="shared" ca="1" si="30"/>
        <v>487173.5100339994</v>
      </c>
      <c r="P96" s="73">
        <f t="shared" ca="1" si="31"/>
        <v>456794.20128959551</v>
      </c>
      <c r="Q96" s="73">
        <f t="shared" ca="1" si="27"/>
        <v>3442.6607903431618</v>
      </c>
      <c r="R96" s="73">
        <f t="shared" ca="1" si="32"/>
        <v>270000</v>
      </c>
    </row>
    <row r="97" spans="11:18">
      <c r="K97" s="71">
        <v>91</v>
      </c>
      <c r="L97" s="72">
        <f t="shared" ca="1" si="26"/>
        <v>49064</v>
      </c>
      <c r="M97" s="73">
        <f t="shared" ca="1" si="28"/>
        <v>365896.76234442304</v>
      </c>
      <c r="N97" s="73">
        <f t="shared" ca="1" si="29"/>
        <v>425979.34975231357</v>
      </c>
      <c r="O97" s="73">
        <f t="shared" ca="1" si="30"/>
        <v>496130.59561826225</v>
      </c>
      <c r="P97" s="73">
        <f t="shared" ca="1" si="31"/>
        <v>464809.27719725174</v>
      </c>
      <c r="Q97" s="73">
        <f t="shared" ca="1" si="27"/>
        <v>3499.2510551097826</v>
      </c>
      <c r="R97" s="73">
        <f t="shared" ca="1" si="32"/>
        <v>273000</v>
      </c>
    </row>
    <row r="98" spans="11:18">
      <c r="K98" s="71">
        <v>92</v>
      </c>
      <c r="L98" s="72">
        <f t="shared" ca="1" si="26"/>
        <v>49094</v>
      </c>
      <c r="M98" s="73">
        <f t="shared" ca="1" si="28"/>
        <v>371177.24723519129</v>
      </c>
      <c r="N98" s="73">
        <f t="shared" ca="1" si="29"/>
        <v>432932.26055329613</v>
      </c>
      <c r="O98" s="73">
        <f t="shared" ca="1" si="30"/>
        <v>505197.2071194973</v>
      </c>
      <c r="P98" s="73">
        <f t="shared" ca="1" si="31"/>
        <v>472912.34943666751</v>
      </c>
      <c r="Q98" s="73">
        <f t="shared" ca="1" si="27"/>
        <v>3556.3664539444185</v>
      </c>
      <c r="R98" s="73">
        <f t="shared" ca="1" si="32"/>
        <v>276000</v>
      </c>
    </row>
    <row r="99" spans="11:18">
      <c r="K99" s="71">
        <v>93</v>
      </c>
      <c r="L99" s="72">
        <f t="shared" ca="1" si="26"/>
        <v>49125</v>
      </c>
      <c r="M99" s="73">
        <f t="shared" ca="1" si="28"/>
        <v>376490.64322889515</v>
      </c>
      <c r="N99" s="73">
        <f t="shared" ca="1" si="29"/>
        <v>439949.69146826887</v>
      </c>
      <c r="O99" s="73">
        <f t="shared" ca="1" si="30"/>
        <v>514374.68380440853</v>
      </c>
      <c r="P99" s="73">
        <f t="shared" ca="1" si="31"/>
        <v>481104.3841065414</v>
      </c>
      <c r="Q99" s="73">
        <f t="shared" ca="1" si="27"/>
        <v>3614.011859872327</v>
      </c>
      <c r="R99" s="73">
        <f t="shared" ca="1" si="32"/>
        <v>279000</v>
      </c>
    </row>
    <row r="100" spans="11:18">
      <c r="K100" s="71">
        <v>94</v>
      </c>
      <c r="L100" s="72">
        <f t="shared" ca="1" si="26"/>
        <v>49155</v>
      </c>
      <c r="M100" s="73">
        <f t="shared" ca="1" si="28"/>
        <v>381837.15544698067</v>
      </c>
      <c r="N100" s="73">
        <f t="shared" ca="1" si="29"/>
        <v>447032.24121699511</v>
      </c>
      <c r="O100" s="73">
        <f t="shared" ca="1" si="30"/>
        <v>523664.38131605519</v>
      </c>
      <c r="P100" s="73">
        <f t="shared" ca="1" si="31"/>
        <v>489386.35791222652</v>
      </c>
      <c r="Q100" s="73">
        <f t="shared" ca="1" si="27"/>
        <v>3672.1921911384038</v>
      </c>
      <c r="R100" s="73">
        <f t="shared" ca="1" si="32"/>
        <v>282000</v>
      </c>
    </row>
    <row r="101" spans="11:18">
      <c r="K101" s="71">
        <v>95</v>
      </c>
      <c r="L101" s="72">
        <f t="shared" ca="1" si="26"/>
        <v>49186</v>
      </c>
      <c r="M101" s="73">
        <f t="shared" ca="1" si="28"/>
        <v>387216.99028933194</v>
      </c>
      <c r="N101" s="73">
        <f t="shared" ca="1" si="29"/>
        <v>454180.51407510799</v>
      </c>
      <c r="O101" s="73">
        <f t="shared" ca="1" si="30"/>
        <v>533067.67187409906</v>
      </c>
      <c r="P101" s="73">
        <f t="shared" ca="1" si="31"/>
        <v>497759.25828217948</v>
      </c>
      <c r="Q101" s="73">
        <f t="shared" ca="1" si="27"/>
        <v>3730.9124116268108</v>
      </c>
      <c r="R101" s="73">
        <f t="shared" ca="1" si="32"/>
        <v>285000</v>
      </c>
    </row>
    <row r="102" spans="11:18">
      <c r="K102" s="71">
        <v>96</v>
      </c>
      <c r="L102" s="72">
        <f t="shared" ref="L102:L133" ca="1" si="33">EDATE(TODAY(),K102)</f>
        <v>49217</v>
      </c>
      <c r="M102" s="73">
        <f t="shared" ca="1" si="28"/>
        <v>392630.35544223903</v>
      </c>
      <c r="N102" s="73">
        <f t="shared" ca="1" si="29"/>
        <v>461395.11992566678</v>
      </c>
      <c r="O102" s="73">
        <f t="shared" ca="1" si="30"/>
        <v>542585.94447750098</v>
      </c>
      <c r="P102" s="73">
        <f t="shared" ca="1" si="31"/>
        <v>506224.08348568768</v>
      </c>
      <c r="Q102" s="73">
        <f t="shared" ref="Q102:Q126" ca="1" si="34">N102*PJ_DY/12</f>
        <v>3790.1775312844852</v>
      </c>
      <c r="R102" s="73">
        <f t="shared" ca="1" si="32"/>
        <v>288000</v>
      </c>
    </row>
    <row r="103" spans="11:18">
      <c r="K103" s="71">
        <v>97</v>
      </c>
      <c r="L103" s="72">
        <f t="shared" ca="1" si="33"/>
        <v>49247</v>
      </c>
      <c r="M103" s="73">
        <f t="shared" ref="M103:M126" ca="1" si="35">M102*(1+PJ_G_PESS)^(1/12)+PJ_APORTE+PJ_REINV*M102*PJ_DY/12</f>
        <v>398077.45988641598</v>
      </c>
      <c r="N103" s="73">
        <f t="shared" ref="N103:N126" ca="1" si="36">N102*(1+PJ_G_BASE)^(1/12)+PJ_APORTE+PJ_REINV*N102*PJ_DY/12</f>
        <v>468676.67431119113</v>
      </c>
      <c r="O103" s="73">
        <f t="shared" ref="O103:O126" ca="1" si="37">O102*(1+PJ_G_OTIM)^(1/12)+PJ_APORTE+PJ_REINV*O102*PJ_DY/12</f>
        <v>552220.60510969546</v>
      </c>
      <c r="P103" s="73">
        <f t="shared" ref="P103:P126" ca="1" si="38">P102*(1+PJ_CDI)^(1/12)+PJ_APORTE</f>
        <v>514781.84275188926</v>
      </c>
      <c r="Q103" s="73">
        <f t="shared" ca="1" si="34"/>
        <v>3849.9926065485815</v>
      </c>
      <c r="R103" s="73">
        <f t="shared" ref="R103:R126" ca="1" si="39">R102+PJ_APORTE</f>
        <v>291000</v>
      </c>
    </row>
    <row r="104" spans="11:18">
      <c r="K104" s="71">
        <v>98</v>
      </c>
      <c r="L104" s="72">
        <f t="shared" ca="1" si="33"/>
        <v>49278</v>
      </c>
      <c r="M104" s="73">
        <f t="shared" ca="1" si="35"/>
        <v>403558.51390506793</v>
      </c>
      <c r="N104" s="73">
        <f t="shared" ca="1" si="36"/>
        <v>476025.7984861788</v>
      </c>
      <c r="O104" s="73">
        <f t="shared" ca="1" si="37"/>
        <v>561973.07694627438</v>
      </c>
      <c r="P104" s="73">
        <f t="shared" ca="1" si="38"/>
        <v>523433.55639009969</v>
      </c>
      <c r="Q104" s="73">
        <f t="shared" ca="1" si="34"/>
        <v>3910.362740777884</v>
      </c>
      <c r="R104" s="73">
        <f t="shared" ca="1" si="39"/>
        <v>294000</v>
      </c>
    </row>
    <row r="105" spans="11:18">
      <c r="K105" s="71">
        <v>99</v>
      </c>
      <c r="L105" s="72">
        <f t="shared" ca="1" si="33"/>
        <v>49308</v>
      </c>
      <c r="M105" s="73">
        <f t="shared" ca="1" si="35"/>
        <v>409073.72909200937</v>
      </c>
      <c r="N105" s="73">
        <f t="shared" ca="1" si="36"/>
        <v>483443.11947011028</v>
      </c>
      <c r="O105" s="73">
        <f t="shared" ca="1" si="37"/>
        <v>571844.80056521017</v>
      </c>
      <c r="P105" s="73">
        <f t="shared" ca="1" si="38"/>
        <v>532180.25591145933</v>
      </c>
      <c r="Q105" s="73">
        <f t="shared" ca="1" si="34"/>
        <v>3971.2930846882209</v>
      </c>
      <c r="R105" s="73">
        <f t="shared" ca="1" si="39"/>
        <v>297000</v>
      </c>
    </row>
    <row r="106" spans="11:18">
      <c r="K106" s="71">
        <v>100</v>
      </c>
      <c r="L106" s="72">
        <f t="shared" ca="1" si="33"/>
        <v>49339</v>
      </c>
      <c r="M106" s="73">
        <f t="shared" ca="1" si="35"/>
        <v>414623.31835983245</v>
      </c>
      <c r="N106" s="73">
        <f t="shared" ca="1" si="36"/>
        <v>490929.27010094543</v>
      </c>
      <c r="O106" s="73">
        <f t="shared" ca="1" si="37"/>
        <v>581837.23415964958</v>
      </c>
      <c r="P106" s="73">
        <f t="shared" ca="1" si="38"/>
        <v>541022.98415191669</v>
      </c>
      <c r="Q106" s="73">
        <f t="shared" ca="1" si="34"/>
        <v>4032.7888367919145</v>
      </c>
      <c r="R106" s="73">
        <f t="shared" ca="1" si="39"/>
        <v>300000</v>
      </c>
    </row>
    <row r="107" spans="11:18">
      <c r="K107" s="71">
        <v>101</v>
      </c>
      <c r="L107" s="72">
        <f t="shared" ca="1" si="33"/>
        <v>49368</v>
      </c>
      <c r="M107" s="73">
        <f t="shared" ca="1" si="35"/>
        <v>420207.49594812642</v>
      </c>
      <c r="N107" s="73">
        <f t="shared" ca="1" si="36"/>
        <v>498484.88908911677</v>
      </c>
      <c r="O107" s="73">
        <f t="shared" ca="1" si="37"/>
        <v>591951.85375330911</v>
      </c>
      <c r="P107" s="73">
        <f t="shared" ca="1" si="38"/>
        <v>549962.79539656162</v>
      </c>
      <c r="Q107" s="73">
        <f t="shared" ca="1" si="34"/>
        <v>4094.8552438413149</v>
      </c>
      <c r="R107" s="73">
        <f t="shared" ca="1" si="39"/>
        <v>303000</v>
      </c>
    </row>
    <row r="108" spans="11:18">
      <c r="K108" s="71">
        <v>102</v>
      </c>
      <c r="L108" s="72">
        <f t="shared" ca="1" si="33"/>
        <v>49398</v>
      </c>
      <c r="M108" s="73">
        <f t="shared" ca="1" si="35"/>
        <v>425826.47743174835</v>
      </c>
      <c r="N108" s="73">
        <f t="shared" ca="1" si="36"/>
        <v>506110.62107202318</v>
      </c>
      <c r="O108" s="73">
        <f t="shared" ca="1" si="37"/>
        <v>602190.15341850522</v>
      </c>
      <c r="P108" s="73">
        <f t="shared" ca="1" si="38"/>
        <v>559000.75550532399</v>
      </c>
      <c r="Q108" s="73">
        <f t="shared" ca="1" si="34"/>
        <v>4157.4976012764473</v>
      </c>
      <c r="R108" s="73">
        <f t="shared" ca="1" si="39"/>
        <v>306000</v>
      </c>
    </row>
    <row r="109" spans="11:18">
      <c r="K109" s="71">
        <v>103</v>
      </c>
      <c r="L109" s="72">
        <f t="shared" ca="1" si="33"/>
        <v>49429</v>
      </c>
      <c r="M109" s="73">
        <f t="shared" ca="1" si="35"/>
        <v>431480.47972914524</v>
      </c>
      <c r="N109" s="73">
        <f t="shared" ca="1" si="36"/>
        <v>513807.11666903005</v>
      </c>
      <c r="O109" s="73">
        <f t="shared" ca="1" si="37"/>
        <v>612553.64549684932</v>
      </c>
      <c r="P109" s="73">
        <f t="shared" ca="1" si="38"/>
        <v>568137.94204005203</v>
      </c>
      <c r="Q109" s="73">
        <f t="shared" ca="1" si="34"/>
        <v>4220.7212536768129</v>
      </c>
      <c r="R109" s="73">
        <f t="shared" ca="1" si="39"/>
        <v>309000</v>
      </c>
    </row>
    <row r="110" spans="11:18">
      <c r="K110" s="71">
        <v>104</v>
      </c>
      <c r="L110" s="72">
        <f t="shared" ca="1" si="33"/>
        <v>49459</v>
      </c>
      <c r="M110" s="73">
        <f t="shared" ca="1" si="35"/>
        <v>437169.72111072793</v>
      </c>
      <c r="N110" s="73">
        <f t="shared" ca="1" si="36"/>
        <v>521575.03253697918</v>
      </c>
      <c r="O110" s="73">
        <f t="shared" ca="1" si="37"/>
        <v>623043.86082264211</v>
      </c>
      <c r="P110" s="73">
        <f t="shared" ca="1" si="38"/>
        <v>577375.44439298601</v>
      </c>
      <c r="Q110" s="73">
        <f t="shared" ca="1" si="34"/>
        <v>4284.5315952173833</v>
      </c>
      <c r="R110" s="73">
        <f t="shared" ca="1" si="39"/>
        <v>312000</v>
      </c>
    </row>
    <row r="111" spans="11:18">
      <c r="K111" s="71">
        <v>105</v>
      </c>
      <c r="L111" s="72">
        <f t="shared" ca="1" si="33"/>
        <v>49490</v>
      </c>
      <c r="M111" s="73">
        <f t="shared" ca="1" si="35"/>
        <v>442894.42120729759</v>
      </c>
      <c r="N111" s="73">
        <f t="shared" ca="1" si="36"/>
        <v>529415.03142621426</v>
      </c>
      <c r="O111" s="73">
        <f t="shared" ca="1" si="37"/>
        <v>633662.34894899977</v>
      </c>
      <c r="P111" s="73">
        <f t="shared" ca="1" si="38"/>
        <v>586714.36391664227</v>
      </c>
      <c r="Q111" s="73">
        <f t="shared" ca="1" si="34"/>
        <v>4348.9340701288238</v>
      </c>
      <c r="R111" s="73">
        <f t="shared" ca="1" si="39"/>
        <v>315000</v>
      </c>
    </row>
    <row r="112" spans="11:18">
      <c r="K112" s="71">
        <v>106</v>
      </c>
      <c r="L112" s="72">
        <f t="shared" ca="1" si="33"/>
        <v>49520</v>
      </c>
      <c r="M112" s="73">
        <f t="shared" ca="1" si="35"/>
        <v>448654.80101852439</v>
      </c>
      <c r="N112" s="73">
        <f t="shared" ca="1" si="36"/>
        <v>537327.78223712568</v>
      </c>
      <c r="O112" s="73">
        <f t="shared" ca="1" si="37"/>
        <v>644410.67837674473</v>
      </c>
      <c r="P112" s="73">
        <f t="shared" ca="1" si="38"/>
        <v>596155.81405512325</v>
      </c>
      <c r="Q112" s="73">
        <f t="shared" ca="1" si="34"/>
        <v>4413.9341731619925</v>
      </c>
      <c r="R112" s="73">
        <f t="shared" ca="1" si="39"/>
        <v>318000</v>
      </c>
    </row>
    <row r="113" spans="11:18">
      <c r="K113" s="71">
        <v>107</v>
      </c>
      <c r="L113" s="72">
        <f t="shared" ca="1" si="33"/>
        <v>49551</v>
      </c>
      <c r="M113" s="73">
        <f t="shared" ca="1" si="35"/>
        <v>454451.08292147896</v>
      </c>
      <c r="N113" s="73">
        <f t="shared" ca="1" si="36"/>
        <v>545313.96007722081</v>
      </c>
      <c r="O113" s="73">
        <f t="shared" ca="1" si="37"/>
        <v>655290.43678609503</v>
      </c>
      <c r="P113" s="73">
        <f t="shared" ca="1" si="38"/>
        <v>605700.92047686956</v>
      </c>
      <c r="Q113" s="73">
        <f t="shared" ca="1" si="34"/>
        <v>4479.5374500567441</v>
      </c>
      <c r="R113" s="73">
        <f t="shared" ca="1" si="39"/>
        <v>321000</v>
      </c>
    </row>
    <row r="114" spans="11:18">
      <c r="K114" s="71">
        <v>108</v>
      </c>
      <c r="L114" s="72">
        <f t="shared" ca="1" si="33"/>
        <v>49582</v>
      </c>
      <c r="M114" s="73">
        <f t="shared" ca="1" si="35"/>
        <v>460283.49067921733</v>
      </c>
      <c r="N114" s="73">
        <f t="shared" ca="1" si="36"/>
        <v>553374.24631872331</v>
      </c>
      <c r="O114" s="73">
        <f t="shared" ca="1" si="37"/>
        <v>666303.23127118789</v>
      </c>
      <c r="P114" s="73">
        <f t="shared" ca="1" si="38"/>
        <v>615350.82120886887</v>
      </c>
      <c r="Q114" s="73">
        <f t="shared" ca="1" si="34"/>
        <v>4545.7494980150886</v>
      </c>
      <c r="R114" s="73">
        <f t="shared" ca="1" si="39"/>
        <v>324000</v>
      </c>
    </row>
    <row r="115" spans="11:18">
      <c r="K115" s="71">
        <v>109</v>
      </c>
      <c r="L115" s="72">
        <f t="shared" ca="1" si="33"/>
        <v>49612</v>
      </c>
      <c r="M115" s="73">
        <f t="shared" ca="1" si="35"/>
        <v>466152.24944941915</v>
      </c>
      <c r="N115" s="73">
        <f t="shared" ca="1" si="36"/>
        <v>561509.32865670696</v>
      </c>
      <c r="O115" s="73">
        <f t="shared" ca="1" si="37"/>
        <v>677450.68857746955</v>
      </c>
      <c r="P115" s="73">
        <f t="shared" ca="1" si="38"/>
        <v>625106.66677233868</v>
      </c>
      <c r="Q115" s="73">
        <f t="shared" ca="1" si="34"/>
        <v>4612.5759661787361</v>
      </c>
      <c r="R115" s="73">
        <f t="shared" ca="1" si="39"/>
        <v>327000</v>
      </c>
    </row>
    <row r="116" spans="11:18">
      <c r="K116" s="71">
        <v>110</v>
      </c>
      <c r="L116" s="72">
        <f t="shared" ca="1" si="33"/>
        <v>49643</v>
      </c>
      <c r="M116" s="73">
        <f t="shared" ca="1" si="35"/>
        <v>472057.58579307987</v>
      </c>
      <c r="N116" s="73">
        <f t="shared" ca="1" si="36"/>
        <v>569719.90116776922</v>
      </c>
      <c r="O116" s="73">
        <f t="shared" ca="1" si="37"/>
        <v>688734.45534198871</v>
      </c>
      <c r="P116" s="73">
        <f t="shared" ca="1" si="38"/>
        <v>634969.62031989859</v>
      </c>
      <c r="Q116" s="73">
        <f t="shared" ca="1" si="34"/>
        <v>4680.0225561110774</v>
      </c>
      <c r="R116" s="73">
        <f t="shared" ca="1" si="39"/>
        <v>330000</v>
      </c>
    </row>
    <row r="117" spans="11:18">
      <c r="K117" s="71">
        <v>111</v>
      </c>
      <c r="L117" s="72">
        <f t="shared" ca="1" si="33"/>
        <v>49673</v>
      </c>
      <c r="M117" s="73">
        <f t="shared" ca="1" si="35"/>
        <v>477999.72768325685</v>
      </c>
      <c r="N117" s="73">
        <f t="shared" ca="1" si="36"/>
        <v>578006.66436924902</v>
      </c>
      <c r="O117" s="73">
        <f t="shared" ca="1" si="37"/>
        <v>700156.1983366285</v>
      </c>
      <c r="P117" s="73">
        <f t="shared" ca="1" si="38"/>
        <v>644940.85777424858</v>
      </c>
      <c r="Q117" s="73">
        <f t="shared" ca="1" si="34"/>
        <v>4748.0950222836373</v>
      </c>
      <c r="R117" s="73">
        <f t="shared" ca="1" si="39"/>
        <v>333000</v>
      </c>
    </row>
    <row r="118" spans="11:18">
      <c r="K118" s="71">
        <v>112</v>
      </c>
      <c r="L118" s="72">
        <f t="shared" ca="1" si="33"/>
        <v>49704</v>
      </c>
      <c r="M118" s="73">
        <f t="shared" ca="1" si="35"/>
        <v>483978.90451387037</v>
      </c>
      <c r="N118" s="73">
        <f t="shared" ca="1" si="36"/>
        <v>586370.32527899405</v>
      </c>
      <c r="O118" s="73">
        <f t="shared" ca="1" si="37"/>
        <v>711717.60471431178</v>
      </c>
      <c r="P118" s="73">
        <f t="shared" ca="1" si="38"/>
        <v>655021.56796836993</v>
      </c>
      <c r="Q118" s="73">
        <f t="shared" ca="1" si="34"/>
        <v>4816.7991725670317</v>
      </c>
      <c r="R118" s="73">
        <f t="shared" ca="1" si="39"/>
        <v>336000</v>
      </c>
    </row>
    <row r="119" spans="11:18">
      <c r="K119" s="71">
        <v>113</v>
      </c>
      <c r="L119" s="72">
        <f t="shared" ca="1" si="33"/>
        <v>49734</v>
      </c>
      <c r="M119" s="73">
        <f t="shared" ca="1" si="35"/>
        <v>489995.34710855922</v>
      </c>
      <c r="N119" s="73">
        <f t="shared" ca="1" si="36"/>
        <v>594811.59747568332</v>
      </c>
      <c r="O119" s="73">
        <f t="shared" ca="1" si="37"/>
        <v>723420.38225821767</v>
      </c>
      <c r="P119" s="73">
        <f t="shared" ca="1" si="38"/>
        <v>665212.95278726518</v>
      </c>
      <c r="Q119" s="73">
        <f t="shared" ca="1" si="34"/>
        <v>4886.140868726502</v>
      </c>
      <c r="R119" s="73">
        <f t="shared" ca="1" si="39"/>
        <v>339000</v>
      </c>
    </row>
    <row r="120" spans="11:18">
      <c r="K120" s="71">
        <v>114</v>
      </c>
      <c r="L120" s="72">
        <f t="shared" ca="1" si="33"/>
        <v>49764</v>
      </c>
      <c r="M120" s="73">
        <f t="shared" ca="1" si="35"/>
        <v>496049.28772959148</v>
      </c>
      <c r="N120" s="73">
        <f t="shared" ca="1" si="36"/>
        <v>603331.20115970809</v>
      </c>
      <c r="O120" s="73">
        <f t="shared" ca="1" si="37"/>
        <v>735266.25963404542</v>
      </c>
      <c r="P120" s="73">
        <f t="shared" ca="1" si="38"/>
        <v>675516.22731125425</v>
      </c>
      <c r="Q120" s="73">
        <f t="shared" ca="1" si="34"/>
        <v>4956.1260269220238</v>
      </c>
      <c r="R120" s="73">
        <f t="shared" ca="1" si="39"/>
        <v>342000</v>
      </c>
    </row>
    <row r="121" spans="11:18">
      <c r="K121" s="71">
        <v>115</v>
      </c>
      <c r="L121" s="72">
        <f t="shared" ca="1" si="33"/>
        <v>49795</v>
      </c>
      <c r="M121" s="73">
        <f t="shared" ca="1" si="35"/>
        <v>502140.96008683101</v>
      </c>
      <c r="N121" s="73">
        <f t="shared" ca="1" si="36"/>
        <v>611929.86321461922</v>
      </c>
      <c r="O121" s="73">
        <f t="shared" ca="1" si="37"/>
        <v>747256.98664536257</v>
      </c>
      <c r="P121" s="73">
        <f t="shared" ca="1" si="38"/>
        <v>685932.61996084417</v>
      </c>
      <c r="Q121" s="73">
        <f t="shared" ca="1" si="34"/>
        <v>5026.7606182130694</v>
      </c>
      <c r="R121" s="73">
        <f t="shared" ca="1" si="39"/>
        <v>345000</v>
      </c>
    </row>
    <row r="122" spans="11:18">
      <c r="K122" s="71">
        <v>116</v>
      </c>
      <c r="L122" s="72">
        <f t="shared" ca="1" si="33"/>
        <v>49825</v>
      </c>
      <c r="M122" s="73">
        <f t="shared" ca="1" si="35"/>
        <v>508270.59934675961</v>
      </c>
      <c r="N122" s="73">
        <f t="shared" ca="1" si="36"/>
        <v>620608.317269144</v>
      </c>
      <c r="O122" s="73">
        <f t="shared" ca="1" si="37"/>
        <v>759394.33449207561</v>
      </c>
      <c r="P122" s="73">
        <f t="shared" ca="1" si="38"/>
        <v>696463.37264318892</v>
      </c>
      <c r="Q122" s="73">
        <f t="shared" ca="1" si="34"/>
        <v>5098.0506690680586</v>
      </c>
      <c r="R122" s="73">
        <f t="shared" ca="1" si="39"/>
        <v>348000</v>
      </c>
    </row>
    <row r="123" spans="11:18">
      <c r="K123" s="71">
        <v>117</v>
      </c>
      <c r="L123" s="72">
        <f t="shared" ca="1" si="33"/>
        <v>49856</v>
      </c>
      <c r="M123" s="73">
        <f t="shared" ca="1" si="35"/>
        <v>514438.44214155572</v>
      </c>
      <c r="N123" s="73">
        <f t="shared" ca="1" si="36"/>
        <v>629367.30375977838</v>
      </c>
      <c r="O123" s="73">
        <f t="shared" ca="1" si="37"/>
        <v>771680.0960320615</v>
      </c>
      <c r="P123" s="73">
        <f t="shared" ca="1" si="38"/>
        <v>707109.74090015702</v>
      </c>
      <c r="Q123" s="73">
        <f t="shared" ca="1" si="34"/>
        <v>5170.0022618785224</v>
      </c>
      <c r="R123" s="73">
        <f t="shared" ca="1" si="39"/>
        <v>351000</v>
      </c>
    </row>
    <row r="124" spans="11:18">
      <c r="K124" s="71">
        <v>118</v>
      </c>
      <c r="L124" s="72">
        <f t="shared" ca="1" si="33"/>
        <v>49886</v>
      </c>
      <c r="M124" s="73">
        <f t="shared" ca="1" si="35"/>
        <v>520644.72657822928</v>
      </c>
      <c r="N124" s="73">
        <f t="shared" ca="1" si="36"/>
        <v>638207.56999396055</v>
      </c>
      <c r="O124" s="73">
        <f t="shared" ca="1" si="37"/>
        <v>784116.0860459978</v>
      </c>
      <c r="P124" s="73">
        <f t="shared" ca="1" si="38"/>
        <v>717872.9940580253</v>
      </c>
      <c r="Q124" s="73">
        <f t="shared" ca="1" si="34"/>
        <v>5242.6215354780534</v>
      </c>
      <c r="R124" s="73">
        <f t="shared" ca="1" si="39"/>
        <v>354000</v>
      </c>
    </row>
    <row r="125" spans="11:18">
      <c r="K125" s="71">
        <v>119</v>
      </c>
      <c r="L125" s="72">
        <f t="shared" ca="1" si="33"/>
        <v>49917</v>
      </c>
      <c r="M125" s="73">
        <f t="shared" ca="1" si="35"/>
        <v>526889.69224781392</v>
      </c>
      <c r="N125" s="73">
        <f t="shared" ca="1" si="36"/>
        <v>647129.87021383003</v>
      </c>
      <c r="O125" s="73">
        <f t="shared" ca="1" si="37"/>
        <v>796704.14150543208</v>
      </c>
      <c r="P125" s="73">
        <f t="shared" ca="1" si="38"/>
        <v>728754.41537881608</v>
      </c>
      <c r="Q125" s="73">
        <f t="shared" ca="1" si="34"/>
        <v>5315.9146856660564</v>
      </c>
      <c r="R125" s="73">
        <f t="shared" ca="1" si="39"/>
        <v>357000</v>
      </c>
    </row>
    <row r="126" spans="11:18">
      <c r="K126" s="71">
        <v>120</v>
      </c>
      <c r="L126" s="72">
        <f t="shared" ca="1" si="33"/>
        <v>49948</v>
      </c>
      <c r="M126" s="73">
        <f t="shared" ca="1" si="35"/>
        <v>533173.58023461618</v>
      </c>
      <c r="N126" s="73">
        <f t="shared" ca="1" si="36"/>
        <v>656134.96566057904</v>
      </c>
      <c r="O126" s="73">
        <f t="shared" ca="1" si="37"/>
        <v>809446.12184412766</v>
      </c>
      <c r="P126" s="73">
        <f t="shared" ca="1" si="38"/>
        <v>739755.30221329536</v>
      </c>
      <c r="Q126" s="73">
        <f t="shared" ca="1" si="34"/>
        <v>5389.8879657363768</v>
      </c>
      <c r="R126" s="73">
        <f t="shared" ca="1" si="39"/>
        <v>360000</v>
      </c>
    </row>
    <row r="150" spans="1:1">
      <c r="A150" s="45" t="s">
        <v>85</v>
      </c>
    </row>
    <row r="151" spans="1:1">
      <c r="A151" s="46" t="s">
        <v>286</v>
      </c>
    </row>
    <row r="152" spans="1:1">
      <c r="A152" s="46" t="s">
        <v>287</v>
      </c>
    </row>
    <row r="153" spans="1:1">
      <c r="A153" s="46" t="s">
        <v>288</v>
      </c>
    </row>
    <row r="154" spans="1:1">
      <c r="A154" s="46" t="s">
        <v>289</v>
      </c>
    </row>
  </sheetData>
  <conditionalFormatting sqref="H17:H26">
    <cfRule type="cellIs" dxfId="1" priority="1" operator="lessThan">
      <formula>0</formula>
    </cfRule>
    <cfRule type="cellIs" dxfId="0" priority="2" operator="greaterThan">
      <formula>0</formula>
    </cfRule>
  </conditionalFormatting>
  <conditionalFormatting sqref="I17:I26">
    <cfRule type="dataBar" priority="3">
      <dataBar>
        <cfvo type="num" val="0"/>
        <cfvo type="num" val="1"/>
        <color rgb="FF0D9488"/>
      </dataBar>
    </cfRule>
  </conditionalFormatting>
  <pageMargins left="0.75" right="0.75" top="1" bottom="1" header="0.5" footer="0.5"/>
  <pageSetup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16A34A"/>
    <pageSetUpPr fitToPage="1"/>
  </sheetPr>
  <dimension ref="A1:AN28"/>
  <sheetViews>
    <sheetView showGridLines="0" showRowColHeaders="0" workbookViewId="0">
      <pane ySplit="3" topLeftCell="A4" activePane="bottomLeft" state="frozen"/>
      <selection pane="bottomLeft"/>
    </sheetView>
  </sheetViews>
  <sheetFormatPr defaultRowHeight="15"/>
  <cols>
    <col min="1" max="1" width="2" customWidth="1"/>
    <col min="2" max="2" width="30" customWidth="1"/>
    <col min="3" max="3" width="22" customWidth="1"/>
    <col min="4" max="4" width="3" customWidth="1"/>
    <col min="5" max="5" width="30" customWidth="1"/>
    <col min="6" max="6" width="20" customWidth="1"/>
    <col min="7" max="7" width="3" customWidth="1"/>
    <col min="8" max="8" width="11" customWidth="1"/>
    <col min="9" max="10" width="10" customWidth="1"/>
    <col min="11" max="11" width="9" customWidth="1"/>
    <col min="12" max="12" width="12" customWidth="1"/>
  </cols>
  <sheetData>
    <row r="1" spans="1:40" ht="33.950000000000003" customHeight="1">
      <c r="A1" s="1" t="s">
        <v>290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291</v>
      </c>
      <c r="L3" s="79" t="s">
        <v>292</v>
      </c>
    </row>
    <row r="4" spans="1:40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40">
      <c r="A5" s="4"/>
      <c r="B5" s="80" t="s">
        <v>293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</row>
    <row r="6" spans="1:40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40" ht="30" customHeight="1">
      <c r="A7" s="4"/>
      <c r="B7" s="187" t="s">
        <v>294</v>
      </c>
      <c r="C7" s="188"/>
      <c r="D7" s="4"/>
      <c r="E7" s="189" t="s">
        <v>295</v>
      </c>
      <c r="F7" s="190"/>
      <c r="G7" s="4"/>
      <c r="H7" s="189" t="s">
        <v>296</v>
      </c>
      <c r="I7" s="190"/>
      <c r="J7" s="190"/>
      <c r="K7" s="190"/>
      <c r="L7" s="190"/>
      <c r="M7" s="4"/>
    </row>
    <row r="8" spans="1:40" ht="24" customHeight="1">
      <c r="A8" s="4"/>
      <c r="B8" s="81" t="s">
        <v>297</v>
      </c>
      <c r="C8" s="82"/>
      <c r="D8" s="4"/>
      <c r="E8" s="81" t="s">
        <v>298</v>
      </c>
      <c r="F8" s="82"/>
      <c r="G8" s="4"/>
      <c r="H8" s="83" t="s">
        <v>260</v>
      </c>
      <c r="I8" s="83" t="s">
        <v>54</v>
      </c>
      <c r="J8" s="83" t="s">
        <v>299</v>
      </c>
      <c r="K8" s="83" t="s">
        <v>300</v>
      </c>
      <c r="L8" s="83" t="s">
        <v>301</v>
      </c>
      <c r="M8" s="4"/>
    </row>
    <row r="9" spans="1:40" ht="24" customHeight="1">
      <c r="A9" s="4"/>
      <c r="B9" s="81" t="s">
        <v>54</v>
      </c>
      <c r="C9" s="84"/>
      <c r="D9" s="4"/>
      <c r="E9" s="81" t="s">
        <v>54</v>
      </c>
      <c r="F9" s="84"/>
      <c r="G9" s="4"/>
      <c r="H9" s="85" t="str">
        <f>IF((COUNTA(Lançamentos!$B:$B)+3-0)&lt;5,"",INDEX(Lançamentos!$A:$A,(COUNTA(Lançamentos!$B:$B)+3-0)))</f>
        <v/>
      </c>
      <c r="I9" s="86" t="str">
        <f>IF((COUNTA(Lançamentos!$B:$B)+3-0)&lt;5,"",INDEX(Lançamentos!$B:$B,(COUNTA(Lançamentos!$B:$B)+3-0)))</f>
        <v/>
      </c>
      <c r="J9" s="87" t="str">
        <f>IF((COUNTA(Lançamentos!$B:$B)+3-0)&lt;5,"",INDEX(Lançamentos!$C:$C,(COUNTA(Lançamentos!$B:$B)+3-0)))</f>
        <v/>
      </c>
      <c r="K9" s="88" t="str">
        <f>IF((COUNTA(Lançamentos!$B:$B)+3-0)&lt;5,"",INDEX(Lançamentos!$D:$D,(COUNTA(Lançamentos!$B:$B)+3-0)))</f>
        <v/>
      </c>
      <c r="L9" s="89" t="str">
        <f>IF((COUNTA(Lançamentos!$B:$B)+3-0)&lt;5,"",INDEX(Lançamentos!$E:$E,(COUNTA(Lançamentos!$B:$B)+3-0)))</f>
        <v/>
      </c>
      <c r="M9" s="4"/>
    </row>
    <row r="10" spans="1:40" ht="24" customHeight="1">
      <c r="A10" s="4"/>
      <c r="B10" s="81" t="s">
        <v>302</v>
      </c>
      <c r="C10" s="84"/>
      <c r="D10" s="4"/>
      <c r="E10" s="81" t="s">
        <v>303</v>
      </c>
      <c r="F10" s="84"/>
      <c r="G10" s="4"/>
      <c r="H10" s="85" t="str">
        <f>IF((COUNTA(Lançamentos!$B:$B)+3-1)&lt;5,"",INDEX(Lançamentos!$A:$A,(COUNTA(Lançamentos!$B:$B)+3-1)))</f>
        <v/>
      </c>
      <c r="I10" s="86" t="str">
        <f>IF((COUNTA(Lançamentos!$B:$B)+3-1)&lt;5,"",INDEX(Lançamentos!$B:$B,(COUNTA(Lançamentos!$B:$B)+3-1)))</f>
        <v/>
      </c>
      <c r="J10" s="87" t="str">
        <f>IF((COUNTA(Lançamentos!$B:$B)+3-1)&lt;5,"",INDEX(Lançamentos!$C:$C,(COUNTA(Lançamentos!$B:$B)+3-1)))</f>
        <v/>
      </c>
      <c r="K10" s="88" t="str">
        <f>IF((COUNTA(Lançamentos!$B:$B)+3-1)&lt;5,"",INDEX(Lançamentos!$D:$D,(COUNTA(Lançamentos!$B:$B)+3-1)))</f>
        <v/>
      </c>
      <c r="L10" s="89" t="str">
        <f>IF((COUNTA(Lançamentos!$B:$B)+3-1)&lt;5,"",INDEX(Lançamentos!$E:$E,(COUNTA(Lançamentos!$B:$B)+3-1)))</f>
        <v/>
      </c>
      <c r="M10" s="4"/>
    </row>
    <row r="11" spans="1:40" ht="24" customHeight="1">
      <c r="A11" s="4"/>
      <c r="B11" s="81" t="s">
        <v>304</v>
      </c>
      <c r="C11" s="90"/>
      <c r="D11" s="4"/>
      <c r="E11" s="81" t="s">
        <v>305</v>
      </c>
      <c r="F11" s="91"/>
      <c r="G11" s="4"/>
      <c r="H11" s="85" t="str">
        <f>IF((COUNTA(Lançamentos!$B:$B)+3-2)&lt;5,"",INDEX(Lançamentos!$A:$A,(COUNTA(Lançamentos!$B:$B)+3-2)))</f>
        <v/>
      </c>
      <c r="I11" s="86" t="str">
        <f>IF((COUNTA(Lançamentos!$B:$B)+3-2)&lt;5,"",INDEX(Lançamentos!$B:$B,(COUNTA(Lançamentos!$B:$B)+3-2)))</f>
        <v/>
      </c>
      <c r="J11" s="87" t="str">
        <f>IF((COUNTA(Lançamentos!$B:$B)+3-2)&lt;5,"",INDEX(Lançamentos!$C:$C,(COUNTA(Lançamentos!$B:$B)+3-2)))</f>
        <v/>
      </c>
      <c r="K11" s="88" t="str">
        <f>IF((COUNTA(Lançamentos!$B:$B)+3-2)&lt;5,"",INDEX(Lançamentos!$D:$D,(COUNTA(Lançamentos!$B:$B)+3-2)))</f>
        <v/>
      </c>
      <c r="L11" s="89" t="str">
        <f>IF((COUNTA(Lançamentos!$B:$B)+3-2)&lt;5,"",INDEX(Lançamentos!$E:$E,(COUNTA(Lançamentos!$B:$B)+3-2)))</f>
        <v/>
      </c>
      <c r="M11" s="4"/>
    </row>
    <row r="12" spans="1:40" ht="24" customHeight="1">
      <c r="A12" s="4"/>
      <c r="B12" s="81" t="s">
        <v>306</v>
      </c>
      <c r="C12" s="92"/>
      <c r="D12" s="4"/>
      <c r="E12" s="81" t="s">
        <v>307</v>
      </c>
      <c r="F12" s="90"/>
      <c r="G12" s="4"/>
      <c r="H12" s="85" t="str">
        <f>IF((COUNTA(Lançamentos!$B:$B)+3-3)&lt;5,"",INDEX(Lançamentos!$A:$A,(COUNTA(Lançamentos!$B:$B)+3-3)))</f>
        <v/>
      </c>
      <c r="I12" s="86" t="str">
        <f>IF((COUNTA(Lançamentos!$B:$B)+3-3)&lt;5,"",INDEX(Lançamentos!$B:$B,(COUNTA(Lançamentos!$B:$B)+3-3)))</f>
        <v/>
      </c>
      <c r="J12" s="87" t="str">
        <f>IF((COUNTA(Lançamentos!$B:$B)+3-3)&lt;5,"",INDEX(Lançamentos!$C:$C,(COUNTA(Lançamentos!$B:$B)+3-3)))</f>
        <v/>
      </c>
      <c r="K12" s="88" t="str">
        <f>IF((COUNTA(Lançamentos!$B:$B)+3-3)&lt;5,"",INDEX(Lançamentos!$D:$D,(COUNTA(Lançamentos!$B:$B)+3-3)))</f>
        <v/>
      </c>
      <c r="L12" s="89" t="str">
        <f>IF((COUNTA(Lançamentos!$B:$B)+3-3)&lt;5,"",INDEX(Lançamentos!$E:$E,(COUNTA(Lançamentos!$B:$B)+3-3)))</f>
        <v/>
      </c>
      <c r="M12" s="4"/>
    </row>
    <row r="13" spans="1:40" ht="18" customHeight="1">
      <c r="A13" s="4"/>
      <c r="B13" s="81" t="s">
        <v>308</v>
      </c>
      <c r="C13" s="92"/>
      <c r="D13" s="4"/>
      <c r="E13" s="183" t="s">
        <v>309</v>
      </c>
      <c r="F13" s="184"/>
      <c r="G13" s="4"/>
      <c r="H13" s="85" t="str">
        <f>IF((COUNTA(Lançamentos!$B:$B)+3-4)&lt;5,"",INDEX(Lançamentos!$A:$A,(COUNTA(Lançamentos!$B:$B)+3-4)))</f>
        <v/>
      </c>
      <c r="I13" s="86" t="str">
        <f>IF((COUNTA(Lançamentos!$B:$B)+3-4)&lt;5,"",INDEX(Lançamentos!$B:$B,(COUNTA(Lançamentos!$B:$B)+3-4)))</f>
        <v/>
      </c>
      <c r="J13" s="87" t="str">
        <f>IF((COUNTA(Lançamentos!$B:$B)+3-4)&lt;5,"",INDEX(Lançamentos!$C:$C,(COUNTA(Lançamentos!$B:$B)+3-4)))</f>
        <v/>
      </c>
      <c r="K13" s="88" t="str">
        <f>IF((COUNTA(Lançamentos!$B:$B)+3-4)&lt;5,"",INDEX(Lançamentos!$D:$D,(COUNTA(Lançamentos!$B:$B)+3-4)))</f>
        <v/>
      </c>
      <c r="L13" s="89" t="str">
        <f>IF((COUNTA(Lançamentos!$B:$B)+3-4)&lt;5,"",INDEX(Lançamentos!$E:$E,(COUNTA(Lançamentos!$B:$B)+3-4)))</f>
        <v/>
      </c>
      <c r="M13" s="4"/>
    </row>
    <row r="14" spans="1:40" ht="21" customHeight="1">
      <c r="A14" s="4"/>
      <c r="B14" s="183" t="s">
        <v>310</v>
      </c>
      <c r="C14" s="184"/>
      <c r="D14" s="4"/>
      <c r="E14" s="81" t="s">
        <v>96</v>
      </c>
      <c r="F14" s="93" t="str">
        <f>IF(pv_ticker="","",IFERROR(INDEX(Carteira!$C$5:$C$20,MATCH(pv_ticker,Carteira!$A$5:$A$20,0)),0))</f>
        <v/>
      </c>
      <c r="G14" s="4"/>
      <c r="H14" s="85" t="str">
        <f>IF((COUNTA(Lançamentos!$B:$B)+3-5)&lt;5,"",INDEX(Lançamentos!$A:$A,(COUNTA(Lançamentos!$B:$B)+3-5)))</f>
        <v/>
      </c>
      <c r="I14" s="86" t="str">
        <f>IF((COUNTA(Lançamentos!$B:$B)+3-5)&lt;5,"",INDEX(Lançamentos!$B:$B,(COUNTA(Lançamentos!$B:$B)+3-5)))</f>
        <v/>
      </c>
      <c r="J14" s="87" t="str">
        <f>IF((COUNTA(Lançamentos!$B:$B)+3-5)&lt;5,"",INDEX(Lançamentos!$C:$C,(COUNTA(Lançamentos!$B:$B)+3-5)))</f>
        <v/>
      </c>
      <c r="K14" s="88" t="str">
        <f>IF((COUNTA(Lançamentos!$B:$B)+3-5)&lt;5,"",INDEX(Lançamentos!$D:$D,(COUNTA(Lançamentos!$B:$B)+3-5)))</f>
        <v/>
      </c>
      <c r="L14" s="89" t="str">
        <f>IF((COUNTA(Lançamentos!$B:$B)+3-5)&lt;5,"",INDEX(Lançamentos!$E:$E,(COUNTA(Lançamentos!$B:$B)+3-5)))</f>
        <v/>
      </c>
      <c r="M14" s="4"/>
    </row>
    <row r="15" spans="1:40" ht="21" customHeight="1">
      <c r="A15" s="4"/>
      <c r="B15" s="81" t="s">
        <v>226</v>
      </c>
      <c r="C15" s="94" t="str">
        <f>IF(lc_ticker="","",IFERROR(INDEX(Ativos!$B$5:$B$20,MATCH(lc_ticker,Ativos!$A$5:$A$20,0))&amp;"  •  "&amp;INDEX(Ativos!$C$5:$C$20,MATCH(lc_ticker,Ativos!$A$5:$A$20,0)),"Ticker novo — preencha Tipo e Segmento abaixo"))</f>
        <v/>
      </c>
      <c r="D15" s="4"/>
      <c r="E15" s="81" t="s">
        <v>311</v>
      </c>
      <c r="F15" s="95" t="str">
        <f>IF(pv_valor="","",pv_valor*IF(pv_qtd="",N(pv_tem),pv_qtd))</f>
        <v/>
      </c>
      <c r="G15" s="4"/>
      <c r="H15" s="85" t="str">
        <f>IF((COUNTA(Lançamentos!$B:$B)+3-6)&lt;5,"",INDEX(Lançamentos!$A:$A,(COUNTA(Lançamentos!$B:$B)+3-6)))</f>
        <v/>
      </c>
      <c r="I15" s="86" t="str">
        <f>IF((COUNTA(Lançamentos!$B:$B)+3-6)&lt;5,"",INDEX(Lançamentos!$B:$B,(COUNTA(Lançamentos!$B:$B)+3-6)))</f>
        <v/>
      </c>
      <c r="J15" s="87" t="str">
        <f>IF((COUNTA(Lançamentos!$B:$B)+3-6)&lt;5,"",INDEX(Lançamentos!$C:$C,(COUNTA(Lançamentos!$B:$B)+3-6)))</f>
        <v/>
      </c>
      <c r="K15" s="88" t="str">
        <f>IF((COUNTA(Lançamentos!$B:$B)+3-6)&lt;5,"",INDEX(Lançamentos!$D:$D,(COUNTA(Lançamentos!$B:$B)+3-6)))</f>
        <v/>
      </c>
      <c r="L15" s="89" t="str">
        <f>IF((COUNTA(Lançamentos!$B:$B)+3-6)&lt;5,"",INDEX(Lançamentos!$E:$E,(COUNTA(Lançamentos!$B:$B)+3-6)))</f>
        <v/>
      </c>
      <c r="M15" s="4"/>
    </row>
    <row r="16" spans="1:40" ht="30" customHeight="1">
      <c r="A16" s="4"/>
      <c r="B16" s="81" t="s">
        <v>312</v>
      </c>
      <c r="C16" s="96" t="str">
        <f>IF(lc_ticker="","",IFERROR(INDEX(Ativos!$D$5:$D$20,MATCH(lc_ticker,Ativos!$A$5:$A$20,0)),""))</f>
        <v/>
      </c>
      <c r="D16" s="4"/>
      <c r="E16" s="185"/>
      <c r="F16" s="186"/>
      <c r="G16" s="4"/>
      <c r="H16" s="85" t="str">
        <f>IF((COUNTA(Lançamentos!$B:$B)+3-7)&lt;5,"",INDEX(Lançamentos!$A:$A,(COUNTA(Lançamentos!$B:$B)+3-7)))</f>
        <v/>
      </c>
      <c r="I16" s="86" t="str">
        <f>IF((COUNTA(Lançamentos!$B:$B)+3-7)&lt;5,"",INDEX(Lançamentos!$B:$B,(COUNTA(Lançamentos!$B:$B)+3-7)))</f>
        <v/>
      </c>
      <c r="J16" s="87" t="str">
        <f>IF((COUNTA(Lançamentos!$B:$B)+3-7)&lt;5,"",INDEX(Lançamentos!$C:$C,(COUNTA(Lançamentos!$B:$B)+3-7)))</f>
        <v/>
      </c>
      <c r="K16" s="88" t="str">
        <f>IF((COUNTA(Lançamentos!$B:$B)+3-7)&lt;5,"",INDEX(Lançamentos!$D:$D,(COUNTA(Lançamentos!$B:$B)+3-7)))</f>
        <v/>
      </c>
      <c r="L16" s="89" t="str">
        <f>IF((COUNTA(Lançamentos!$B:$B)+3-7)&lt;5,"",INDEX(Lançamentos!$E:$E,(COUNTA(Lançamentos!$B:$B)+3-7)))</f>
        <v/>
      </c>
      <c r="M16" s="4"/>
    </row>
    <row r="17" spans="1:13" ht="15" customHeight="1">
      <c r="A17" s="4"/>
      <c r="B17" s="81" t="s">
        <v>96</v>
      </c>
      <c r="C17" s="93" t="str">
        <f>IF(lc_ticker="","",IFERROR(INDEX(Carteira!$C$5:$C$20,MATCH(lc_ticker,Carteira!$A$5:$A$20,0)),0))</f>
        <v/>
      </c>
      <c r="D17" s="4"/>
      <c r="E17" s="4"/>
      <c r="F17" s="4"/>
      <c r="G17" s="4"/>
      <c r="H17" s="85" t="str">
        <f>IF((COUNTA(Lançamentos!$B:$B)+3-8)&lt;5,"",INDEX(Lançamentos!$A:$A,(COUNTA(Lançamentos!$B:$B)+3-8)))</f>
        <v/>
      </c>
      <c r="I17" s="86" t="str">
        <f>IF((COUNTA(Lançamentos!$B:$B)+3-8)&lt;5,"",INDEX(Lançamentos!$B:$B,(COUNTA(Lançamentos!$B:$B)+3-8)))</f>
        <v/>
      </c>
      <c r="J17" s="87" t="str">
        <f>IF((COUNTA(Lançamentos!$B:$B)+3-8)&lt;5,"",INDEX(Lançamentos!$C:$C,(COUNTA(Lançamentos!$B:$B)+3-8)))</f>
        <v/>
      </c>
      <c r="K17" s="88" t="str">
        <f>IF((COUNTA(Lançamentos!$B:$B)+3-8)&lt;5,"",INDEX(Lançamentos!$D:$D,(COUNTA(Lançamentos!$B:$B)+3-8)))</f>
        <v/>
      </c>
      <c r="L17" s="89" t="str">
        <f>IF((COUNTA(Lançamentos!$B:$B)+3-8)&lt;5,"",INDEX(Lançamentos!$E:$E,(COUNTA(Lançamentos!$B:$B)+3-8)))</f>
        <v/>
      </c>
      <c r="M17" s="4"/>
    </row>
    <row r="18" spans="1:13" ht="32.1" customHeight="1">
      <c r="A18" s="4"/>
      <c r="B18" s="183" t="s">
        <v>313</v>
      </c>
      <c r="C18" s="184"/>
      <c r="D18" s="4"/>
      <c r="E18" s="4"/>
      <c r="F18" s="4"/>
      <c r="G18" s="4"/>
      <c r="H18" s="85" t="str">
        <f>IF((COUNTA(Lançamentos!$B:$B)+3-9)&lt;5,"",INDEX(Lançamentos!$A:$A,(COUNTA(Lançamentos!$B:$B)+3-9)))</f>
        <v/>
      </c>
      <c r="I18" s="86" t="str">
        <f>IF((COUNTA(Lançamentos!$B:$B)+3-9)&lt;5,"",INDEX(Lançamentos!$B:$B,(COUNTA(Lançamentos!$B:$B)+3-9)))</f>
        <v/>
      </c>
      <c r="J18" s="87" t="str">
        <f>IF((COUNTA(Lançamentos!$B:$B)+3-9)&lt;5,"",INDEX(Lançamentos!$C:$C,(COUNTA(Lançamentos!$B:$B)+3-9)))</f>
        <v/>
      </c>
      <c r="K18" s="88" t="str">
        <f>IF((COUNTA(Lançamentos!$B:$B)+3-9)&lt;5,"",INDEX(Lançamentos!$D:$D,(COUNTA(Lançamentos!$B:$B)+3-9)))</f>
        <v/>
      </c>
      <c r="L18" s="89" t="str">
        <f>IF((COUNTA(Lançamentos!$B:$B)+3-9)&lt;5,"",INDEX(Lançamentos!$E:$E,(COUNTA(Lançamentos!$B:$B)+3-9)))</f>
        <v/>
      </c>
      <c r="M18" s="4"/>
    </row>
    <row r="19" spans="1:13" ht="24" customHeight="1">
      <c r="A19" s="4"/>
      <c r="B19" s="81" t="s">
        <v>314</v>
      </c>
      <c r="C19" s="84"/>
      <c r="D19" s="4"/>
      <c r="E19" s="4"/>
      <c r="F19" s="4"/>
      <c r="G19" s="4"/>
      <c r="H19" s="85" t="str">
        <f>IF((COUNTA(Lançamentos!$B:$B)+3-10)&lt;5,"",INDEX(Lançamentos!$A:$A,(COUNTA(Lançamentos!$B:$B)+3-10)))</f>
        <v/>
      </c>
      <c r="I19" s="86" t="str">
        <f>IF((COUNTA(Lançamentos!$B:$B)+3-10)&lt;5,"",INDEX(Lançamentos!$B:$B,(COUNTA(Lançamentos!$B:$B)+3-10)))</f>
        <v/>
      </c>
      <c r="J19" s="87" t="str">
        <f>IF((COUNTA(Lançamentos!$B:$B)+3-10)&lt;5,"",INDEX(Lançamentos!$C:$C,(COUNTA(Lançamentos!$B:$B)+3-10)))</f>
        <v/>
      </c>
      <c r="K19" s="88" t="str">
        <f>IF((COUNTA(Lançamentos!$B:$B)+3-10)&lt;5,"",INDEX(Lançamentos!$D:$D,(COUNTA(Lançamentos!$B:$B)+3-10)))</f>
        <v/>
      </c>
      <c r="L19" s="89" t="str">
        <f>IF((COUNTA(Lançamentos!$B:$B)+3-10)&lt;5,"",INDEX(Lançamentos!$E:$E,(COUNTA(Lançamentos!$B:$B)+3-10)))</f>
        <v/>
      </c>
      <c r="M19" s="4"/>
    </row>
    <row r="20" spans="1:13" ht="24" customHeight="1">
      <c r="A20" s="4"/>
      <c r="B20" s="81" t="s">
        <v>81</v>
      </c>
      <c r="C20" s="84"/>
      <c r="D20" s="4"/>
      <c r="E20" s="4"/>
      <c r="F20" s="4"/>
      <c r="G20" s="4"/>
      <c r="H20" s="85" t="str">
        <f>IF((COUNTA(Lançamentos!$B:$B)+3-11)&lt;5,"",INDEX(Lançamentos!$A:$A,(COUNTA(Lançamentos!$B:$B)+3-11)))</f>
        <v/>
      </c>
      <c r="I20" s="86" t="str">
        <f>IF((COUNTA(Lançamentos!$B:$B)+3-11)&lt;5,"",INDEX(Lançamentos!$B:$B,(COUNTA(Lançamentos!$B:$B)+3-11)))</f>
        <v/>
      </c>
      <c r="J20" s="87" t="str">
        <f>IF((COUNTA(Lançamentos!$B:$B)+3-11)&lt;5,"",INDEX(Lançamentos!$C:$C,(COUNTA(Lançamentos!$B:$B)+3-11)))</f>
        <v/>
      </c>
      <c r="K20" s="88" t="str">
        <f>IF((COUNTA(Lançamentos!$B:$B)+3-11)&lt;5,"",INDEX(Lançamentos!$D:$D,(COUNTA(Lançamentos!$B:$B)+3-11)))</f>
        <v/>
      </c>
      <c r="L20" s="89" t="str">
        <f>IF((COUNTA(Lançamentos!$B:$B)+3-11)&lt;5,"",INDEX(Lançamentos!$E:$E,(COUNTA(Lançamentos!$B:$B)+3-11)))</f>
        <v/>
      </c>
      <c r="M20" s="4"/>
    </row>
    <row r="21" spans="1:13" ht="18" customHeight="1">
      <c r="A21" s="4"/>
      <c r="B21" s="183" t="s">
        <v>315</v>
      </c>
      <c r="C21" s="184"/>
      <c r="D21" s="4"/>
      <c r="E21" s="4"/>
      <c r="F21" s="4"/>
      <c r="G21" s="4"/>
      <c r="H21" s="85" t="str">
        <f>IF((COUNTA(Lançamentos!$B:$B)+3-12)&lt;5,"",INDEX(Lançamentos!$A:$A,(COUNTA(Lançamentos!$B:$B)+3-12)))</f>
        <v/>
      </c>
      <c r="I21" s="86" t="str">
        <f>IF((COUNTA(Lançamentos!$B:$B)+3-12)&lt;5,"",INDEX(Lançamentos!$B:$B,(COUNTA(Lançamentos!$B:$B)+3-12)))</f>
        <v/>
      </c>
      <c r="J21" s="87" t="str">
        <f>IF((COUNTA(Lançamentos!$B:$B)+3-12)&lt;5,"",INDEX(Lançamentos!$C:$C,(COUNTA(Lançamentos!$B:$B)+3-12)))</f>
        <v/>
      </c>
      <c r="K21" s="88" t="str">
        <f>IF((COUNTA(Lançamentos!$B:$B)+3-12)&lt;5,"",INDEX(Lançamentos!$D:$D,(COUNTA(Lançamentos!$B:$B)+3-12)))</f>
        <v/>
      </c>
      <c r="L21" s="89" t="str">
        <f>IF((COUNTA(Lançamentos!$B:$B)+3-12)&lt;5,"",INDEX(Lançamentos!$E:$E,(COUNTA(Lançamentos!$B:$B)+3-12)))</f>
        <v/>
      </c>
      <c r="M21" s="4"/>
    </row>
    <row r="22" spans="1:13" ht="21" customHeight="1">
      <c r="A22" s="4"/>
      <c r="B22" s="81" t="s">
        <v>316</v>
      </c>
      <c r="C22" s="95" t="str">
        <f>IF(lc_qtd="","",lc_qtd*IF(lc_preco="",N(lc_cot),lc_preco)+N(lc_custos))</f>
        <v/>
      </c>
      <c r="D22" s="4"/>
      <c r="E22" s="4"/>
      <c r="F22" s="4"/>
      <c r="G22" s="4"/>
      <c r="H22" s="85" t="str">
        <f>IF((COUNTA(Lançamentos!$B:$B)+3-13)&lt;5,"",INDEX(Lançamentos!$A:$A,(COUNTA(Lançamentos!$B:$B)+3-13)))</f>
        <v/>
      </c>
      <c r="I22" s="86" t="str">
        <f>IF((COUNTA(Lançamentos!$B:$B)+3-13)&lt;5,"",INDEX(Lançamentos!$B:$B,(COUNTA(Lançamentos!$B:$B)+3-13)))</f>
        <v/>
      </c>
      <c r="J22" s="87" t="str">
        <f>IF((COUNTA(Lançamentos!$B:$B)+3-13)&lt;5,"",INDEX(Lançamentos!$C:$C,(COUNTA(Lançamentos!$B:$B)+3-13)))</f>
        <v/>
      </c>
      <c r="K22" s="88" t="str">
        <f>IF((COUNTA(Lançamentos!$B:$B)+3-13)&lt;5,"",INDEX(Lançamentos!$D:$D,(COUNTA(Lançamentos!$B:$B)+3-13)))</f>
        <v/>
      </c>
      <c r="L22" s="89" t="str">
        <f>IF((COUNTA(Lançamentos!$B:$B)+3-13)&lt;5,"",INDEX(Lançamentos!$E:$E,(COUNTA(Lançamentos!$B:$B)+3-13)))</f>
        <v/>
      </c>
      <c r="M22" s="4"/>
    </row>
    <row r="23" spans="1:13" ht="21" customHeight="1">
      <c r="A23" s="4"/>
      <c r="B23" s="81" t="s">
        <v>317</v>
      </c>
      <c r="C23" s="93" t="str">
        <f>IF(lc_qtd="","",N(lc_tem)+IF(UPPER(lc_op)="VENDA",-1,1)*lc_qtd)</f>
        <v/>
      </c>
      <c r="D23" s="4"/>
      <c r="E23" s="4"/>
      <c r="F23" s="4"/>
      <c r="G23" s="4"/>
      <c r="H23" s="85" t="str">
        <f>IF((COUNTA(Lançamentos!$B:$B)+3-14)&lt;5,"",INDEX(Lançamentos!$A:$A,(COUNTA(Lançamentos!$B:$B)+3-14)))</f>
        <v/>
      </c>
      <c r="I23" s="86" t="str">
        <f>IF((COUNTA(Lançamentos!$B:$B)+3-14)&lt;5,"",INDEX(Lançamentos!$B:$B,(COUNTA(Lançamentos!$B:$B)+3-14)))</f>
        <v/>
      </c>
      <c r="J23" s="87" t="str">
        <f>IF((COUNTA(Lançamentos!$B:$B)+3-14)&lt;5,"",INDEX(Lançamentos!$C:$C,(COUNTA(Lançamentos!$B:$B)+3-14)))</f>
        <v/>
      </c>
      <c r="K23" s="88" t="str">
        <f>IF((COUNTA(Lançamentos!$B:$B)+3-14)&lt;5,"",INDEX(Lançamentos!$D:$D,(COUNTA(Lançamentos!$B:$B)+3-14)))</f>
        <v/>
      </c>
      <c r="L23" s="89" t="str">
        <f>IF((COUNTA(Lançamentos!$B:$B)+3-14)&lt;5,"",INDEX(Lançamentos!$E:$E,(COUNTA(Lançamentos!$B:$B)+3-14)))</f>
        <v/>
      </c>
      <c r="M23" s="4"/>
    </row>
    <row r="24" spans="1:13" ht="30" customHeight="1">
      <c r="A24" s="4"/>
      <c r="B24" s="185"/>
      <c r="C24" s="186"/>
      <c r="D24" s="4"/>
      <c r="E24" s="4"/>
      <c r="F24" s="4"/>
      <c r="G24" s="4"/>
      <c r="H24" s="80" t="s">
        <v>318</v>
      </c>
      <c r="I24" s="4"/>
      <c r="J24" s="4"/>
      <c r="K24" s="4"/>
      <c r="L24" s="4"/>
      <c r="M24" s="4"/>
    </row>
    <row r="25" spans="1:13" ht="1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ht="32.1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</sheetData>
  <mergeCells count="9">
    <mergeCell ref="B21:C21"/>
    <mergeCell ref="B24:C24"/>
    <mergeCell ref="E16:F16"/>
    <mergeCell ref="B7:C7"/>
    <mergeCell ref="H7:L7"/>
    <mergeCell ref="E7:F7"/>
    <mergeCell ref="B14:C14"/>
    <mergeCell ref="E13:F13"/>
    <mergeCell ref="B18:C18"/>
  </mergeCells>
  <dataValidations count="3">
    <dataValidation type="list" allowBlank="1" sqref="C10" xr:uid="{00000000-0002-0000-0700-000001000000}">
      <formula1>"COMPRA,VENDA"</formula1>
    </dataValidation>
    <dataValidation type="list" allowBlank="1" sqref="C19" xr:uid="{00000000-0002-0000-0700-000002000000}">
      <formula1>"AÇÃO,FII"</formula1>
    </dataValidation>
    <dataValidation type="list" allowBlank="1" sqref="F10" xr:uid="{00000000-0002-0000-0700-000004000000}">
      <formula1>"DIVIDENDO,JCP,RENDIMENTO,AMORTIZAÇÃO"</formula1>
    </dataValidation>
  </dataValidations>
  <pageMargins left="0.75" right="0.75" top="1" bottom="1" header="0.5" footer="0.5"/>
  <pageSetup fitToHeight="0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Ativos!$A$5:$A$20</xm:f>
          </x14:formula1>
          <xm:sqref>C9 F9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64748B"/>
    <pageSetUpPr fitToPage="1"/>
  </sheetPr>
  <dimension ref="A1:AN25"/>
  <sheetViews>
    <sheetView showGridLines="0" workbookViewId="0">
      <pane xSplit="1" ySplit="4" topLeftCell="B5" activePane="bottomRight" state="frozen"/>
      <selection pane="topRight"/>
      <selection pane="bottomLeft"/>
      <selection pane="bottomRight"/>
    </sheetView>
  </sheetViews>
  <sheetFormatPr defaultRowHeight="15"/>
  <cols>
    <col min="1" max="1" width="11" customWidth="1"/>
    <col min="2" max="2" width="8" customWidth="1"/>
    <col min="3" max="3" width="26" customWidth="1"/>
    <col min="4" max="4" width="14" customWidth="1"/>
    <col min="5" max="5" width="16" customWidth="1"/>
    <col min="6" max="6" width="11" customWidth="1"/>
    <col min="7" max="8" width="14" customWidth="1"/>
  </cols>
  <sheetData>
    <row r="1" spans="1:40" ht="33.950000000000003" customHeight="1">
      <c r="A1" s="1" t="s">
        <v>319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320</v>
      </c>
    </row>
    <row r="4" spans="1:40" ht="32.1" customHeight="1">
      <c r="A4" s="19" t="s">
        <v>54</v>
      </c>
      <c r="B4" s="19" t="s">
        <v>55</v>
      </c>
      <c r="C4" s="19" t="s">
        <v>81</v>
      </c>
      <c r="D4" s="19" t="s">
        <v>59</v>
      </c>
      <c r="E4" s="19" t="s">
        <v>73</v>
      </c>
      <c r="F4" s="19" t="s">
        <v>70</v>
      </c>
      <c r="G4" s="19" t="s">
        <v>321</v>
      </c>
    </row>
    <row r="5" spans="1:40">
      <c r="A5" s="97" t="s">
        <v>177</v>
      </c>
      <c r="B5" s="97" t="s">
        <v>322</v>
      </c>
      <c r="C5" s="97" t="s">
        <v>323</v>
      </c>
      <c r="D5" s="98">
        <v>71.16</v>
      </c>
      <c r="E5" s="98">
        <v>5.6124999999999998</v>
      </c>
      <c r="F5" s="74">
        <v>0.1</v>
      </c>
      <c r="G5" s="62" t="s">
        <v>324</v>
      </c>
    </row>
    <row r="6" spans="1:40">
      <c r="A6" s="97" t="s">
        <v>178</v>
      </c>
      <c r="B6" s="97" t="s">
        <v>322</v>
      </c>
      <c r="C6" s="97" t="s">
        <v>325</v>
      </c>
      <c r="D6" s="98">
        <v>40.22</v>
      </c>
      <c r="E6" s="98">
        <v>3.0065</v>
      </c>
      <c r="F6" s="74">
        <v>0.05</v>
      </c>
      <c r="G6" s="62" t="s">
        <v>324</v>
      </c>
    </row>
    <row r="7" spans="1:40">
      <c r="A7" s="97" t="s">
        <v>179</v>
      </c>
      <c r="B7" s="97" t="s">
        <v>322</v>
      </c>
      <c r="C7" s="97" t="s">
        <v>326</v>
      </c>
      <c r="D7" s="98">
        <v>48.72</v>
      </c>
      <c r="E7" s="98">
        <v>3.6642999999999999</v>
      </c>
      <c r="F7" s="74">
        <v>7.0000000000000007E-2</v>
      </c>
      <c r="G7" s="62" t="s">
        <v>324</v>
      </c>
    </row>
    <row r="8" spans="1:40">
      <c r="A8" s="97" t="s">
        <v>180</v>
      </c>
      <c r="B8" s="97" t="s">
        <v>322</v>
      </c>
      <c r="C8" s="97" t="s">
        <v>327</v>
      </c>
      <c r="D8" s="98">
        <v>21.49</v>
      </c>
      <c r="E8" s="98">
        <v>0.65500000000000003</v>
      </c>
      <c r="F8" s="74">
        <v>0.06</v>
      </c>
      <c r="G8" s="62" t="s">
        <v>324</v>
      </c>
    </row>
    <row r="9" spans="1:40">
      <c r="A9" s="97" t="s">
        <v>181</v>
      </c>
      <c r="B9" s="97" t="s">
        <v>322</v>
      </c>
      <c r="C9" s="97" t="s">
        <v>328</v>
      </c>
      <c r="D9" s="98">
        <v>14.5</v>
      </c>
      <c r="E9" s="98">
        <v>1.38</v>
      </c>
      <c r="F9" s="74">
        <v>0.05</v>
      </c>
      <c r="G9" s="62" t="s">
        <v>324</v>
      </c>
    </row>
    <row r="10" spans="1:40">
      <c r="A10" s="97" t="s">
        <v>182</v>
      </c>
      <c r="B10" s="97" t="s">
        <v>322</v>
      </c>
      <c r="C10" s="97" t="s">
        <v>327</v>
      </c>
      <c r="D10" s="98">
        <v>17.66</v>
      </c>
      <c r="E10" s="98">
        <v>1.5528</v>
      </c>
      <c r="F10" s="74">
        <v>0.05</v>
      </c>
      <c r="G10" s="62" t="s">
        <v>324</v>
      </c>
    </row>
    <row r="11" spans="1:40">
      <c r="A11" s="97" t="s">
        <v>183</v>
      </c>
      <c r="B11" s="97" t="s">
        <v>322</v>
      </c>
      <c r="C11" s="97" t="s">
        <v>329</v>
      </c>
      <c r="D11" s="98">
        <v>13.95</v>
      </c>
      <c r="E11" s="98">
        <v>1.1277999999999999</v>
      </c>
      <c r="F11" s="74">
        <v>0.1</v>
      </c>
      <c r="G11" s="62" t="s">
        <v>324</v>
      </c>
    </row>
    <row r="12" spans="1:40">
      <c r="A12" s="97" t="s">
        <v>184</v>
      </c>
      <c r="B12" s="97" t="s">
        <v>322</v>
      </c>
      <c r="C12" s="97" t="s">
        <v>330</v>
      </c>
      <c r="D12" s="98">
        <v>10.84</v>
      </c>
      <c r="E12" s="98">
        <v>1.3507</v>
      </c>
      <c r="F12" s="74">
        <v>0.1</v>
      </c>
      <c r="G12" s="62" t="s">
        <v>324</v>
      </c>
    </row>
    <row r="13" spans="1:40">
      <c r="A13" s="97" t="s">
        <v>185</v>
      </c>
      <c r="B13" s="97" t="s">
        <v>322</v>
      </c>
      <c r="C13" s="97" t="s">
        <v>331</v>
      </c>
      <c r="D13" s="98">
        <v>4.92</v>
      </c>
      <c r="E13" s="98">
        <v>0.68200000000000005</v>
      </c>
      <c r="F13" s="74">
        <v>0.05</v>
      </c>
      <c r="G13" s="62" t="s">
        <v>324</v>
      </c>
    </row>
    <row r="14" spans="1:40">
      <c r="A14" s="97" t="s">
        <v>186</v>
      </c>
      <c r="B14" s="97" t="s">
        <v>322</v>
      </c>
      <c r="C14" s="97" t="s">
        <v>332</v>
      </c>
      <c r="D14" s="98">
        <v>18.309999999999999</v>
      </c>
      <c r="E14" s="98">
        <v>1.1611</v>
      </c>
      <c r="F14" s="74">
        <v>7.0000000000000007E-2</v>
      </c>
      <c r="G14" s="62" t="s">
        <v>324</v>
      </c>
    </row>
    <row r="15" spans="1:40">
      <c r="A15" s="97" t="s">
        <v>187</v>
      </c>
      <c r="B15" s="97" t="s">
        <v>333</v>
      </c>
      <c r="C15" s="97" t="s">
        <v>334</v>
      </c>
      <c r="D15" s="98">
        <v>9.08</v>
      </c>
      <c r="E15" s="98">
        <v>1.1942999999999999</v>
      </c>
      <c r="F15" s="74">
        <v>0.05</v>
      </c>
      <c r="G15" s="62" t="s">
        <v>324</v>
      </c>
    </row>
    <row r="16" spans="1:40">
      <c r="A16" s="97" t="s">
        <v>188</v>
      </c>
      <c r="B16" s="97" t="s">
        <v>333</v>
      </c>
      <c r="C16" s="97" t="s">
        <v>335</v>
      </c>
      <c r="D16" s="98">
        <v>41.31</v>
      </c>
      <c r="E16" s="98">
        <v>4.92</v>
      </c>
      <c r="F16" s="74">
        <v>0.04</v>
      </c>
      <c r="G16" s="62" t="s">
        <v>324</v>
      </c>
    </row>
    <row r="17" spans="1:7">
      <c r="A17" s="97" t="s">
        <v>189</v>
      </c>
      <c r="B17" s="97" t="s">
        <v>333</v>
      </c>
      <c r="C17" s="97" t="s">
        <v>336</v>
      </c>
      <c r="D17" s="98">
        <v>92.54</v>
      </c>
      <c r="E17" s="98">
        <v>9.84</v>
      </c>
      <c r="F17" s="74">
        <v>0.06</v>
      </c>
      <c r="G17" s="62" t="s">
        <v>324</v>
      </c>
    </row>
    <row r="18" spans="1:7">
      <c r="A18" s="97" t="s">
        <v>190</v>
      </c>
      <c r="B18" s="97" t="s">
        <v>333</v>
      </c>
      <c r="C18" s="97" t="s">
        <v>337</v>
      </c>
      <c r="D18" s="98">
        <v>99.17</v>
      </c>
      <c r="E18" s="98">
        <v>11.0694</v>
      </c>
      <c r="F18" s="74">
        <v>0.05</v>
      </c>
      <c r="G18" s="62" t="s">
        <v>324</v>
      </c>
    </row>
    <row r="19" spans="1:7">
      <c r="A19" s="97" t="s">
        <v>191</v>
      </c>
      <c r="B19" s="97" t="s">
        <v>333</v>
      </c>
      <c r="C19" s="97" t="s">
        <v>338</v>
      </c>
      <c r="D19" s="98">
        <v>9.81</v>
      </c>
      <c r="E19" s="98">
        <v>1.58</v>
      </c>
      <c r="F19" s="74">
        <v>0.06</v>
      </c>
      <c r="G19" s="62" t="s">
        <v>339</v>
      </c>
    </row>
    <row r="20" spans="1:7">
      <c r="A20" s="97" t="s">
        <v>192</v>
      </c>
      <c r="B20" s="97" t="s">
        <v>333</v>
      </c>
      <c r="C20" s="97" t="s">
        <v>340</v>
      </c>
      <c r="D20" s="98">
        <v>7.42</v>
      </c>
      <c r="E20" s="98">
        <v>1.08</v>
      </c>
      <c r="F20" s="74">
        <v>0.04</v>
      </c>
      <c r="G20" s="62" t="s">
        <v>324</v>
      </c>
    </row>
    <row r="21" spans="1:7">
      <c r="A21" s="40" t="s">
        <v>51</v>
      </c>
      <c r="B21" s="40"/>
      <c r="C21" s="40"/>
      <c r="D21" s="40"/>
      <c r="E21" s="40"/>
      <c r="F21" s="42">
        <f>SUM(F5:F20)</f>
        <v>1.0000000000000002</v>
      </c>
      <c r="G21" s="40"/>
    </row>
    <row r="23" spans="1:7">
      <c r="A23" s="45" t="s">
        <v>341</v>
      </c>
    </row>
    <row r="24" spans="1:7">
      <c r="A24" s="46" t="s">
        <v>342</v>
      </c>
    </row>
    <row r="25" spans="1:7">
      <c r="A25" s="46" t="s">
        <v>343</v>
      </c>
    </row>
  </sheetData>
  <pageMargins left="0.75" right="0.75" top="1" bottom="1" header="0.5" footer="0.5"/>
  <pageSetup fitToHeight="0" orientation="landscape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rgb="FF64748B"/>
    <pageSetUpPr fitToPage="1"/>
  </sheetPr>
  <dimension ref="A1:AN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12" customWidth="1"/>
    <col min="2" max="2" width="10" customWidth="1"/>
    <col min="3" max="3" width="11" customWidth="1"/>
    <col min="4" max="5" width="12" customWidth="1"/>
    <col min="6" max="6" width="11" customWidth="1"/>
    <col min="7" max="7" width="15" customWidth="1"/>
  </cols>
  <sheetData>
    <row r="1" spans="1:40" ht="33.950000000000003" customHeight="1">
      <c r="A1" s="1" t="s">
        <v>344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345</v>
      </c>
    </row>
    <row r="4" spans="1:40" ht="32.1" customHeight="1">
      <c r="A4" s="19" t="s">
        <v>260</v>
      </c>
      <c r="B4" s="19" t="s">
        <v>54</v>
      </c>
      <c r="C4" s="19" t="s">
        <v>299</v>
      </c>
      <c r="D4" s="19" t="s">
        <v>346</v>
      </c>
      <c r="E4" s="19" t="s">
        <v>301</v>
      </c>
      <c r="F4" s="19" t="s">
        <v>347</v>
      </c>
      <c r="G4" s="19" t="s">
        <v>348</v>
      </c>
    </row>
  </sheetData>
  <pageMargins left="0.75" right="0.75" top="1" bottom="1" header="0.5" footer="0.5"/>
  <pageSetup fitToHeight="0" orientation="landscape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64748B"/>
    <pageSetUpPr fitToPage="1"/>
  </sheetPr>
  <dimension ref="A1:AN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15" customWidth="1"/>
    <col min="2" max="2" width="10" customWidth="1"/>
    <col min="3" max="3" width="14" customWidth="1"/>
    <col min="4" max="4" width="16" customWidth="1"/>
    <col min="5" max="5" width="13" customWidth="1"/>
    <col min="6" max="6" width="15" customWidth="1"/>
  </cols>
  <sheetData>
    <row r="1" spans="1:40" ht="33.950000000000003" customHeight="1">
      <c r="A1" s="1" t="s">
        <v>349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350</v>
      </c>
    </row>
    <row r="4" spans="1:40" ht="32.1" customHeight="1">
      <c r="A4" s="19" t="s">
        <v>351</v>
      </c>
      <c r="B4" s="19" t="s">
        <v>54</v>
      </c>
      <c r="C4" s="19" t="s">
        <v>55</v>
      </c>
      <c r="D4" s="19" t="s">
        <v>305</v>
      </c>
      <c r="E4" s="19" t="s">
        <v>352</v>
      </c>
      <c r="F4" s="19" t="s">
        <v>348</v>
      </c>
    </row>
  </sheetData>
  <pageMargins left="0.75" right="0.75" top="1" bottom="1" header="0.5" footer="0.5"/>
  <pageSetup fitToHeight="0" orientation="landscape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>
    <tabColor rgb="FF64748B"/>
    <pageSetUpPr fitToPage="1"/>
  </sheetPr>
  <dimension ref="A1:AN13"/>
  <sheetViews>
    <sheetView showGridLines="0" workbookViewId="0"/>
  </sheetViews>
  <sheetFormatPr defaultRowHeight="15"/>
  <cols>
    <col min="1" max="1" width="30" customWidth="1"/>
    <col min="2" max="2" width="16" customWidth="1"/>
    <col min="3" max="3" width="44" customWidth="1"/>
  </cols>
  <sheetData>
    <row r="1" spans="1:40" ht="33.950000000000003" customHeight="1">
      <c r="A1" s="1" t="s">
        <v>353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354</v>
      </c>
    </row>
    <row r="4" spans="1:40" ht="32.1" customHeight="1">
      <c r="A4" s="19" t="s">
        <v>255</v>
      </c>
      <c r="B4" s="19" t="s">
        <v>148</v>
      </c>
      <c r="C4" s="19" t="s">
        <v>355</v>
      </c>
    </row>
    <row r="5" spans="1:40">
      <c r="A5" s="61" t="s">
        <v>356</v>
      </c>
      <c r="B5" s="99">
        <v>1099</v>
      </c>
      <c r="C5" s="62" t="s">
        <v>357</v>
      </c>
    </row>
    <row r="6" spans="1:40">
      <c r="A6" s="61" t="s">
        <v>266</v>
      </c>
      <c r="B6" s="99">
        <v>3000</v>
      </c>
      <c r="C6" s="62" t="s">
        <v>358</v>
      </c>
    </row>
    <row r="7" spans="1:40">
      <c r="A7" s="61" t="s">
        <v>359</v>
      </c>
      <c r="B7" s="74">
        <v>0.32</v>
      </c>
      <c r="C7" s="62" t="s">
        <v>360</v>
      </c>
    </row>
    <row r="10" spans="1:40" ht="32.1" customHeight="1">
      <c r="A10" s="19" t="s">
        <v>361</v>
      </c>
      <c r="B10" s="19" t="s">
        <v>362</v>
      </c>
      <c r="C10" s="19" t="s">
        <v>363</v>
      </c>
    </row>
    <row r="11" spans="1:40">
      <c r="A11" s="61" t="s">
        <v>364</v>
      </c>
      <c r="B11" s="99">
        <v>1000</v>
      </c>
      <c r="C11" s="74">
        <v>0.5</v>
      </c>
    </row>
    <row r="12" spans="1:40">
      <c r="A12" s="61" t="s">
        <v>365</v>
      </c>
      <c r="B12" s="99">
        <v>0</v>
      </c>
      <c r="C12" s="74">
        <v>0.15</v>
      </c>
    </row>
    <row r="13" spans="1:40">
      <c r="A13" s="61" t="s">
        <v>366</v>
      </c>
      <c r="B13" s="99">
        <v>0</v>
      </c>
      <c r="C13" s="74">
        <v>0.03</v>
      </c>
    </row>
  </sheetData>
  <pageMargins left="0.75" right="0.75" top="1" bottom="1" header="0.5" footer="0.5"/>
  <pageSetup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>
    <tabColor rgb="FFDC2626"/>
    <pageSetUpPr fitToPage="1"/>
  </sheetPr>
  <dimension ref="A1:AN12"/>
  <sheetViews>
    <sheetView showGridLines="0" workbookViewId="0"/>
  </sheetViews>
  <sheetFormatPr defaultRowHeight="15"/>
  <cols>
    <col min="1" max="1" width="11" customWidth="1"/>
    <col min="2" max="2" width="24" customWidth="1"/>
    <col min="3" max="3" width="100" customWidth="1"/>
  </cols>
  <sheetData>
    <row r="1" spans="1:40" ht="33.950000000000003" customHeight="1">
      <c r="A1" s="1" t="s">
        <v>367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368</v>
      </c>
    </row>
    <row r="4" spans="1:40" ht="32.1" customHeight="1">
      <c r="A4" s="19" t="s">
        <v>369</v>
      </c>
      <c r="B4" s="19" t="s">
        <v>226</v>
      </c>
      <c r="C4" s="19" t="s">
        <v>370</v>
      </c>
    </row>
    <row r="5" spans="1:40" ht="30" customHeight="1">
      <c r="A5" s="100" t="s">
        <v>371</v>
      </c>
      <c r="B5" s="101" t="s">
        <v>177</v>
      </c>
      <c r="C5" s="102" t="s">
        <v>372</v>
      </c>
    </row>
    <row r="6" spans="1:40" ht="30" customHeight="1">
      <c r="A6" s="103" t="s">
        <v>373</v>
      </c>
      <c r="B6" s="101" t="s">
        <v>179</v>
      </c>
      <c r="C6" s="102" t="s">
        <v>374</v>
      </c>
    </row>
    <row r="7" spans="1:40" ht="30" customHeight="1">
      <c r="A7" s="100" t="s">
        <v>371</v>
      </c>
      <c r="B7" s="101" t="s">
        <v>179</v>
      </c>
      <c r="C7" s="102" t="s">
        <v>375</v>
      </c>
    </row>
    <row r="8" spans="1:40" ht="30" customHeight="1">
      <c r="A8" s="103" t="s">
        <v>373</v>
      </c>
      <c r="B8" s="101" t="s">
        <v>180</v>
      </c>
      <c r="C8" s="102" t="s">
        <v>376</v>
      </c>
    </row>
    <row r="9" spans="1:40" ht="30" customHeight="1">
      <c r="A9" s="103" t="s">
        <v>373</v>
      </c>
      <c r="B9" s="101" t="s">
        <v>181</v>
      </c>
      <c r="C9" s="102" t="s">
        <v>377</v>
      </c>
    </row>
    <row r="10" spans="1:40" ht="30" customHeight="1">
      <c r="A10" s="100" t="s">
        <v>371</v>
      </c>
      <c r="B10" s="101" t="s">
        <v>181</v>
      </c>
      <c r="C10" s="102" t="s">
        <v>378</v>
      </c>
    </row>
    <row r="11" spans="1:40" ht="30" customHeight="1">
      <c r="A11" s="100" t="s">
        <v>371</v>
      </c>
      <c r="B11" s="101" t="s">
        <v>190</v>
      </c>
      <c r="C11" s="102" t="s">
        <v>379</v>
      </c>
    </row>
    <row r="12" spans="1:40" ht="30" customHeight="1">
      <c r="A12" s="100" t="s">
        <v>371</v>
      </c>
      <c r="B12" s="101" t="s">
        <v>191</v>
      </c>
      <c r="C12" s="102" t="s">
        <v>375</v>
      </c>
    </row>
  </sheetData>
  <pageMargins left="0.75" right="0.75" top="1" bottom="1" header="0.5" footer="0.5"/>
  <pageSetup scale="89" fitToHeight="0" orientation="landscape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>
    <tabColor rgb="FF64748B"/>
  </sheetPr>
  <dimension ref="A1:Z20"/>
  <sheetViews>
    <sheetView workbookViewId="0"/>
  </sheetViews>
  <sheetFormatPr defaultRowHeight="15"/>
  <sheetData>
    <row r="1" spans="1:26">
      <c r="A1" t="s">
        <v>259</v>
      </c>
      <c r="B1" t="s">
        <v>380</v>
      </c>
    </row>
    <row r="2" spans="1:26">
      <c r="A2" s="104">
        <f ca="1">DATE(YEAR(TODAY()),MONTH(TODAY())-11,1)</f>
        <v>45931</v>
      </c>
      <c r="B2" s="105">
        <f ca="1">SUMIFS(Proventos!$F:$F,Proventos!$A:$A,"&gt;="&amp;A2,Proventos!$A:$A,"&lt;"&amp;DATE(YEAR(A2),MONTH(A2)+1,1))</f>
        <v>0</v>
      </c>
    </row>
    <row r="3" spans="1:26">
      <c r="A3" s="104">
        <f ca="1">DATE(YEAR(TODAY()),MONTH(TODAY())-10,1)</f>
        <v>45962</v>
      </c>
      <c r="B3" s="105">
        <f ca="1">SUMIFS(Proventos!$F:$F,Proventos!$A:$A,"&gt;="&amp;A3,Proventos!$A:$A,"&lt;"&amp;DATE(YEAR(A3),MONTH(A3)+1,1))</f>
        <v>0</v>
      </c>
    </row>
    <row r="4" spans="1:26">
      <c r="A4" s="104">
        <f ca="1">DATE(YEAR(TODAY()),MONTH(TODAY())-9,1)</f>
        <v>45992</v>
      </c>
      <c r="B4" s="105">
        <f ca="1">SUMIFS(Proventos!$F:$F,Proventos!$A:$A,"&gt;="&amp;A4,Proventos!$A:$A,"&lt;"&amp;DATE(YEAR(A4),MONTH(A4)+1,1))</f>
        <v>0</v>
      </c>
      <c r="D4" t="s">
        <v>54</v>
      </c>
      <c r="G4" t="s">
        <v>54</v>
      </c>
      <c r="H4" t="s">
        <v>381</v>
      </c>
      <c r="K4" t="s">
        <v>54</v>
      </c>
      <c r="L4" t="s">
        <v>62</v>
      </c>
      <c r="M4" t="s">
        <v>382</v>
      </c>
      <c r="P4" t="s">
        <v>54</v>
      </c>
      <c r="Q4" t="s">
        <v>62</v>
      </c>
      <c r="R4" t="s">
        <v>382</v>
      </c>
      <c r="U4" t="s">
        <v>54</v>
      </c>
      <c r="V4" t="s">
        <v>76</v>
      </c>
      <c r="Y4" t="s">
        <v>54</v>
      </c>
      <c r="Z4" t="s">
        <v>380</v>
      </c>
    </row>
    <row r="5" spans="1:26">
      <c r="A5" s="104">
        <f ca="1">DATE(YEAR(TODAY()),MONTH(TODAY())-8,1)</f>
        <v>46023</v>
      </c>
      <c r="B5" s="105">
        <f ca="1">SUMIFS(Proventos!$F:$F,Proventos!$A:$A,"&gt;="&amp;A5,Proventos!$A:$A,"&lt;"&amp;DATE(YEAR(A5),MONTH(A5)+1,1))</f>
        <v>0</v>
      </c>
      <c r="D5" t="str">
        <f>Carteira!A5</f>
        <v>VALE3</v>
      </c>
      <c r="F5">
        <f ca="1">IF(AND(Carteira!AC5=1,OR(Carteira!C5&gt;0,SUMIFS(Carteira!$C$5:$C$20,Carteira!$AC$5:$AC$20,1)=0)),N(Carteira!G5)+ROW()/1000000000,"")</f>
        <v>5.0000000000000001E-9</v>
      </c>
      <c r="G5" t="str">
        <f ca="1">IFERROR(INDEX($D$5:$D$20,MATCH(LARGE($F$5:$F$20,1),$F$5:$F$20,0)),"")</f>
        <v>CPTS11</v>
      </c>
      <c r="H5" s="105">
        <f ca="1">IFERROR(INDEX(Carteira!$G$5:$G$20,MATCH(G5,Carteira!$A$5:$A$20,0)),"")</f>
        <v>0</v>
      </c>
      <c r="J5">
        <f ca="1">IF(AND(Carteira!AC5=1,OR(Carteira!C5&gt;0,SUMIFS(Carteira!$C$5:$C$20,Carteira!$AC$5:$AC$20,1)=0)),N(Carteira!I5)+ROW()/1000000000,"")</f>
        <v>5.0000000000000001E-9</v>
      </c>
      <c r="K5" t="str">
        <f ca="1">IFERROR(INDEX($D$5:$D$20,MATCH(LARGE($J$5:$J$20,1),$J$5:$J$20,0)),"")</f>
        <v>CPTS11</v>
      </c>
      <c r="L5" s="106">
        <f ca="1">IFERROR(INDEX(Carteira!$I$5:$I$20,MATCH(K5,Carteira!$A$5:$A$20,0)),"")</f>
        <v>0</v>
      </c>
      <c r="M5" s="107">
        <f ca="1">IFERROR(INDEX(Carteira!$H$5:$H$20,MATCH(K5,Carteira!$A$5:$A$20,0)),"")</f>
        <v>0</v>
      </c>
      <c r="O5">
        <f ca="1">IF(AND(Carteira!AC5=1,OR(Carteira!C5&gt;0,SUMIFS(Carteira!$C$5:$C$20,Carteira!$AC$5:$AC$20,1)=0)),N(Carteira!I5)+ROW()/1000000000,"")</f>
        <v>5.0000000000000001E-9</v>
      </c>
      <c r="P5" t="str">
        <f ca="1">IFERROR(INDEX($D$5:$D$20,MATCH(SMALL($O$5:$O$20,1),$O$5:$O$20,0)),"")</f>
        <v>VALE3</v>
      </c>
      <c r="Q5" s="106">
        <f ca="1">IFERROR(INDEX(Carteira!$I$5:$I$20,MATCH(P5,Carteira!$A$5:$A$20,0)),"")</f>
        <v>0</v>
      </c>
      <c r="R5" s="107">
        <f ca="1">IFERROR(INDEX(Carteira!$H$5:$H$20,MATCH(P5,Carteira!$A$5:$A$20,0)),"")</f>
        <v>0</v>
      </c>
      <c r="T5">
        <f ca="1">IF(AND(Carteira!AC5=1,OR(Carteira!C5&gt;0,SUMIFS(Carteira!$C$5:$C$20,Carteira!$AC$5:$AC$20,1)=0)),N(Carteira!W5)+ROW()/1000000000,"")</f>
        <v>5.0000000000000001E-9</v>
      </c>
      <c r="U5" t="str">
        <f ca="1">IFERROR(INDEX($D$5:$D$20,MATCH(LARGE($T$5:$T$20,1),$T$5:$T$20,0)),"")</f>
        <v>CPTS11</v>
      </c>
      <c r="V5" s="108">
        <f ca="1">IFERROR(INDEX(Carteira!$W$5:$W$20,MATCH(U5,Carteira!$A$5:$A$20,0)),"")</f>
        <v>0</v>
      </c>
      <c r="X5">
        <f ca="1">IF(AND(Carteira!AC5=1,OR(Carteira!C5&gt;0,SUMIFS(Carteira!$C$5:$C$20,Carteira!$AC$5:$AC$20,1)=0)),N(Carteira!J5)+ROW()/1000000000,"")</f>
        <v>5.0000000000000001E-9</v>
      </c>
      <c r="Y5" t="str">
        <f ca="1">IFERROR(INDEX($D$5:$D$20,MATCH(LARGE($X$5:$X$20,1),$X$5:$X$20,0)),"")</f>
        <v>CPTS11</v>
      </c>
      <c r="Z5" s="105">
        <f ca="1">IFERROR(INDEX(Carteira!$J$5:$J$20,MATCH(Y5,Carteira!$A$5:$A$20,0)),"")</f>
        <v>0</v>
      </c>
    </row>
    <row r="6" spans="1:26">
      <c r="A6" s="104">
        <f ca="1">DATE(YEAR(TODAY()),MONTH(TODAY())-7,1)</f>
        <v>46054</v>
      </c>
      <c r="B6" s="105">
        <f ca="1">SUMIFS(Proventos!$F:$F,Proventos!$A:$A,"&gt;="&amp;A6,Proventos!$A:$A,"&lt;"&amp;DATE(YEAR(A6),MONTH(A6)+1,1))</f>
        <v>0</v>
      </c>
      <c r="D6" t="str">
        <f>Carteira!A6</f>
        <v>TAEE11</v>
      </c>
      <c r="F6">
        <f ca="1">IF(AND(Carteira!AC6=1,OR(Carteira!C6&gt;0,SUMIFS(Carteira!$C$5:$C$20,Carteira!$AC$5:$AC$20,1)=0)),N(Carteira!G6)+ROW()/1000000000,"")</f>
        <v>6E-9</v>
      </c>
      <c r="G6" t="str">
        <f ca="1">IFERROR(INDEX($D$5:$D$20,MATCH(LARGE($F$5:$F$20,2),$F$5:$F$20,0)),"")</f>
        <v>SNAG11</v>
      </c>
      <c r="H6" s="105">
        <f ca="1">IFERROR(INDEX(Carteira!$G$5:$G$20,MATCH(G6,Carteira!$A$5:$A$20,0)),"")</f>
        <v>0</v>
      </c>
      <c r="J6">
        <f ca="1">IF(AND(Carteira!AC6=1,OR(Carteira!C6&gt;0,SUMIFS(Carteira!$C$5:$C$20,Carteira!$AC$5:$AC$20,1)=0)),N(Carteira!I6)+ROW()/1000000000,"")</f>
        <v>6E-9</v>
      </c>
      <c r="K6" t="str">
        <f ca="1">IFERROR(INDEX($D$5:$D$20,MATCH(LARGE($J$5:$J$20,2),$J$5:$J$20,0)),"")</f>
        <v>SNAG11</v>
      </c>
      <c r="L6" s="106">
        <f ca="1">IFERROR(INDEX(Carteira!$I$5:$I$20,MATCH(K6,Carteira!$A$5:$A$20,0)),"")</f>
        <v>0</v>
      </c>
      <c r="M6" s="107">
        <f ca="1">IFERROR(INDEX(Carteira!$H$5:$H$20,MATCH(K6,Carteira!$A$5:$A$20,0)),"")</f>
        <v>0</v>
      </c>
      <c r="O6">
        <f ca="1">IF(AND(Carteira!AC6=1,OR(Carteira!C6&gt;0,SUMIFS(Carteira!$C$5:$C$20,Carteira!$AC$5:$AC$20,1)=0)),N(Carteira!I6)+ROW()/1000000000,"")</f>
        <v>6E-9</v>
      </c>
      <c r="P6" t="str">
        <f ca="1">IFERROR(INDEX($D$5:$D$20,MATCH(SMALL($O$5:$O$20,2),$O$5:$O$20,0)),"")</f>
        <v>TAEE11</v>
      </c>
      <c r="Q6" s="106">
        <f ca="1">IFERROR(INDEX(Carteira!$I$5:$I$20,MATCH(P6,Carteira!$A$5:$A$20,0)),"")</f>
        <v>0</v>
      </c>
      <c r="R6" s="107">
        <f ca="1">IFERROR(INDEX(Carteira!$H$5:$H$20,MATCH(P6,Carteira!$A$5:$A$20,0)),"")</f>
        <v>0</v>
      </c>
      <c r="T6">
        <f ca="1">IF(AND(Carteira!AC6=1,OR(Carteira!C6&gt;0,SUMIFS(Carteira!$C$5:$C$20,Carteira!$AC$5:$AC$20,1)=0)),N(Carteira!W6)+ROW()/1000000000,"")</f>
        <v>6E-9</v>
      </c>
      <c r="U6" t="str">
        <f ca="1">IFERROR(INDEX($D$5:$D$20,MATCH(LARGE($T$5:$T$20,2),$T$5:$T$20,0)),"")</f>
        <v>SNAG11</v>
      </c>
      <c r="V6" s="108">
        <f ca="1">IFERROR(INDEX(Carteira!$W$5:$W$20,MATCH(U6,Carteira!$A$5:$A$20,0)),"")</f>
        <v>0</v>
      </c>
      <c r="X6">
        <f ca="1">IF(AND(Carteira!AC6=1,OR(Carteira!C6&gt;0,SUMIFS(Carteira!$C$5:$C$20,Carteira!$AC$5:$AC$20,1)=0)),N(Carteira!J6)+ROW()/1000000000,"")</f>
        <v>6E-9</v>
      </c>
      <c r="Y6" t="str">
        <f ca="1">IFERROR(INDEX($D$5:$D$20,MATCH(LARGE($X$5:$X$20,2),$X$5:$X$20,0)),"")</f>
        <v>SNAG11</v>
      </c>
      <c r="Z6" s="105">
        <f ca="1">IFERROR(INDEX(Carteira!$J$5:$J$20,MATCH(Y6,Carteira!$A$5:$A$20,0)),"")</f>
        <v>0</v>
      </c>
    </row>
    <row r="7" spans="1:26">
      <c r="A7" s="104">
        <f ca="1">DATE(YEAR(TODAY()),MONTH(TODAY())-6,1)</f>
        <v>46082</v>
      </c>
      <c r="B7" s="105">
        <f ca="1">SUMIFS(Proventos!$F:$F,Proventos!$A:$A,"&gt;="&amp;A7,Proventos!$A:$A,"&lt;"&amp;DATE(YEAR(A7),MONTH(A7)+1,1))</f>
        <v>0</v>
      </c>
      <c r="D7" t="str">
        <f>Carteira!A7</f>
        <v>PETR4</v>
      </c>
      <c r="F7">
        <f ca="1">IF(AND(Carteira!AC7=1,OR(Carteira!C7&gt;0,SUMIFS(Carteira!$C$5:$C$20,Carteira!$AC$5:$AC$20,1)=0)),N(Carteira!G7)+ROW()/1000000000,"")</f>
        <v>6.9999999999999998E-9</v>
      </c>
      <c r="G7" t="str">
        <f ca="1">IFERROR(INDEX($D$5:$D$20,MATCH(LARGE($F$5:$F$20,3),$F$5:$F$20,0)),"")</f>
        <v>XPML11</v>
      </c>
      <c r="H7" s="105">
        <f ca="1">IFERROR(INDEX(Carteira!$G$5:$G$20,MATCH(G7,Carteira!$A$5:$A$20,0)),"")</f>
        <v>0</v>
      </c>
      <c r="J7">
        <f ca="1">IF(AND(Carteira!AC7=1,OR(Carteira!C7&gt;0,SUMIFS(Carteira!$C$5:$C$20,Carteira!$AC$5:$AC$20,1)=0)),N(Carteira!I7)+ROW()/1000000000,"")</f>
        <v>6.9999999999999998E-9</v>
      </c>
      <c r="K7" t="str">
        <f ca="1">IFERROR(INDEX($D$5:$D$20,MATCH(LARGE($J$5:$J$20,3),$J$5:$J$20,0)),"")</f>
        <v>XPML11</v>
      </c>
      <c r="L7" s="106">
        <f ca="1">IFERROR(INDEX(Carteira!$I$5:$I$20,MATCH(K7,Carteira!$A$5:$A$20,0)),"")</f>
        <v>0</v>
      </c>
      <c r="M7" s="107">
        <f ca="1">IFERROR(INDEX(Carteira!$H$5:$H$20,MATCH(K7,Carteira!$A$5:$A$20,0)),"")</f>
        <v>0</v>
      </c>
      <c r="O7">
        <f ca="1">IF(AND(Carteira!AC7=1,OR(Carteira!C7&gt;0,SUMIFS(Carteira!$C$5:$C$20,Carteira!$AC$5:$AC$20,1)=0)),N(Carteira!I7)+ROW()/1000000000,"")</f>
        <v>6.9999999999999998E-9</v>
      </c>
      <c r="P7" t="str">
        <f ca="1">IFERROR(INDEX($D$5:$D$20,MATCH(SMALL($O$5:$O$20,3),$O$5:$O$20,0)),"")</f>
        <v>PETR4</v>
      </c>
      <c r="Q7" s="106">
        <f ca="1">IFERROR(INDEX(Carteira!$I$5:$I$20,MATCH(P7,Carteira!$A$5:$A$20,0)),"")</f>
        <v>0</v>
      </c>
      <c r="R7" s="107">
        <f ca="1">IFERROR(INDEX(Carteira!$H$5:$H$20,MATCH(P7,Carteira!$A$5:$A$20,0)),"")</f>
        <v>0</v>
      </c>
      <c r="T7">
        <f ca="1">IF(AND(Carteira!AC7=1,OR(Carteira!C7&gt;0,SUMIFS(Carteira!$C$5:$C$20,Carteira!$AC$5:$AC$20,1)=0)),N(Carteira!W7)+ROW()/1000000000,"")</f>
        <v>6.9999999999999998E-9</v>
      </c>
      <c r="U7" t="str">
        <f ca="1">IFERROR(INDEX($D$5:$D$20,MATCH(LARGE($T$5:$T$20,3),$T$5:$T$20,0)),"")</f>
        <v>XPML11</v>
      </c>
      <c r="V7" s="108">
        <f ca="1">IFERROR(INDEX(Carteira!$W$5:$W$20,MATCH(U7,Carteira!$A$5:$A$20,0)),"")</f>
        <v>0</v>
      </c>
      <c r="X7">
        <f ca="1">IF(AND(Carteira!AC7=1,OR(Carteira!C7&gt;0,SUMIFS(Carteira!$C$5:$C$20,Carteira!$AC$5:$AC$20,1)=0)),N(Carteira!J7)+ROW()/1000000000,"")</f>
        <v>6.9999999999999998E-9</v>
      </c>
      <c r="Y7" t="str">
        <f ca="1">IFERROR(INDEX($D$5:$D$20,MATCH(LARGE($X$5:$X$20,3),$X$5:$X$20,0)),"")</f>
        <v>XPML11</v>
      </c>
      <c r="Z7" s="105">
        <f ca="1">IFERROR(INDEX(Carteira!$J$5:$J$20,MATCH(Y7,Carteira!$A$5:$A$20,0)),"")</f>
        <v>0</v>
      </c>
    </row>
    <row r="8" spans="1:26">
      <c r="A8" s="104">
        <f ca="1">DATE(YEAR(TODAY()),MONTH(TODAY())-5,1)</f>
        <v>46113</v>
      </c>
      <c r="B8" s="105">
        <f ca="1">SUMIFS(Proventos!$F:$F,Proventos!$A:$A,"&gt;="&amp;A8,Proventos!$A:$A,"&lt;"&amp;DATE(YEAR(A8),MONTH(A8)+1,1))</f>
        <v>0</v>
      </c>
      <c r="D8" t="str">
        <f>Carteira!A8</f>
        <v>BBAS3</v>
      </c>
      <c r="F8">
        <f ca="1">IF(AND(Carteira!AC8=1,OR(Carteira!C8&gt;0,SUMIFS(Carteira!$C$5:$C$20,Carteira!$AC$5:$AC$20,1)=0)),N(Carteira!G8)+ROW()/1000000000,"")</f>
        <v>8.0000000000000005E-9</v>
      </c>
      <c r="G8" t="str">
        <f ca="1">IFERROR(INDEX($D$5:$D$20,MATCH(LARGE($F$5:$F$20,4),$F$5:$F$20,0)),"")</f>
        <v>XPLG11</v>
      </c>
      <c r="H8" s="105">
        <f ca="1">IFERROR(INDEX(Carteira!$G$5:$G$20,MATCH(G8,Carteira!$A$5:$A$20,0)),"")</f>
        <v>0</v>
      </c>
      <c r="J8">
        <f ca="1">IF(AND(Carteira!AC8=1,OR(Carteira!C8&gt;0,SUMIFS(Carteira!$C$5:$C$20,Carteira!$AC$5:$AC$20,1)=0)),N(Carteira!I8)+ROW()/1000000000,"")</f>
        <v>8.0000000000000005E-9</v>
      </c>
      <c r="K8" t="str">
        <f ca="1">IFERROR(INDEX($D$5:$D$20,MATCH(LARGE($J$5:$J$20,4),$J$5:$J$20,0)),"")</f>
        <v>XPLG11</v>
      </c>
      <c r="L8" s="106">
        <f ca="1">IFERROR(INDEX(Carteira!$I$5:$I$20,MATCH(K8,Carteira!$A$5:$A$20,0)),"")</f>
        <v>0</v>
      </c>
      <c r="M8" s="107">
        <f ca="1">IFERROR(INDEX(Carteira!$H$5:$H$20,MATCH(K8,Carteira!$A$5:$A$20,0)),"")</f>
        <v>0</v>
      </c>
      <c r="O8">
        <f ca="1">IF(AND(Carteira!AC8=1,OR(Carteira!C8&gt;0,SUMIFS(Carteira!$C$5:$C$20,Carteira!$AC$5:$AC$20,1)=0)),N(Carteira!I8)+ROW()/1000000000,"")</f>
        <v>8.0000000000000005E-9</v>
      </c>
      <c r="P8" t="str">
        <f ca="1">IFERROR(INDEX($D$5:$D$20,MATCH(SMALL($O$5:$O$20,4),$O$5:$O$20,0)),"")</f>
        <v>BBAS3</v>
      </c>
      <c r="Q8" s="106">
        <f ca="1">IFERROR(INDEX(Carteira!$I$5:$I$20,MATCH(P8,Carteira!$A$5:$A$20,0)),"")</f>
        <v>0</v>
      </c>
      <c r="R8" s="107">
        <f ca="1">IFERROR(INDEX(Carteira!$H$5:$H$20,MATCH(P8,Carteira!$A$5:$A$20,0)),"")</f>
        <v>0</v>
      </c>
      <c r="T8">
        <f ca="1">IF(AND(Carteira!AC8=1,OR(Carteira!C8&gt;0,SUMIFS(Carteira!$C$5:$C$20,Carteira!$AC$5:$AC$20,1)=0)),N(Carteira!W8)+ROW()/1000000000,"")</f>
        <v>8.0000000000000005E-9</v>
      </c>
      <c r="U8" t="str">
        <f ca="1">IFERROR(INDEX($D$5:$D$20,MATCH(LARGE($T$5:$T$20,4),$T$5:$T$20,0)),"")</f>
        <v>XPLG11</v>
      </c>
      <c r="V8" s="108">
        <f ca="1">IFERROR(INDEX(Carteira!$W$5:$W$20,MATCH(U8,Carteira!$A$5:$A$20,0)),"")</f>
        <v>0</v>
      </c>
      <c r="X8">
        <f ca="1">IF(AND(Carteira!AC8=1,OR(Carteira!C8&gt;0,SUMIFS(Carteira!$C$5:$C$20,Carteira!$AC$5:$AC$20,1)=0)),N(Carteira!J8)+ROW()/1000000000,"")</f>
        <v>8.0000000000000005E-9</v>
      </c>
      <c r="Y8" t="str">
        <f ca="1">IFERROR(INDEX($D$5:$D$20,MATCH(LARGE($X$5:$X$20,4),$X$5:$X$20,0)),"")</f>
        <v>XPLG11</v>
      </c>
      <c r="Z8" s="105">
        <f ca="1">IFERROR(INDEX(Carteira!$J$5:$J$20,MATCH(Y8,Carteira!$A$5:$A$20,0)),"")</f>
        <v>0</v>
      </c>
    </row>
    <row r="9" spans="1:26">
      <c r="A9" s="104">
        <f ca="1">DATE(YEAR(TODAY()),MONTH(TODAY())-4,1)</f>
        <v>46143</v>
      </c>
      <c r="B9" s="105">
        <f ca="1">SUMIFS(Proventos!$F:$F,Proventos!$A:$A,"&gt;="&amp;A9,Proventos!$A:$A,"&lt;"&amp;DATE(YEAR(A9),MONTH(A9)+1,1))</f>
        <v>0</v>
      </c>
      <c r="D9" t="str">
        <f>Carteira!A9</f>
        <v>BRBI11</v>
      </c>
      <c r="F9">
        <f ca="1">IF(AND(Carteira!AC9=1,OR(Carteira!C9&gt;0,SUMIFS(Carteira!$C$5:$C$20,Carteira!$AC$5:$AC$20,1)=0)),N(Carteira!G9)+ROW()/1000000000,"")</f>
        <v>8.9999999999999995E-9</v>
      </c>
      <c r="G9" t="str">
        <f ca="1">IFERROR(INDEX($D$5:$D$20,MATCH(LARGE($F$5:$F$20,5),$F$5:$F$20,0)),"")</f>
        <v>BRCR11</v>
      </c>
      <c r="H9" s="105">
        <f ca="1">IFERROR(INDEX(Carteira!$G$5:$G$20,MATCH(G9,Carteira!$A$5:$A$20,0)),"")</f>
        <v>0</v>
      </c>
      <c r="J9">
        <f ca="1">IF(AND(Carteira!AC9=1,OR(Carteira!C9&gt;0,SUMIFS(Carteira!$C$5:$C$20,Carteira!$AC$5:$AC$20,1)=0)),N(Carteira!I9)+ROW()/1000000000,"")</f>
        <v>8.9999999999999995E-9</v>
      </c>
      <c r="K9" t="str">
        <f ca="1">IFERROR(INDEX($D$5:$D$20,MATCH(LARGE($J$5:$J$20,5),$J$5:$J$20,0)),"")</f>
        <v>BRCR11</v>
      </c>
      <c r="L9" s="106">
        <f ca="1">IFERROR(INDEX(Carteira!$I$5:$I$20,MATCH(K9,Carteira!$A$5:$A$20,0)),"")</f>
        <v>0</v>
      </c>
      <c r="M9" s="107">
        <f ca="1">IFERROR(INDEX(Carteira!$H$5:$H$20,MATCH(K9,Carteira!$A$5:$A$20,0)),"")</f>
        <v>0</v>
      </c>
      <c r="O9">
        <f ca="1">IF(AND(Carteira!AC9=1,OR(Carteira!C9&gt;0,SUMIFS(Carteira!$C$5:$C$20,Carteira!$AC$5:$AC$20,1)=0)),N(Carteira!I9)+ROW()/1000000000,"")</f>
        <v>8.9999999999999995E-9</v>
      </c>
      <c r="P9" t="str">
        <f ca="1">IFERROR(INDEX($D$5:$D$20,MATCH(SMALL($O$5:$O$20,5),$O$5:$O$20,0)),"")</f>
        <v>BRBI11</v>
      </c>
      <c r="Q9" s="106">
        <f ca="1">IFERROR(INDEX(Carteira!$I$5:$I$20,MATCH(P9,Carteira!$A$5:$A$20,0)),"")</f>
        <v>0</v>
      </c>
      <c r="R9" s="107">
        <f ca="1">IFERROR(INDEX(Carteira!$H$5:$H$20,MATCH(P9,Carteira!$A$5:$A$20,0)),"")</f>
        <v>0</v>
      </c>
      <c r="T9">
        <f ca="1">IF(AND(Carteira!AC9=1,OR(Carteira!C9&gt;0,SUMIFS(Carteira!$C$5:$C$20,Carteira!$AC$5:$AC$20,1)=0)),N(Carteira!W9)+ROW()/1000000000,"")</f>
        <v>8.9999999999999995E-9</v>
      </c>
      <c r="U9" t="str">
        <f ca="1">IFERROR(INDEX($D$5:$D$20,MATCH(LARGE($T$5:$T$20,5),$T$5:$T$20,0)),"")</f>
        <v>BRCR11</v>
      </c>
      <c r="V9" s="108">
        <f ca="1">IFERROR(INDEX(Carteira!$W$5:$W$20,MATCH(U9,Carteira!$A$5:$A$20,0)),"")</f>
        <v>0</v>
      </c>
      <c r="X9">
        <f ca="1">IF(AND(Carteira!AC9=1,OR(Carteira!C9&gt;0,SUMIFS(Carteira!$C$5:$C$20,Carteira!$AC$5:$AC$20,1)=0)),N(Carteira!J9)+ROW()/1000000000,"")</f>
        <v>8.9999999999999995E-9</v>
      </c>
      <c r="Y9" t="str">
        <f ca="1">IFERROR(INDEX($D$5:$D$20,MATCH(LARGE($X$5:$X$20,5),$X$5:$X$20,0)),"")</f>
        <v>BRCR11</v>
      </c>
      <c r="Z9" s="105">
        <f ca="1">IFERROR(INDEX(Carteira!$J$5:$J$20,MATCH(Y9,Carteira!$A$5:$A$20,0)),"")</f>
        <v>0</v>
      </c>
    </row>
    <row r="10" spans="1:26">
      <c r="A10" s="104">
        <f ca="1">DATE(YEAR(TODAY()),MONTH(TODAY())-3,1)</f>
        <v>46174</v>
      </c>
      <c r="B10" s="105">
        <f ca="1">SUMIFS(Proventos!$F:$F,Proventos!$A:$A,"&gt;="&amp;A10,Proventos!$A:$A,"&lt;"&amp;DATE(YEAR(A10),MONTH(A10)+1,1))</f>
        <v>0</v>
      </c>
      <c r="D10" t="str">
        <f>Carteira!A10</f>
        <v>BBDC4</v>
      </c>
      <c r="F10">
        <f ca="1">IF(AND(Carteira!AC10=1,OR(Carteira!C10&gt;0,SUMIFS(Carteira!$C$5:$C$20,Carteira!$AC$5:$AC$20,1)=0)),N(Carteira!G10)+ROW()/1000000000,"")</f>
        <v>1E-8</v>
      </c>
      <c r="G10" t="str">
        <f ca="1">IFERROR(INDEX($D$5:$D$20,MATCH(LARGE($F$5:$F$20,6),$F$5:$F$20,0)),"")</f>
        <v>MXRF11</v>
      </c>
      <c r="H10" s="105">
        <f ca="1">IFERROR(INDEX(Carteira!$G$5:$G$20,MATCH(G10,Carteira!$A$5:$A$20,0)),"")</f>
        <v>0</v>
      </c>
      <c r="J10">
        <f ca="1">IF(AND(Carteira!AC10=1,OR(Carteira!C10&gt;0,SUMIFS(Carteira!$C$5:$C$20,Carteira!$AC$5:$AC$20,1)=0)),N(Carteira!I10)+ROW()/1000000000,"")</f>
        <v>1E-8</v>
      </c>
      <c r="K10" t="str">
        <f ca="1">IFERROR(INDEX($D$5:$D$20,MATCH(LARGE($J$5:$J$20,6),$J$5:$J$20,0)),"")</f>
        <v>MXRF11</v>
      </c>
      <c r="L10" s="106">
        <f ca="1">IFERROR(INDEX(Carteira!$I$5:$I$20,MATCH(K10,Carteira!$A$5:$A$20,0)),"")</f>
        <v>0</v>
      </c>
      <c r="M10" s="107">
        <f ca="1">IFERROR(INDEX(Carteira!$H$5:$H$20,MATCH(K10,Carteira!$A$5:$A$20,0)),"")</f>
        <v>0</v>
      </c>
      <c r="O10">
        <f ca="1">IF(AND(Carteira!AC10=1,OR(Carteira!C10&gt;0,SUMIFS(Carteira!$C$5:$C$20,Carteira!$AC$5:$AC$20,1)=0)),N(Carteira!I10)+ROW()/1000000000,"")</f>
        <v>1E-8</v>
      </c>
      <c r="P10" t="str">
        <f ca="1">IFERROR(INDEX($D$5:$D$20,MATCH(SMALL($O$5:$O$20,6),$O$5:$O$20,0)),"")</f>
        <v>BBDC4</v>
      </c>
      <c r="Q10" s="106">
        <f ca="1">IFERROR(INDEX(Carteira!$I$5:$I$20,MATCH(P10,Carteira!$A$5:$A$20,0)),"")</f>
        <v>0</v>
      </c>
      <c r="R10" s="107">
        <f ca="1">IFERROR(INDEX(Carteira!$H$5:$H$20,MATCH(P10,Carteira!$A$5:$A$20,0)),"")</f>
        <v>0</v>
      </c>
      <c r="T10">
        <f ca="1">IF(AND(Carteira!AC10=1,OR(Carteira!C10&gt;0,SUMIFS(Carteira!$C$5:$C$20,Carteira!$AC$5:$AC$20,1)=0)),N(Carteira!W10)+ROW()/1000000000,"")</f>
        <v>1E-8</v>
      </c>
      <c r="U10" t="str">
        <f ca="1">IFERROR(INDEX($D$5:$D$20,MATCH(LARGE($T$5:$T$20,6),$T$5:$T$20,0)),"")</f>
        <v>MXRF11</v>
      </c>
      <c r="V10" s="108">
        <f ca="1">IFERROR(INDEX(Carteira!$W$5:$W$20,MATCH(U10,Carteira!$A$5:$A$20,0)),"")</f>
        <v>0</v>
      </c>
      <c r="X10">
        <f ca="1">IF(AND(Carteira!AC10=1,OR(Carteira!C10&gt;0,SUMIFS(Carteira!$C$5:$C$20,Carteira!$AC$5:$AC$20,1)=0)),N(Carteira!J10)+ROW()/1000000000,"")</f>
        <v>1E-8</v>
      </c>
      <c r="Y10" t="str">
        <f ca="1">IFERROR(INDEX($D$5:$D$20,MATCH(LARGE($X$5:$X$20,6),$X$5:$X$20,0)),"")</f>
        <v>MXRF11</v>
      </c>
      <c r="Z10" s="105">
        <f ca="1">IFERROR(INDEX(Carteira!$J$5:$J$20,MATCH(Y10,Carteira!$A$5:$A$20,0)),"")</f>
        <v>0</v>
      </c>
    </row>
    <row r="11" spans="1:26">
      <c r="A11" s="104">
        <f ca="1">DATE(YEAR(TODAY()),MONTH(TODAY())-2,1)</f>
        <v>46204</v>
      </c>
      <c r="B11" s="105">
        <f ca="1">SUMIFS(Proventos!$F:$F,Proventos!$A:$A,"&gt;="&amp;A11,Proventos!$A:$A,"&lt;"&amp;DATE(YEAR(A11),MONTH(A11)+1,1))</f>
        <v>0</v>
      </c>
      <c r="D11" t="str">
        <f>Carteira!A11</f>
        <v>ITSA4</v>
      </c>
      <c r="F11">
        <f ca="1">IF(AND(Carteira!AC11=1,OR(Carteira!C11&gt;0,SUMIFS(Carteira!$C$5:$C$20,Carteira!$AC$5:$AC$20,1)=0)),N(Carteira!G11)+ROW()/1000000000,"")</f>
        <v>1.0999999999999999E-8</v>
      </c>
      <c r="G11" t="str">
        <f ca="1">IFERROR(INDEX($D$5:$D$20,MATCH(LARGE($F$5:$F$20,7),$F$5:$F$20,0)),"")</f>
        <v>KLBN11</v>
      </c>
      <c r="H11" s="105">
        <f ca="1">IFERROR(INDEX(Carteira!$G$5:$G$20,MATCH(G11,Carteira!$A$5:$A$20,0)),"")</f>
        <v>0</v>
      </c>
      <c r="J11">
        <f ca="1">IF(AND(Carteira!AC11=1,OR(Carteira!C11&gt;0,SUMIFS(Carteira!$C$5:$C$20,Carteira!$AC$5:$AC$20,1)=0)),N(Carteira!I11)+ROW()/1000000000,"")</f>
        <v>1.0999999999999999E-8</v>
      </c>
      <c r="K11" t="str">
        <f ca="1">IFERROR(INDEX($D$5:$D$20,MATCH(LARGE($J$5:$J$20,7),$J$5:$J$20,0)),"")</f>
        <v>KLBN11</v>
      </c>
      <c r="L11" s="106">
        <f ca="1">IFERROR(INDEX(Carteira!$I$5:$I$20,MATCH(K11,Carteira!$A$5:$A$20,0)),"")</f>
        <v>0</v>
      </c>
      <c r="M11" s="107">
        <f ca="1">IFERROR(INDEX(Carteira!$H$5:$H$20,MATCH(K11,Carteira!$A$5:$A$20,0)),"")</f>
        <v>0</v>
      </c>
      <c r="O11">
        <f ca="1">IF(AND(Carteira!AC11=1,OR(Carteira!C11&gt;0,SUMIFS(Carteira!$C$5:$C$20,Carteira!$AC$5:$AC$20,1)=0)),N(Carteira!I11)+ROW()/1000000000,"")</f>
        <v>1.0999999999999999E-8</v>
      </c>
      <c r="P11" t="str">
        <f ca="1">IFERROR(INDEX($D$5:$D$20,MATCH(SMALL($O$5:$O$20,7),$O$5:$O$20,0)),"")</f>
        <v>ITSA4</v>
      </c>
      <c r="Q11" s="106">
        <f ca="1">IFERROR(INDEX(Carteira!$I$5:$I$20,MATCH(P11,Carteira!$A$5:$A$20,0)),"")</f>
        <v>0</v>
      </c>
      <c r="R11" s="107">
        <f ca="1">IFERROR(INDEX(Carteira!$H$5:$H$20,MATCH(P11,Carteira!$A$5:$A$20,0)),"")</f>
        <v>0</v>
      </c>
      <c r="T11">
        <f ca="1">IF(AND(Carteira!AC11=1,OR(Carteira!C11&gt;0,SUMIFS(Carteira!$C$5:$C$20,Carteira!$AC$5:$AC$20,1)=0)),N(Carteira!W11)+ROW()/1000000000,"")</f>
        <v>1.0999999999999999E-8</v>
      </c>
      <c r="U11" t="str">
        <f ca="1">IFERROR(INDEX($D$5:$D$20,MATCH(LARGE($T$5:$T$20,7),$T$5:$T$20,0)),"")</f>
        <v>KLBN11</v>
      </c>
      <c r="V11" s="108">
        <f ca="1">IFERROR(INDEX(Carteira!$W$5:$W$20,MATCH(U11,Carteira!$A$5:$A$20,0)),"")</f>
        <v>0</v>
      </c>
      <c r="X11">
        <f ca="1">IF(AND(Carteira!AC11=1,OR(Carteira!C11&gt;0,SUMIFS(Carteira!$C$5:$C$20,Carteira!$AC$5:$AC$20,1)=0)),N(Carteira!J11)+ROW()/1000000000,"")</f>
        <v>1.0999999999999999E-8</v>
      </c>
      <c r="Y11" t="str">
        <f ca="1">IFERROR(INDEX($D$5:$D$20,MATCH(LARGE($X$5:$X$20,7),$X$5:$X$20,0)),"")</f>
        <v>KLBN11</v>
      </c>
      <c r="Z11" s="105">
        <f ca="1">IFERROR(INDEX(Carteira!$J$5:$J$20,MATCH(Y11,Carteira!$A$5:$A$20,0)),"")</f>
        <v>0</v>
      </c>
    </row>
    <row r="12" spans="1:26">
      <c r="A12" s="104">
        <f ca="1">DATE(YEAR(TODAY()),MONTH(TODAY())-1,1)</f>
        <v>46235</v>
      </c>
      <c r="B12" s="105">
        <f ca="1">SUMIFS(Proventos!$F:$F,Proventos!$A:$A,"&gt;="&amp;A12,Proventos!$A:$A,"&lt;"&amp;DATE(YEAR(A12),MONTH(A12)+1,1))</f>
        <v>0</v>
      </c>
      <c r="D12" t="str">
        <f>Carteira!A12</f>
        <v>CMIG4</v>
      </c>
      <c r="F12">
        <f ca="1">IF(AND(Carteira!AC12=1,OR(Carteira!C12&gt;0,SUMIFS(Carteira!$C$5:$C$20,Carteira!$AC$5:$AC$20,1)=0)),N(Carteira!G12)+ROW()/1000000000,"")</f>
        <v>1.2E-8</v>
      </c>
      <c r="G12" t="str">
        <f ca="1">IFERROR(INDEX($D$5:$D$20,MATCH(LARGE($F$5:$F$20,8),$F$5:$F$20,0)),"")</f>
        <v>FIQE3</v>
      </c>
      <c r="H12" s="105">
        <f ca="1">IFERROR(INDEX(Carteira!$G$5:$G$20,MATCH(G12,Carteira!$A$5:$A$20,0)),"")</f>
        <v>0</v>
      </c>
      <c r="J12">
        <f ca="1">IF(AND(Carteira!AC12=1,OR(Carteira!C12&gt;0,SUMIFS(Carteira!$C$5:$C$20,Carteira!$AC$5:$AC$20,1)=0)),N(Carteira!I12)+ROW()/1000000000,"")</f>
        <v>1.2E-8</v>
      </c>
      <c r="K12" t="str">
        <f ca="1">IFERROR(INDEX($D$5:$D$20,MATCH(LARGE($J$5:$J$20,8),$J$5:$J$20,0)),"")</f>
        <v>FIQE3</v>
      </c>
      <c r="L12" s="106">
        <f ca="1">IFERROR(INDEX(Carteira!$I$5:$I$20,MATCH(K12,Carteira!$A$5:$A$20,0)),"")</f>
        <v>0</v>
      </c>
      <c r="M12" s="107">
        <f ca="1">IFERROR(INDEX(Carteira!$H$5:$H$20,MATCH(K12,Carteira!$A$5:$A$20,0)),"")</f>
        <v>0</v>
      </c>
      <c r="O12">
        <f ca="1">IF(AND(Carteira!AC12=1,OR(Carteira!C12&gt;0,SUMIFS(Carteira!$C$5:$C$20,Carteira!$AC$5:$AC$20,1)=0)),N(Carteira!I12)+ROW()/1000000000,"")</f>
        <v>1.2E-8</v>
      </c>
      <c r="P12" t="str">
        <f ca="1">IFERROR(INDEX($D$5:$D$20,MATCH(SMALL($O$5:$O$20,8),$O$5:$O$20,0)),"")</f>
        <v>CMIG4</v>
      </c>
      <c r="Q12" s="106">
        <f ca="1">IFERROR(INDEX(Carteira!$I$5:$I$20,MATCH(P12,Carteira!$A$5:$A$20,0)),"")</f>
        <v>0</v>
      </c>
      <c r="R12" s="107">
        <f ca="1">IFERROR(INDEX(Carteira!$H$5:$H$20,MATCH(P12,Carteira!$A$5:$A$20,0)),"")</f>
        <v>0</v>
      </c>
      <c r="T12">
        <f ca="1">IF(AND(Carteira!AC12=1,OR(Carteira!C12&gt;0,SUMIFS(Carteira!$C$5:$C$20,Carteira!$AC$5:$AC$20,1)=0)),N(Carteira!W12)+ROW()/1000000000,"")</f>
        <v>1.2E-8</v>
      </c>
      <c r="U12" t="str">
        <f ca="1">IFERROR(INDEX($D$5:$D$20,MATCH(LARGE($T$5:$T$20,8),$T$5:$T$20,0)),"")</f>
        <v>FIQE3</v>
      </c>
      <c r="V12" s="108">
        <f ca="1">IFERROR(INDEX(Carteira!$W$5:$W$20,MATCH(U12,Carteira!$A$5:$A$20,0)),"")</f>
        <v>0</v>
      </c>
      <c r="X12">
        <f ca="1">IF(AND(Carteira!AC12=1,OR(Carteira!C12&gt;0,SUMIFS(Carteira!$C$5:$C$20,Carteira!$AC$5:$AC$20,1)=0)),N(Carteira!J12)+ROW()/1000000000,"")</f>
        <v>1.2E-8</v>
      </c>
      <c r="Y12" t="str">
        <f ca="1">IFERROR(INDEX($D$5:$D$20,MATCH(LARGE($X$5:$X$20,8),$X$5:$X$20,0)),"")</f>
        <v>FIQE3</v>
      </c>
      <c r="Z12" s="105">
        <f ca="1">IFERROR(INDEX(Carteira!$J$5:$J$20,MATCH(Y12,Carteira!$A$5:$A$20,0)),"")</f>
        <v>0</v>
      </c>
    </row>
    <row r="13" spans="1:26">
      <c r="A13" s="104">
        <f ca="1">DATE(YEAR(TODAY()),MONTH(TODAY())-0,1)</f>
        <v>46266</v>
      </c>
      <c r="B13" s="105">
        <f ca="1">SUMIFS(Proventos!$F:$F,Proventos!$A:$A,"&gt;="&amp;A13,Proventos!$A:$A,"&lt;"&amp;DATE(YEAR(A13),MONTH(A13)+1,1))</f>
        <v>0</v>
      </c>
      <c r="D13" t="str">
        <f>Carteira!A13</f>
        <v>FIQE3</v>
      </c>
      <c r="F13">
        <f ca="1">IF(AND(Carteira!AC13=1,OR(Carteira!C13&gt;0,SUMIFS(Carteira!$C$5:$C$20,Carteira!$AC$5:$AC$20,1)=0)),N(Carteira!G13)+ROW()/1000000000,"")</f>
        <v>1.3000000000000001E-8</v>
      </c>
      <c r="G13" t="str">
        <f ca="1">IFERROR(INDEX($D$5:$D$20,MATCH(LARGE($F$5:$F$20,9),$F$5:$F$20,0)),"")</f>
        <v>CMIG4</v>
      </c>
      <c r="H13" s="105">
        <f ca="1">IFERROR(INDEX(Carteira!$G$5:$G$20,MATCH(G13,Carteira!$A$5:$A$20,0)),"")</f>
        <v>0</v>
      </c>
      <c r="J13">
        <f ca="1">IF(AND(Carteira!AC13=1,OR(Carteira!C13&gt;0,SUMIFS(Carteira!$C$5:$C$20,Carteira!$AC$5:$AC$20,1)=0)),N(Carteira!I13)+ROW()/1000000000,"")</f>
        <v>1.3000000000000001E-8</v>
      </c>
      <c r="K13" t="str">
        <f ca="1">IFERROR(INDEX($D$5:$D$20,MATCH(LARGE($J$5:$J$20,9),$J$5:$J$20,0)),"")</f>
        <v>CMIG4</v>
      </c>
      <c r="L13" s="106">
        <f ca="1">IFERROR(INDEX(Carteira!$I$5:$I$20,MATCH(K13,Carteira!$A$5:$A$20,0)),"")</f>
        <v>0</v>
      </c>
      <c r="M13" s="107">
        <f ca="1">IFERROR(INDEX(Carteira!$H$5:$H$20,MATCH(K13,Carteira!$A$5:$A$20,0)),"")</f>
        <v>0</v>
      </c>
      <c r="O13">
        <f ca="1">IF(AND(Carteira!AC13=1,OR(Carteira!C13&gt;0,SUMIFS(Carteira!$C$5:$C$20,Carteira!$AC$5:$AC$20,1)=0)),N(Carteira!I13)+ROW()/1000000000,"")</f>
        <v>1.3000000000000001E-8</v>
      </c>
      <c r="P13" t="str">
        <f ca="1">IFERROR(INDEX($D$5:$D$20,MATCH(SMALL($O$5:$O$20,9),$O$5:$O$20,0)),"")</f>
        <v>FIQE3</v>
      </c>
      <c r="Q13" s="106">
        <f ca="1">IFERROR(INDEX(Carteira!$I$5:$I$20,MATCH(P13,Carteira!$A$5:$A$20,0)),"")</f>
        <v>0</v>
      </c>
      <c r="R13" s="107">
        <f ca="1">IFERROR(INDEX(Carteira!$H$5:$H$20,MATCH(P13,Carteira!$A$5:$A$20,0)),"")</f>
        <v>0</v>
      </c>
      <c r="T13">
        <f ca="1">IF(AND(Carteira!AC13=1,OR(Carteira!C13&gt;0,SUMIFS(Carteira!$C$5:$C$20,Carteira!$AC$5:$AC$20,1)=0)),N(Carteira!W13)+ROW()/1000000000,"")</f>
        <v>1.3000000000000001E-8</v>
      </c>
      <c r="U13" t="str">
        <f ca="1">IFERROR(INDEX($D$5:$D$20,MATCH(LARGE($T$5:$T$20,9),$T$5:$T$20,0)),"")</f>
        <v>CMIG4</v>
      </c>
      <c r="V13" s="108">
        <f ca="1">IFERROR(INDEX(Carteira!$W$5:$W$20,MATCH(U13,Carteira!$A$5:$A$20,0)),"")</f>
        <v>0</v>
      </c>
      <c r="X13">
        <f ca="1">IF(AND(Carteira!AC13=1,OR(Carteira!C13&gt;0,SUMIFS(Carteira!$C$5:$C$20,Carteira!$AC$5:$AC$20,1)=0)),N(Carteira!J13)+ROW()/1000000000,"")</f>
        <v>1.3000000000000001E-8</v>
      </c>
      <c r="Y13" t="str">
        <f ca="1">IFERROR(INDEX($D$5:$D$20,MATCH(LARGE($X$5:$X$20,9),$X$5:$X$20,0)),"")</f>
        <v>CMIG4</v>
      </c>
      <c r="Z13" s="105">
        <f ca="1">IFERROR(INDEX(Carteira!$J$5:$J$20,MATCH(Y13,Carteira!$A$5:$A$20,0)),"")</f>
        <v>0</v>
      </c>
    </row>
    <row r="14" spans="1:26">
      <c r="D14" t="str">
        <f>Carteira!A14</f>
        <v>KLBN11</v>
      </c>
      <c r="F14">
        <f ca="1">IF(AND(Carteira!AC14=1,OR(Carteira!C14&gt;0,SUMIFS(Carteira!$C$5:$C$20,Carteira!$AC$5:$AC$20,1)=0)),N(Carteira!G14)+ROW()/1000000000,"")</f>
        <v>1.4E-8</v>
      </c>
      <c r="G14" t="str">
        <f ca="1">IFERROR(INDEX($D$5:$D$20,MATCH(LARGE($F$5:$F$20,10),$F$5:$F$20,0)),"")</f>
        <v>ITSA4</v>
      </c>
      <c r="H14" s="105">
        <f ca="1">IFERROR(INDEX(Carteira!$G$5:$G$20,MATCH(G14,Carteira!$A$5:$A$20,0)),"")</f>
        <v>0</v>
      </c>
      <c r="J14">
        <f ca="1">IF(AND(Carteira!AC14=1,OR(Carteira!C14&gt;0,SUMIFS(Carteira!$C$5:$C$20,Carteira!$AC$5:$AC$20,1)=0)),N(Carteira!I14)+ROW()/1000000000,"")</f>
        <v>1.4E-8</v>
      </c>
      <c r="K14" t="str">
        <f ca="1">IFERROR(INDEX($D$5:$D$20,MATCH(LARGE($J$5:$J$20,10),$J$5:$J$20,0)),"")</f>
        <v>ITSA4</v>
      </c>
      <c r="L14" s="106">
        <f ca="1">IFERROR(INDEX(Carteira!$I$5:$I$20,MATCH(K14,Carteira!$A$5:$A$20,0)),"")</f>
        <v>0</v>
      </c>
      <c r="M14" s="107">
        <f ca="1">IFERROR(INDEX(Carteira!$H$5:$H$20,MATCH(K14,Carteira!$A$5:$A$20,0)),"")</f>
        <v>0</v>
      </c>
      <c r="O14">
        <f ca="1">IF(AND(Carteira!AC14=1,OR(Carteira!C14&gt;0,SUMIFS(Carteira!$C$5:$C$20,Carteira!$AC$5:$AC$20,1)=0)),N(Carteira!I14)+ROW()/1000000000,"")</f>
        <v>1.4E-8</v>
      </c>
      <c r="P14" t="str">
        <f ca="1">IFERROR(INDEX($D$5:$D$20,MATCH(SMALL($O$5:$O$20,10),$O$5:$O$20,0)),"")</f>
        <v>KLBN11</v>
      </c>
      <c r="Q14" s="106">
        <f ca="1">IFERROR(INDEX(Carteira!$I$5:$I$20,MATCH(P14,Carteira!$A$5:$A$20,0)),"")</f>
        <v>0</v>
      </c>
      <c r="R14" s="107">
        <f ca="1">IFERROR(INDEX(Carteira!$H$5:$H$20,MATCH(P14,Carteira!$A$5:$A$20,0)),"")</f>
        <v>0</v>
      </c>
      <c r="T14">
        <f ca="1">IF(AND(Carteira!AC14=1,OR(Carteira!C14&gt;0,SUMIFS(Carteira!$C$5:$C$20,Carteira!$AC$5:$AC$20,1)=0)),N(Carteira!W14)+ROW()/1000000000,"")</f>
        <v>1.4E-8</v>
      </c>
      <c r="U14" t="str">
        <f ca="1">IFERROR(INDEX($D$5:$D$20,MATCH(LARGE($T$5:$T$20,10),$T$5:$T$20,0)),"")</f>
        <v>ITSA4</v>
      </c>
      <c r="V14" s="108">
        <f ca="1">IFERROR(INDEX(Carteira!$W$5:$W$20,MATCH(U14,Carteira!$A$5:$A$20,0)),"")</f>
        <v>0</v>
      </c>
      <c r="X14">
        <f ca="1">IF(AND(Carteira!AC14=1,OR(Carteira!C14&gt;0,SUMIFS(Carteira!$C$5:$C$20,Carteira!$AC$5:$AC$20,1)=0)),N(Carteira!J14)+ROW()/1000000000,"")</f>
        <v>1.4E-8</v>
      </c>
      <c r="Y14" t="str">
        <f ca="1">IFERROR(INDEX($D$5:$D$20,MATCH(LARGE($X$5:$X$20,10),$X$5:$X$20,0)),"")</f>
        <v>ITSA4</v>
      </c>
      <c r="Z14" s="105">
        <f ca="1">IFERROR(INDEX(Carteira!$J$5:$J$20,MATCH(Y14,Carteira!$A$5:$A$20,0)),"")</f>
        <v>0</v>
      </c>
    </row>
    <row r="15" spans="1:26">
      <c r="D15" t="str">
        <f>Carteira!A15</f>
        <v>MXRF11</v>
      </c>
      <c r="F15">
        <f ca="1">IF(AND(Carteira!AC15=1,OR(Carteira!C15&gt;0,SUMIFS(Carteira!$C$5:$C$20,Carteira!$AC$5:$AC$20,1)=0)),N(Carteira!G15)+ROW()/1000000000,"")</f>
        <v>1.4999999999999999E-8</v>
      </c>
      <c r="G15" t="str">
        <f ca="1">IFERROR(INDEX($D$5:$D$20,MATCH(LARGE($F$5:$F$20,11),$F$5:$F$20,0)),"")</f>
        <v>BBDC4</v>
      </c>
      <c r="H15" s="105">
        <f ca="1">IFERROR(INDEX(Carteira!$G$5:$G$20,MATCH(G15,Carteira!$A$5:$A$20,0)),"")</f>
        <v>0</v>
      </c>
      <c r="J15">
        <f ca="1">IF(AND(Carteira!AC15=1,OR(Carteira!C15&gt;0,SUMIFS(Carteira!$C$5:$C$20,Carteira!$AC$5:$AC$20,1)=0)),N(Carteira!I15)+ROW()/1000000000,"")</f>
        <v>1.4999999999999999E-8</v>
      </c>
      <c r="K15" t="str">
        <f ca="1">IFERROR(INDEX($D$5:$D$20,MATCH(LARGE($J$5:$J$20,11),$J$5:$J$20,0)),"")</f>
        <v>BBDC4</v>
      </c>
      <c r="L15" s="106">
        <f ca="1">IFERROR(INDEX(Carteira!$I$5:$I$20,MATCH(K15,Carteira!$A$5:$A$20,0)),"")</f>
        <v>0</v>
      </c>
      <c r="M15" s="107">
        <f ca="1">IFERROR(INDEX(Carteira!$H$5:$H$20,MATCH(K15,Carteira!$A$5:$A$20,0)),"")</f>
        <v>0</v>
      </c>
      <c r="O15">
        <f ca="1">IF(AND(Carteira!AC15=1,OR(Carteira!C15&gt;0,SUMIFS(Carteira!$C$5:$C$20,Carteira!$AC$5:$AC$20,1)=0)),N(Carteira!I15)+ROW()/1000000000,"")</f>
        <v>1.4999999999999999E-8</v>
      </c>
      <c r="P15" t="str">
        <f ca="1">IFERROR(INDEX($D$5:$D$20,MATCH(SMALL($O$5:$O$20,11),$O$5:$O$20,0)),"")</f>
        <v>MXRF11</v>
      </c>
      <c r="Q15" s="106">
        <f ca="1">IFERROR(INDEX(Carteira!$I$5:$I$20,MATCH(P15,Carteira!$A$5:$A$20,0)),"")</f>
        <v>0</v>
      </c>
      <c r="R15" s="107">
        <f ca="1">IFERROR(INDEX(Carteira!$H$5:$H$20,MATCH(P15,Carteira!$A$5:$A$20,0)),"")</f>
        <v>0</v>
      </c>
      <c r="T15">
        <f ca="1">IF(AND(Carteira!AC15=1,OR(Carteira!C15&gt;0,SUMIFS(Carteira!$C$5:$C$20,Carteira!$AC$5:$AC$20,1)=0)),N(Carteira!W15)+ROW()/1000000000,"")</f>
        <v>1.4999999999999999E-8</v>
      </c>
      <c r="U15" t="str">
        <f ca="1">IFERROR(INDEX($D$5:$D$20,MATCH(LARGE($T$5:$T$20,11),$T$5:$T$20,0)),"")</f>
        <v>BBDC4</v>
      </c>
      <c r="V15" s="108">
        <f ca="1">IFERROR(INDEX(Carteira!$W$5:$W$20,MATCH(U15,Carteira!$A$5:$A$20,0)),"")</f>
        <v>0</v>
      </c>
      <c r="X15">
        <f ca="1">IF(AND(Carteira!AC15=1,OR(Carteira!C15&gt;0,SUMIFS(Carteira!$C$5:$C$20,Carteira!$AC$5:$AC$20,1)=0)),N(Carteira!J15)+ROW()/1000000000,"")</f>
        <v>1.4999999999999999E-8</v>
      </c>
      <c r="Y15" t="str">
        <f ca="1">IFERROR(INDEX($D$5:$D$20,MATCH(LARGE($X$5:$X$20,11),$X$5:$X$20,0)),"")</f>
        <v>BBDC4</v>
      </c>
      <c r="Z15" s="105">
        <f ca="1">IFERROR(INDEX(Carteira!$J$5:$J$20,MATCH(Y15,Carteira!$A$5:$A$20,0)),"")</f>
        <v>0</v>
      </c>
    </row>
    <row r="16" spans="1:26">
      <c r="A16" t="s">
        <v>55</v>
      </c>
      <c r="B16" t="s">
        <v>381</v>
      </c>
      <c r="D16" t="str">
        <f>Carteira!A16</f>
        <v>BRCR11</v>
      </c>
      <c r="F16">
        <f ca="1">IF(AND(Carteira!AC16=1,OR(Carteira!C16&gt;0,SUMIFS(Carteira!$C$5:$C$20,Carteira!$AC$5:$AC$20,1)=0)),N(Carteira!G16)+ROW()/1000000000,"")</f>
        <v>1.6000000000000001E-8</v>
      </c>
      <c r="G16" t="str">
        <f ca="1">IFERROR(INDEX($D$5:$D$20,MATCH(LARGE($F$5:$F$20,12),$F$5:$F$20,0)),"")</f>
        <v>BRBI11</v>
      </c>
      <c r="H16" s="105">
        <f ca="1">IFERROR(INDEX(Carteira!$G$5:$G$20,MATCH(G16,Carteira!$A$5:$A$20,0)),"")</f>
        <v>0</v>
      </c>
      <c r="J16">
        <f ca="1">IF(AND(Carteira!AC16=1,OR(Carteira!C16&gt;0,SUMIFS(Carteira!$C$5:$C$20,Carteira!$AC$5:$AC$20,1)=0)),N(Carteira!I16)+ROW()/1000000000,"")</f>
        <v>1.6000000000000001E-8</v>
      </c>
      <c r="K16" t="str">
        <f ca="1">IFERROR(INDEX($D$5:$D$20,MATCH(LARGE($J$5:$J$20,12),$J$5:$J$20,0)),"")</f>
        <v>BRBI11</v>
      </c>
      <c r="L16" s="106">
        <f ca="1">IFERROR(INDEX(Carteira!$I$5:$I$20,MATCH(K16,Carteira!$A$5:$A$20,0)),"")</f>
        <v>0</v>
      </c>
      <c r="M16" s="107">
        <f ca="1">IFERROR(INDEX(Carteira!$H$5:$H$20,MATCH(K16,Carteira!$A$5:$A$20,0)),"")</f>
        <v>0</v>
      </c>
      <c r="O16">
        <f ca="1">IF(AND(Carteira!AC16=1,OR(Carteira!C16&gt;0,SUMIFS(Carteira!$C$5:$C$20,Carteira!$AC$5:$AC$20,1)=0)),N(Carteira!I16)+ROW()/1000000000,"")</f>
        <v>1.6000000000000001E-8</v>
      </c>
      <c r="P16" t="str">
        <f ca="1">IFERROR(INDEX($D$5:$D$20,MATCH(SMALL($O$5:$O$20,12),$O$5:$O$20,0)),"")</f>
        <v>BRCR11</v>
      </c>
      <c r="Q16" s="106">
        <f ca="1">IFERROR(INDEX(Carteira!$I$5:$I$20,MATCH(P16,Carteira!$A$5:$A$20,0)),"")</f>
        <v>0</v>
      </c>
      <c r="R16" s="107">
        <f ca="1">IFERROR(INDEX(Carteira!$H$5:$H$20,MATCH(P16,Carteira!$A$5:$A$20,0)),"")</f>
        <v>0</v>
      </c>
      <c r="T16">
        <f ca="1">IF(AND(Carteira!AC16=1,OR(Carteira!C16&gt;0,SUMIFS(Carteira!$C$5:$C$20,Carteira!$AC$5:$AC$20,1)=0)),N(Carteira!W16)+ROW()/1000000000,"")</f>
        <v>1.6000000000000001E-8</v>
      </c>
      <c r="U16" t="str">
        <f ca="1">IFERROR(INDEX($D$5:$D$20,MATCH(LARGE($T$5:$T$20,12),$T$5:$T$20,0)),"")</f>
        <v>BRBI11</v>
      </c>
      <c r="V16" s="108">
        <f ca="1">IFERROR(INDEX(Carteira!$W$5:$W$20,MATCH(U16,Carteira!$A$5:$A$20,0)),"")</f>
        <v>0</v>
      </c>
      <c r="X16">
        <f ca="1">IF(AND(Carteira!AC16=1,OR(Carteira!C16&gt;0,SUMIFS(Carteira!$C$5:$C$20,Carteira!$AC$5:$AC$20,1)=0)),N(Carteira!J16)+ROW()/1000000000,"")</f>
        <v>1.6000000000000001E-8</v>
      </c>
      <c r="Y16" t="str">
        <f ca="1">IFERROR(INDEX($D$5:$D$20,MATCH(LARGE($X$5:$X$20,12),$X$5:$X$20,0)),"")</f>
        <v>BRBI11</v>
      </c>
      <c r="Z16" s="105">
        <f ca="1">IFERROR(INDEX(Carteira!$J$5:$J$20,MATCH(Y16,Carteira!$A$5:$A$20,0)),"")</f>
        <v>0</v>
      </c>
    </row>
    <row r="17" spans="1:26">
      <c r="A17" t="s">
        <v>49</v>
      </c>
      <c r="B17" s="105">
        <f ca="1">Carteira!G23</f>
        <v>0</v>
      </c>
      <c r="D17" t="str">
        <f>Carteira!A17</f>
        <v>XPLG11</v>
      </c>
      <c r="F17">
        <f ca="1">IF(AND(Carteira!AC17=1,OR(Carteira!C17&gt;0,SUMIFS(Carteira!$C$5:$C$20,Carteira!$AC$5:$AC$20,1)=0)),N(Carteira!G17)+ROW()/1000000000,"")</f>
        <v>1.7E-8</v>
      </c>
      <c r="G17" t="str">
        <f ca="1">IFERROR(INDEX($D$5:$D$20,MATCH(LARGE($F$5:$F$20,13),$F$5:$F$20,0)),"")</f>
        <v>BBAS3</v>
      </c>
      <c r="H17" s="105">
        <f ca="1">IFERROR(INDEX(Carteira!$G$5:$G$20,MATCH(G17,Carteira!$A$5:$A$20,0)),"")</f>
        <v>0</v>
      </c>
      <c r="J17">
        <f ca="1">IF(AND(Carteira!AC17=1,OR(Carteira!C17&gt;0,SUMIFS(Carteira!$C$5:$C$20,Carteira!$AC$5:$AC$20,1)=0)),N(Carteira!I17)+ROW()/1000000000,"")</f>
        <v>1.7E-8</v>
      </c>
      <c r="K17" t="str">
        <f ca="1">IFERROR(INDEX($D$5:$D$20,MATCH(LARGE($J$5:$J$20,13),$J$5:$J$20,0)),"")</f>
        <v>BBAS3</v>
      </c>
      <c r="L17" s="106">
        <f ca="1">IFERROR(INDEX(Carteira!$I$5:$I$20,MATCH(K17,Carteira!$A$5:$A$20,0)),"")</f>
        <v>0</v>
      </c>
      <c r="M17" s="107">
        <f ca="1">IFERROR(INDEX(Carteira!$H$5:$H$20,MATCH(K17,Carteira!$A$5:$A$20,0)),"")</f>
        <v>0</v>
      </c>
      <c r="O17">
        <f ca="1">IF(AND(Carteira!AC17=1,OR(Carteira!C17&gt;0,SUMIFS(Carteira!$C$5:$C$20,Carteira!$AC$5:$AC$20,1)=0)),N(Carteira!I17)+ROW()/1000000000,"")</f>
        <v>1.7E-8</v>
      </c>
      <c r="P17" t="str">
        <f ca="1">IFERROR(INDEX($D$5:$D$20,MATCH(SMALL($O$5:$O$20,13),$O$5:$O$20,0)),"")</f>
        <v>XPLG11</v>
      </c>
      <c r="Q17" s="106">
        <f ca="1">IFERROR(INDEX(Carteira!$I$5:$I$20,MATCH(P17,Carteira!$A$5:$A$20,0)),"")</f>
        <v>0</v>
      </c>
      <c r="R17" s="107">
        <f ca="1">IFERROR(INDEX(Carteira!$H$5:$H$20,MATCH(P17,Carteira!$A$5:$A$20,0)),"")</f>
        <v>0</v>
      </c>
      <c r="T17">
        <f ca="1">IF(AND(Carteira!AC17=1,OR(Carteira!C17&gt;0,SUMIFS(Carteira!$C$5:$C$20,Carteira!$AC$5:$AC$20,1)=0)),N(Carteira!W17)+ROW()/1000000000,"")</f>
        <v>1.7E-8</v>
      </c>
      <c r="U17" t="str">
        <f ca="1">IFERROR(INDEX($D$5:$D$20,MATCH(LARGE($T$5:$T$20,13),$T$5:$T$20,0)),"")</f>
        <v>BBAS3</v>
      </c>
      <c r="V17" s="108">
        <f ca="1">IFERROR(INDEX(Carteira!$W$5:$W$20,MATCH(U17,Carteira!$A$5:$A$20,0)),"")</f>
        <v>0</v>
      </c>
      <c r="X17">
        <f ca="1">IF(AND(Carteira!AC17=1,OR(Carteira!C17&gt;0,SUMIFS(Carteira!$C$5:$C$20,Carteira!$AC$5:$AC$20,1)=0)),N(Carteira!J17)+ROW()/1000000000,"")</f>
        <v>1.7E-8</v>
      </c>
      <c r="Y17" t="str">
        <f ca="1">IFERROR(INDEX($D$5:$D$20,MATCH(LARGE($X$5:$X$20,13),$X$5:$X$20,0)),"")</f>
        <v>BBAS3</v>
      </c>
      <c r="Z17" s="105">
        <f ca="1">IFERROR(INDEX(Carteira!$J$5:$J$20,MATCH(Y17,Carteira!$A$5:$A$20,0)),"")</f>
        <v>0</v>
      </c>
    </row>
    <row r="18" spans="1:26">
      <c r="A18" t="s">
        <v>50</v>
      </c>
      <c r="B18" s="105">
        <f ca="1">Carteira!G24</f>
        <v>0</v>
      </c>
      <c r="D18" t="str">
        <f>Carteira!A18</f>
        <v>XPML11</v>
      </c>
      <c r="F18">
        <f ca="1">IF(AND(Carteira!AC18=1,OR(Carteira!C18&gt;0,SUMIFS(Carteira!$C$5:$C$20,Carteira!$AC$5:$AC$20,1)=0)),N(Carteira!G18)+ROW()/1000000000,"")</f>
        <v>1.7999999999999999E-8</v>
      </c>
      <c r="G18" t="str">
        <f ca="1">IFERROR(INDEX($D$5:$D$20,MATCH(LARGE($F$5:$F$20,14),$F$5:$F$20,0)),"")</f>
        <v>PETR4</v>
      </c>
      <c r="H18" s="105">
        <f ca="1">IFERROR(INDEX(Carteira!$G$5:$G$20,MATCH(G18,Carteira!$A$5:$A$20,0)),"")</f>
        <v>0</v>
      </c>
      <c r="J18">
        <f ca="1">IF(AND(Carteira!AC18=1,OR(Carteira!C18&gt;0,SUMIFS(Carteira!$C$5:$C$20,Carteira!$AC$5:$AC$20,1)=0)),N(Carteira!I18)+ROW()/1000000000,"")</f>
        <v>1.7999999999999999E-8</v>
      </c>
      <c r="K18" t="str">
        <f ca="1">IFERROR(INDEX($D$5:$D$20,MATCH(LARGE($J$5:$J$20,14),$J$5:$J$20,0)),"")</f>
        <v>PETR4</v>
      </c>
      <c r="L18" s="106">
        <f ca="1">IFERROR(INDEX(Carteira!$I$5:$I$20,MATCH(K18,Carteira!$A$5:$A$20,0)),"")</f>
        <v>0</v>
      </c>
      <c r="M18" s="107">
        <f ca="1">IFERROR(INDEX(Carteira!$H$5:$H$20,MATCH(K18,Carteira!$A$5:$A$20,0)),"")</f>
        <v>0</v>
      </c>
      <c r="O18">
        <f ca="1">IF(AND(Carteira!AC18=1,OR(Carteira!C18&gt;0,SUMIFS(Carteira!$C$5:$C$20,Carteira!$AC$5:$AC$20,1)=0)),N(Carteira!I18)+ROW()/1000000000,"")</f>
        <v>1.7999999999999999E-8</v>
      </c>
      <c r="P18" t="str">
        <f ca="1">IFERROR(INDEX($D$5:$D$20,MATCH(SMALL($O$5:$O$20,14),$O$5:$O$20,0)),"")</f>
        <v>XPML11</v>
      </c>
      <c r="Q18" s="106">
        <f ca="1">IFERROR(INDEX(Carteira!$I$5:$I$20,MATCH(P18,Carteira!$A$5:$A$20,0)),"")</f>
        <v>0</v>
      </c>
      <c r="R18" s="107">
        <f ca="1">IFERROR(INDEX(Carteira!$H$5:$H$20,MATCH(P18,Carteira!$A$5:$A$20,0)),"")</f>
        <v>0</v>
      </c>
      <c r="T18">
        <f ca="1">IF(AND(Carteira!AC18=1,OR(Carteira!C18&gt;0,SUMIFS(Carteira!$C$5:$C$20,Carteira!$AC$5:$AC$20,1)=0)),N(Carteira!W18)+ROW()/1000000000,"")</f>
        <v>1.7999999999999999E-8</v>
      </c>
      <c r="U18" t="str">
        <f ca="1">IFERROR(INDEX($D$5:$D$20,MATCH(LARGE($T$5:$T$20,14),$T$5:$T$20,0)),"")</f>
        <v>PETR4</v>
      </c>
      <c r="V18" s="108">
        <f ca="1">IFERROR(INDEX(Carteira!$W$5:$W$20,MATCH(U18,Carteira!$A$5:$A$20,0)),"")</f>
        <v>0</v>
      </c>
      <c r="X18">
        <f ca="1">IF(AND(Carteira!AC18=1,OR(Carteira!C18&gt;0,SUMIFS(Carteira!$C$5:$C$20,Carteira!$AC$5:$AC$20,1)=0)),N(Carteira!J18)+ROW()/1000000000,"")</f>
        <v>1.7999999999999999E-8</v>
      </c>
      <c r="Y18" t="str">
        <f ca="1">IFERROR(INDEX($D$5:$D$20,MATCH(LARGE($X$5:$X$20,14),$X$5:$X$20,0)),"")</f>
        <v>PETR4</v>
      </c>
      <c r="Z18" s="105">
        <f ca="1">IFERROR(INDEX(Carteira!$J$5:$J$20,MATCH(Y18,Carteira!$A$5:$A$20,0)),"")</f>
        <v>0</v>
      </c>
    </row>
    <row r="19" spans="1:26">
      <c r="D19" t="str">
        <f>Carteira!A19</f>
        <v>SNAG11</v>
      </c>
      <c r="F19">
        <f ca="1">IF(AND(Carteira!AC19=1,OR(Carteira!C19&gt;0,SUMIFS(Carteira!$C$5:$C$20,Carteira!$AC$5:$AC$20,1)=0)),N(Carteira!G19)+ROW()/1000000000,"")</f>
        <v>1.9000000000000001E-8</v>
      </c>
      <c r="G19" t="str">
        <f ca="1">IFERROR(INDEX($D$5:$D$20,MATCH(LARGE($F$5:$F$20,15),$F$5:$F$20,0)),"")</f>
        <v>TAEE11</v>
      </c>
      <c r="H19" s="105">
        <f ca="1">IFERROR(INDEX(Carteira!$G$5:$G$20,MATCH(G19,Carteira!$A$5:$A$20,0)),"")</f>
        <v>0</v>
      </c>
      <c r="J19">
        <f ca="1">IF(AND(Carteira!AC19=1,OR(Carteira!C19&gt;0,SUMIFS(Carteira!$C$5:$C$20,Carteira!$AC$5:$AC$20,1)=0)),N(Carteira!I19)+ROW()/1000000000,"")</f>
        <v>1.9000000000000001E-8</v>
      </c>
      <c r="K19" t="str">
        <f ca="1">IFERROR(INDEX($D$5:$D$20,MATCH(LARGE($J$5:$J$20,15),$J$5:$J$20,0)),"")</f>
        <v>TAEE11</v>
      </c>
      <c r="L19" s="106">
        <f ca="1">IFERROR(INDEX(Carteira!$I$5:$I$20,MATCH(K19,Carteira!$A$5:$A$20,0)),"")</f>
        <v>0</v>
      </c>
      <c r="M19" s="107">
        <f ca="1">IFERROR(INDEX(Carteira!$H$5:$H$20,MATCH(K19,Carteira!$A$5:$A$20,0)),"")</f>
        <v>0</v>
      </c>
      <c r="O19">
        <f ca="1">IF(AND(Carteira!AC19=1,OR(Carteira!C19&gt;0,SUMIFS(Carteira!$C$5:$C$20,Carteira!$AC$5:$AC$20,1)=0)),N(Carteira!I19)+ROW()/1000000000,"")</f>
        <v>1.9000000000000001E-8</v>
      </c>
      <c r="P19" t="str">
        <f ca="1">IFERROR(INDEX($D$5:$D$20,MATCH(SMALL($O$5:$O$20,15),$O$5:$O$20,0)),"")</f>
        <v>SNAG11</v>
      </c>
      <c r="Q19" s="106">
        <f ca="1">IFERROR(INDEX(Carteira!$I$5:$I$20,MATCH(P19,Carteira!$A$5:$A$20,0)),"")</f>
        <v>0</v>
      </c>
      <c r="R19" s="107">
        <f ca="1">IFERROR(INDEX(Carteira!$H$5:$H$20,MATCH(P19,Carteira!$A$5:$A$20,0)),"")</f>
        <v>0</v>
      </c>
      <c r="T19">
        <f ca="1">IF(AND(Carteira!AC19=1,OR(Carteira!C19&gt;0,SUMIFS(Carteira!$C$5:$C$20,Carteira!$AC$5:$AC$20,1)=0)),N(Carteira!W19)+ROW()/1000000000,"")</f>
        <v>1.9000000000000001E-8</v>
      </c>
      <c r="U19" t="str">
        <f ca="1">IFERROR(INDEX($D$5:$D$20,MATCH(LARGE($T$5:$T$20,15),$T$5:$T$20,0)),"")</f>
        <v>TAEE11</v>
      </c>
      <c r="V19" s="108">
        <f ca="1">IFERROR(INDEX(Carteira!$W$5:$W$20,MATCH(U19,Carteira!$A$5:$A$20,0)),"")</f>
        <v>0</v>
      </c>
      <c r="X19">
        <f ca="1">IF(AND(Carteira!AC19=1,OR(Carteira!C19&gt;0,SUMIFS(Carteira!$C$5:$C$20,Carteira!$AC$5:$AC$20,1)=0)),N(Carteira!J19)+ROW()/1000000000,"")</f>
        <v>1.9000000000000001E-8</v>
      </c>
      <c r="Y19" t="str">
        <f ca="1">IFERROR(INDEX($D$5:$D$20,MATCH(LARGE($X$5:$X$20,15),$X$5:$X$20,0)),"")</f>
        <v>TAEE11</v>
      </c>
      <c r="Z19" s="105">
        <f ca="1">IFERROR(INDEX(Carteira!$J$5:$J$20,MATCH(Y19,Carteira!$A$5:$A$20,0)),"")</f>
        <v>0</v>
      </c>
    </row>
    <row r="20" spans="1:26">
      <c r="D20" t="str">
        <f>Carteira!A20</f>
        <v>CPTS11</v>
      </c>
      <c r="F20">
        <f ca="1">IF(AND(Carteira!AC20=1,OR(Carteira!C20&gt;0,SUMIFS(Carteira!$C$5:$C$20,Carteira!$AC$5:$AC$20,1)=0)),N(Carteira!G20)+ROW()/1000000000,"")</f>
        <v>2E-8</v>
      </c>
      <c r="G20" t="str">
        <f ca="1">IFERROR(INDEX($D$5:$D$20,MATCH(LARGE($F$5:$F$20,16),$F$5:$F$20,0)),"")</f>
        <v>VALE3</v>
      </c>
      <c r="H20" s="105">
        <f ca="1">IFERROR(INDEX(Carteira!$G$5:$G$20,MATCH(G20,Carteira!$A$5:$A$20,0)),"")</f>
        <v>0</v>
      </c>
      <c r="J20">
        <f ca="1">IF(AND(Carteira!AC20=1,OR(Carteira!C20&gt;0,SUMIFS(Carteira!$C$5:$C$20,Carteira!$AC$5:$AC$20,1)=0)),N(Carteira!I20)+ROW()/1000000000,"")</f>
        <v>2E-8</v>
      </c>
      <c r="K20" t="str">
        <f ca="1">IFERROR(INDEX($D$5:$D$20,MATCH(LARGE($J$5:$J$20,16),$J$5:$J$20,0)),"")</f>
        <v>VALE3</v>
      </c>
      <c r="L20" s="106">
        <f ca="1">IFERROR(INDEX(Carteira!$I$5:$I$20,MATCH(K20,Carteira!$A$5:$A$20,0)),"")</f>
        <v>0</v>
      </c>
      <c r="M20" s="107">
        <f ca="1">IFERROR(INDEX(Carteira!$H$5:$H$20,MATCH(K20,Carteira!$A$5:$A$20,0)),"")</f>
        <v>0</v>
      </c>
      <c r="O20">
        <f ca="1">IF(AND(Carteira!AC20=1,OR(Carteira!C20&gt;0,SUMIFS(Carteira!$C$5:$C$20,Carteira!$AC$5:$AC$20,1)=0)),N(Carteira!I20)+ROW()/1000000000,"")</f>
        <v>2E-8</v>
      </c>
      <c r="P20" t="str">
        <f ca="1">IFERROR(INDEX($D$5:$D$20,MATCH(SMALL($O$5:$O$20,16),$O$5:$O$20,0)),"")</f>
        <v>CPTS11</v>
      </c>
      <c r="Q20" s="106">
        <f ca="1">IFERROR(INDEX(Carteira!$I$5:$I$20,MATCH(P20,Carteira!$A$5:$A$20,0)),"")</f>
        <v>0</v>
      </c>
      <c r="R20" s="107">
        <f ca="1">IFERROR(INDEX(Carteira!$H$5:$H$20,MATCH(P20,Carteira!$A$5:$A$20,0)),"")</f>
        <v>0</v>
      </c>
      <c r="T20">
        <f ca="1">IF(AND(Carteira!AC20=1,OR(Carteira!C20&gt;0,SUMIFS(Carteira!$C$5:$C$20,Carteira!$AC$5:$AC$20,1)=0)),N(Carteira!W20)+ROW()/1000000000,"")</f>
        <v>2E-8</v>
      </c>
      <c r="U20" t="str">
        <f ca="1">IFERROR(INDEX($D$5:$D$20,MATCH(LARGE($T$5:$T$20,16),$T$5:$T$20,0)),"")</f>
        <v>VALE3</v>
      </c>
      <c r="V20" s="108">
        <f ca="1">IFERROR(INDEX(Carteira!$W$5:$W$20,MATCH(U20,Carteira!$A$5:$A$20,0)),"")</f>
        <v>0</v>
      </c>
      <c r="X20">
        <f ca="1">IF(AND(Carteira!AC20=1,OR(Carteira!C20&gt;0,SUMIFS(Carteira!$C$5:$C$20,Carteira!$AC$5:$AC$20,1)=0)),N(Carteira!J20)+ROW()/1000000000,"")</f>
        <v>2E-8</v>
      </c>
      <c r="Y20" t="str">
        <f ca="1">IFERROR(INDEX($D$5:$D$20,MATCH(LARGE($X$5:$X$20,16),$X$5:$X$20,0)),"")</f>
        <v>VALE3</v>
      </c>
      <c r="Z20" s="105">
        <f ca="1">IFERROR(INDEX(Carteira!$J$5:$J$20,MATCH(Y20,Carteira!$A$5:$A$20,0)),"")</f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48</vt:i4>
      </vt:variant>
    </vt:vector>
  </HeadingPairs>
  <TitlesOfParts>
    <vt:vector size="62" baseType="lpstr">
      <vt:lpstr>Painel</vt:lpstr>
      <vt:lpstr>Carteira</vt:lpstr>
      <vt:lpstr>Análises</vt:lpstr>
      <vt:lpstr>Meta</vt:lpstr>
      <vt:lpstr>Quant</vt:lpstr>
      <vt:lpstr>Modelos</vt:lpstr>
      <vt:lpstr>Projeção</vt:lpstr>
      <vt:lpstr>Cadastro</vt:lpstr>
      <vt:lpstr>Ativos</vt:lpstr>
      <vt:lpstr>Lançamentos</vt:lpstr>
      <vt:lpstr>Proventos</vt:lpstr>
      <vt:lpstr>Premissas</vt:lpstr>
      <vt:lpstr>Verificar</vt:lpstr>
      <vt:lpstr>Base Painel</vt:lpstr>
      <vt:lpstr>APORTE_MENSAL</vt:lpstr>
      <vt:lpstr>Análises!Area_de_impressao</vt:lpstr>
      <vt:lpstr>Cadastro!Area_de_impressao</vt:lpstr>
      <vt:lpstr>Carteira!Area_de_impressao</vt:lpstr>
      <vt:lpstr>Lançamentos!Area_de_impressao</vt:lpstr>
      <vt:lpstr>Meta!Area_de_impressao</vt:lpstr>
      <vt:lpstr>Modelos!Area_de_impressao</vt:lpstr>
      <vt:lpstr>Painel!Area_de_impressao</vt:lpstr>
      <vt:lpstr>Premissas!Area_de_impressao</vt:lpstr>
      <vt:lpstr>Projeção!Area_de_impressao</vt:lpstr>
      <vt:lpstr>Proventos!Area_de_impressao</vt:lpstr>
      <vt:lpstr>Quant!Area_de_impressao</vt:lpstr>
      <vt:lpstr>Verificar!Area_de_impressao</vt:lpstr>
      <vt:lpstr>FILTRO_TIPO</vt:lpstr>
      <vt:lpstr>lc_apos</vt:lpstr>
      <vt:lpstr>lc_ativo</vt:lpstr>
      <vt:lpstr>lc_cot</vt:lpstr>
      <vt:lpstr>lc_custos</vt:lpstr>
      <vt:lpstr>lc_data</vt:lpstr>
      <vt:lpstr>lc_op</vt:lpstr>
      <vt:lpstr>lc_preco</vt:lpstr>
      <vt:lpstr>lc_qtd</vt:lpstr>
      <vt:lpstr>lc_seg</vt:lpstr>
      <vt:lpstr>lc_status</vt:lpstr>
      <vt:lpstr>lc_tem</vt:lpstr>
      <vt:lpstr>lc_ticker</vt:lpstr>
      <vt:lpstr>lc_tipo</vt:lpstr>
      <vt:lpstr>lc_total</vt:lpstr>
      <vt:lpstr>META_MENSAL</vt:lpstr>
      <vt:lpstr>OUTRAS_CLASSES</vt:lpstr>
      <vt:lpstr>PESO_RV</vt:lpstr>
      <vt:lpstr>PJ_APORTE</vt:lpstr>
      <vt:lpstr>PJ_CDI</vt:lpstr>
      <vt:lpstr>PJ_DY</vt:lpstr>
      <vt:lpstr>PJ_G_BASE</vt:lpstr>
      <vt:lpstr>PJ_G_OTIM</vt:lpstr>
      <vt:lpstr>PJ_G_PESS</vt:lpstr>
      <vt:lpstr>PJ_INICIAL</vt:lpstr>
      <vt:lpstr>PJ_META</vt:lpstr>
      <vt:lpstr>PJ_REINV</vt:lpstr>
      <vt:lpstr>pv_data</vt:lpstr>
      <vt:lpstr>pv_qtd</vt:lpstr>
      <vt:lpstr>pv_status</vt:lpstr>
      <vt:lpstr>pv_tem</vt:lpstr>
      <vt:lpstr>pv_ticker</vt:lpstr>
      <vt:lpstr>pv_tipo</vt:lpstr>
      <vt:lpstr>pv_total</vt:lpstr>
      <vt:lpstr>pv_valor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Gestão de Investimentos</dc:creator>
  <cp:lastModifiedBy>matheus vinicius</cp:lastModifiedBy>
  <dcterms:created xsi:type="dcterms:W3CDTF">2026-09-30T03:13:18Z</dcterms:created>
  <dcterms:modified xsi:type="dcterms:W3CDTF">2026-09-30T03:13:44Z</dcterms:modified>
</cp:coreProperties>
</file>